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raytontiong/Desktop/INFS3830/Team project/Brand engagement data-20251103/"/>
    </mc:Choice>
  </mc:AlternateContent>
  <xr:revisionPtr revIDLastSave="0" documentId="13_ncr:1_{4DF2F253-912A-BC4A-96CF-BA7631518F4E}" xr6:coauthVersionLast="47" xr6:coauthVersionMax="47" xr10:uidLastSave="{00000000-0000-0000-0000-000000000000}"/>
  <bookViews>
    <workbookView xWindow="0" yWindow="680" windowWidth="29400" windowHeight="16880" xr2:uid="{00000000-000D-0000-FFFF-FFFF00000000}"/>
  </bookViews>
  <sheets>
    <sheet name="Brand_Tweets_Toyota" sheetId="3" r:id="rId1"/>
    <sheet name="Toyota_Pivot Table" sheetId="5" r:id="rId2"/>
    <sheet name="Sheet4" sheetId="10" r:id="rId3"/>
    <sheet name="Brand_Tweets_Volkswagen" sheetId="4" r:id="rId4"/>
    <sheet name="Volkswagen_Pivot Table" sheetId="6" r:id="rId5"/>
  </sheet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3" i="3" l="1"/>
  <c r="F563" i="3" s="1"/>
  <c r="H563" i="3"/>
  <c r="I563" i="3" s="1"/>
  <c r="G564" i="3"/>
  <c r="F564" i="3" s="1"/>
  <c r="H564" i="3"/>
  <c r="I564" i="3" s="1"/>
  <c r="G565" i="3"/>
  <c r="F565" i="3" s="1"/>
  <c r="H565" i="3"/>
  <c r="I565" i="3" s="1"/>
  <c r="G566" i="3"/>
  <c r="F566" i="3" s="1"/>
  <c r="H566" i="3"/>
  <c r="I566" i="3" s="1"/>
  <c r="G567" i="3"/>
  <c r="F567" i="3" s="1"/>
  <c r="H567" i="3"/>
  <c r="I567" i="3" s="1"/>
  <c r="G568" i="3"/>
  <c r="F568" i="3" s="1"/>
  <c r="H568" i="3"/>
  <c r="I568" i="3" s="1"/>
  <c r="G569" i="3"/>
  <c r="F569" i="3" s="1"/>
  <c r="H569" i="3"/>
  <c r="I569" i="3" s="1"/>
  <c r="G570" i="3"/>
  <c r="F570" i="3" s="1"/>
  <c r="H570" i="3"/>
  <c r="I570" i="3" s="1"/>
  <c r="G571" i="3"/>
  <c r="F571" i="3" s="1"/>
  <c r="H571" i="3"/>
  <c r="I571" i="3" s="1"/>
  <c r="G572" i="3"/>
  <c r="F572" i="3" s="1"/>
  <c r="H572" i="3"/>
  <c r="I572" i="3" s="1"/>
  <c r="G573" i="3"/>
  <c r="F573" i="3" s="1"/>
  <c r="H573" i="3"/>
  <c r="I573" i="3" s="1"/>
  <c r="G574" i="3"/>
  <c r="F574" i="3" s="1"/>
  <c r="H574" i="3"/>
  <c r="I574" i="3" s="1"/>
  <c r="G575" i="3"/>
  <c r="F575" i="3" s="1"/>
  <c r="H575" i="3"/>
  <c r="I575" i="3" s="1"/>
  <c r="G576" i="3"/>
  <c r="F576" i="3" s="1"/>
  <c r="H576" i="3"/>
  <c r="I576" i="3" s="1"/>
  <c r="G577" i="3"/>
  <c r="F577" i="3" s="1"/>
  <c r="H577" i="3"/>
  <c r="I577" i="3" s="1"/>
  <c r="G578" i="3"/>
  <c r="F578" i="3" s="1"/>
  <c r="H578" i="3"/>
  <c r="I578" i="3" s="1"/>
  <c r="G579" i="3"/>
  <c r="F579" i="3" s="1"/>
  <c r="H579" i="3"/>
  <c r="I579" i="3" s="1"/>
  <c r="G580" i="3"/>
  <c r="F580" i="3" s="1"/>
  <c r="H580" i="3"/>
  <c r="I580" i="3" s="1"/>
  <c r="G288" i="3"/>
  <c r="F288" i="3" s="1"/>
  <c r="H288" i="3"/>
  <c r="I288" i="3" s="1"/>
  <c r="G289" i="3"/>
  <c r="F289" i="3" s="1"/>
  <c r="H289" i="3"/>
  <c r="I289" i="3" s="1"/>
  <c r="G290" i="3"/>
  <c r="F290" i="3" s="1"/>
  <c r="H290" i="3"/>
  <c r="I290" i="3" s="1"/>
  <c r="G291" i="3"/>
  <c r="F291" i="3" s="1"/>
  <c r="H291" i="3"/>
  <c r="I291" i="3" s="1"/>
  <c r="G292" i="3"/>
  <c r="F292" i="3" s="1"/>
  <c r="H292" i="3"/>
  <c r="I292" i="3" s="1"/>
  <c r="G293" i="3"/>
  <c r="F293" i="3" s="1"/>
  <c r="H293" i="3"/>
  <c r="I293" i="3" s="1"/>
  <c r="G294" i="3"/>
  <c r="F294" i="3" s="1"/>
  <c r="H294" i="3"/>
  <c r="I294" i="3" s="1"/>
  <c r="G295" i="3"/>
  <c r="F295" i="3" s="1"/>
  <c r="H295" i="3"/>
  <c r="I295" i="3" s="1"/>
  <c r="G296" i="3"/>
  <c r="F296" i="3" s="1"/>
  <c r="H296" i="3"/>
  <c r="I296" i="3" s="1"/>
  <c r="G297" i="3"/>
  <c r="F297" i="3" s="1"/>
  <c r="H297" i="3"/>
  <c r="I297" i="3" s="1"/>
  <c r="G298" i="3"/>
  <c r="F298" i="3" s="1"/>
  <c r="H298" i="3"/>
  <c r="I298" i="3" s="1"/>
  <c r="G299" i="3"/>
  <c r="F299" i="3" s="1"/>
  <c r="H299" i="3"/>
  <c r="I299" i="3" s="1"/>
  <c r="G300" i="3"/>
  <c r="F300" i="3" s="1"/>
  <c r="H300" i="3"/>
  <c r="I300" i="3" s="1"/>
  <c r="G301" i="3"/>
  <c r="F301" i="3" s="1"/>
  <c r="H301" i="3"/>
  <c r="I301" i="3" s="1"/>
  <c r="G302" i="3"/>
  <c r="F302" i="3" s="1"/>
  <c r="H302" i="3"/>
  <c r="I302" i="3" s="1"/>
  <c r="G303" i="3"/>
  <c r="F303" i="3" s="1"/>
  <c r="H303" i="3"/>
  <c r="I303" i="3" s="1"/>
  <c r="G304" i="3"/>
  <c r="F304" i="3" s="1"/>
  <c r="H304" i="3"/>
  <c r="I304" i="3" s="1"/>
  <c r="G305" i="3"/>
  <c r="F305" i="3" s="1"/>
  <c r="H305" i="3"/>
  <c r="I305" i="3" s="1"/>
  <c r="G306" i="3"/>
  <c r="F306" i="3" s="1"/>
  <c r="H306" i="3"/>
  <c r="I306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G226" i="4"/>
  <c r="F226" i="4" s="1"/>
  <c r="H226" i="4"/>
  <c r="I226" i="4" s="1"/>
  <c r="G227" i="4"/>
  <c r="F227" i="4" s="1"/>
  <c r="H227" i="4"/>
  <c r="I227" i="4" s="1"/>
  <c r="G228" i="4"/>
  <c r="F228" i="4" s="1"/>
  <c r="H228" i="4"/>
  <c r="I228" i="4" s="1"/>
  <c r="G229" i="4"/>
  <c r="F229" i="4" s="1"/>
  <c r="H229" i="4"/>
  <c r="I229" i="4" s="1"/>
  <c r="G230" i="4"/>
  <c r="F230" i="4" s="1"/>
  <c r="H230" i="4"/>
  <c r="I230" i="4" s="1"/>
  <c r="T4" i="4"/>
  <c r="T7" i="4"/>
  <c r="G968" i="4"/>
  <c r="F968" i="4" s="1"/>
  <c r="G1522" i="4"/>
  <c r="F1522" i="4" s="1"/>
  <c r="G974" i="4"/>
  <c r="F974" i="4" s="1"/>
  <c r="G973" i="4"/>
  <c r="F973" i="4" s="1"/>
  <c r="G1521" i="4"/>
  <c r="F1521" i="4" s="1"/>
  <c r="G972" i="4"/>
  <c r="F972" i="4" s="1"/>
  <c r="G971" i="4"/>
  <c r="F971" i="4" s="1"/>
  <c r="G1520" i="4"/>
  <c r="F1520" i="4" s="1"/>
  <c r="G970" i="4"/>
  <c r="F970" i="4" s="1"/>
  <c r="G1519" i="4"/>
  <c r="F1519" i="4" s="1"/>
  <c r="G1518" i="4"/>
  <c r="F1518" i="4" s="1"/>
  <c r="G1517" i="4"/>
  <c r="F1517" i="4" s="1"/>
  <c r="G1515" i="4"/>
  <c r="F1515" i="4" s="1"/>
  <c r="G1516" i="4"/>
  <c r="F1516" i="4" s="1"/>
  <c r="G1514" i="4"/>
  <c r="F1514" i="4" s="1"/>
  <c r="G1513" i="4"/>
  <c r="F1513" i="4" s="1"/>
  <c r="G969" i="4"/>
  <c r="F969" i="4" s="1"/>
  <c r="G967" i="4"/>
  <c r="F967" i="4" s="1"/>
  <c r="G966" i="4"/>
  <c r="F966" i="4" s="1"/>
  <c r="G1512" i="4"/>
  <c r="F1512" i="4" s="1"/>
  <c r="G1511" i="4"/>
  <c r="F1511" i="4" s="1"/>
  <c r="G1510" i="4"/>
  <c r="F1510" i="4" s="1"/>
  <c r="G1509" i="4"/>
  <c r="F1509" i="4" s="1"/>
  <c r="G965" i="4"/>
  <c r="F965" i="4" s="1"/>
  <c r="G1507" i="4"/>
  <c r="F1507" i="4" s="1"/>
  <c r="G1508" i="4"/>
  <c r="F1508" i="4" s="1"/>
  <c r="G1504" i="4"/>
  <c r="F1504" i="4" s="1"/>
  <c r="G1505" i="4"/>
  <c r="F1505" i="4" s="1"/>
  <c r="G1506" i="4"/>
  <c r="F1506" i="4" s="1"/>
  <c r="G1503" i="4"/>
  <c r="F1503" i="4" s="1"/>
  <c r="G1502" i="4"/>
  <c r="F1502" i="4" s="1"/>
  <c r="G964" i="4"/>
  <c r="F964" i="4" s="1"/>
  <c r="G1501" i="4"/>
  <c r="F1501" i="4" s="1"/>
  <c r="G1499" i="4"/>
  <c r="F1499" i="4" s="1"/>
  <c r="G1500" i="4"/>
  <c r="F1500" i="4" s="1"/>
  <c r="G963" i="4"/>
  <c r="F963" i="4" s="1"/>
  <c r="G312" i="4"/>
  <c r="F312" i="4" s="1"/>
  <c r="G962" i="4"/>
  <c r="F962" i="4" s="1"/>
  <c r="G961" i="4"/>
  <c r="F961" i="4" s="1"/>
  <c r="G1498" i="4"/>
  <c r="F1498" i="4" s="1"/>
  <c r="G1497" i="4"/>
  <c r="F1497" i="4" s="1"/>
  <c r="G1496" i="4"/>
  <c r="F1496" i="4" s="1"/>
  <c r="G1494" i="4"/>
  <c r="F1494" i="4" s="1"/>
  <c r="G1495" i="4"/>
  <c r="F1495" i="4" s="1"/>
  <c r="G1493" i="4"/>
  <c r="F1493" i="4" s="1"/>
  <c r="G1490" i="4"/>
  <c r="F1490" i="4" s="1"/>
  <c r="G1491" i="4"/>
  <c r="F1491" i="4" s="1"/>
  <c r="G1492" i="4"/>
  <c r="F1492" i="4" s="1"/>
  <c r="G1489" i="4"/>
  <c r="F1489" i="4" s="1"/>
  <c r="G1487" i="4"/>
  <c r="F1487" i="4" s="1"/>
  <c r="G1488" i="4"/>
  <c r="F1488" i="4" s="1"/>
  <c r="G311" i="4"/>
  <c r="F311" i="4" s="1"/>
  <c r="G195" i="4"/>
  <c r="F195" i="4" s="1"/>
  <c r="G310" i="4"/>
  <c r="F310" i="4" s="1"/>
  <c r="G309" i="4"/>
  <c r="F309" i="4" s="1"/>
  <c r="G308" i="4"/>
  <c r="F308" i="4" s="1"/>
  <c r="G307" i="4"/>
  <c r="F307" i="4" s="1"/>
  <c r="G306" i="4"/>
  <c r="F306" i="4" s="1"/>
  <c r="G186" i="4"/>
  <c r="F186" i="4" s="1"/>
  <c r="G960" i="4"/>
  <c r="F960" i="4" s="1"/>
  <c r="G305" i="4"/>
  <c r="F305" i="4" s="1"/>
  <c r="G304" i="4"/>
  <c r="F304" i="4" s="1"/>
  <c r="G301" i="4"/>
  <c r="F301" i="4" s="1"/>
  <c r="G302" i="4"/>
  <c r="F302" i="4" s="1"/>
  <c r="G303" i="4"/>
  <c r="F303" i="4" s="1"/>
  <c r="G300" i="4"/>
  <c r="F300" i="4" s="1"/>
  <c r="G299" i="4"/>
  <c r="F299" i="4" s="1"/>
  <c r="G297" i="4"/>
  <c r="F297" i="4" s="1"/>
  <c r="G298" i="4"/>
  <c r="F298" i="4" s="1"/>
  <c r="G296" i="4"/>
  <c r="F296" i="4" s="1"/>
  <c r="G295" i="4"/>
  <c r="F295" i="4" s="1"/>
  <c r="G294" i="4"/>
  <c r="F294" i="4" s="1"/>
  <c r="G293" i="4"/>
  <c r="F293" i="4" s="1"/>
  <c r="G194" i="4"/>
  <c r="F194" i="4" s="1"/>
  <c r="G291" i="4"/>
  <c r="F291" i="4" s="1"/>
  <c r="G292" i="4"/>
  <c r="F292" i="4" s="1"/>
  <c r="G959" i="4"/>
  <c r="F959" i="4" s="1"/>
  <c r="G290" i="4"/>
  <c r="F290" i="4" s="1"/>
  <c r="G289" i="4"/>
  <c r="F289" i="4" s="1"/>
  <c r="G288" i="4"/>
  <c r="F288" i="4" s="1"/>
  <c r="G287" i="4"/>
  <c r="F287" i="4" s="1"/>
  <c r="G958" i="4"/>
  <c r="F958" i="4" s="1"/>
  <c r="G957" i="4"/>
  <c r="F957" i="4" s="1"/>
  <c r="G286" i="4"/>
  <c r="F286" i="4" s="1"/>
  <c r="G285" i="4"/>
  <c r="F285" i="4" s="1"/>
  <c r="G955" i="4"/>
  <c r="F955" i="4" s="1"/>
  <c r="G956" i="4"/>
  <c r="F956" i="4" s="1"/>
  <c r="G953" i="4"/>
  <c r="F953" i="4" s="1"/>
  <c r="G954" i="4"/>
  <c r="F954" i="4" s="1"/>
  <c r="G284" i="4"/>
  <c r="F284" i="4" s="1"/>
  <c r="G193" i="4"/>
  <c r="F193" i="4" s="1"/>
  <c r="G283" i="4"/>
  <c r="F283" i="4" s="1"/>
  <c r="G282" i="4"/>
  <c r="F282" i="4" s="1"/>
  <c r="G952" i="4"/>
  <c r="F952" i="4" s="1"/>
  <c r="G951" i="4"/>
  <c r="F951" i="4" s="1"/>
  <c r="G950" i="4"/>
  <c r="F950" i="4" s="1"/>
  <c r="G949" i="4"/>
  <c r="F949" i="4" s="1"/>
  <c r="G948" i="4"/>
  <c r="F948" i="4" s="1"/>
  <c r="G947" i="4"/>
  <c r="F947" i="4" s="1"/>
  <c r="G946" i="4"/>
  <c r="F946" i="4" s="1"/>
  <c r="G281" i="4"/>
  <c r="F281" i="4" s="1"/>
  <c r="G945" i="4"/>
  <c r="F945" i="4" s="1"/>
  <c r="G943" i="4"/>
  <c r="F943" i="4" s="1"/>
  <c r="G944" i="4"/>
  <c r="F944" i="4" s="1"/>
  <c r="G192" i="4"/>
  <c r="F192" i="4" s="1"/>
  <c r="G279" i="4"/>
  <c r="F279" i="4" s="1"/>
  <c r="G280" i="4"/>
  <c r="F280" i="4" s="1"/>
  <c r="G277" i="4"/>
  <c r="F277" i="4" s="1"/>
  <c r="G278" i="4"/>
  <c r="F278" i="4" s="1"/>
  <c r="G276" i="4"/>
  <c r="F276" i="4" s="1"/>
  <c r="G275" i="4"/>
  <c r="F275" i="4" s="1"/>
  <c r="G274" i="4"/>
  <c r="F274" i="4" s="1"/>
  <c r="G273" i="4"/>
  <c r="F273" i="4" s="1"/>
  <c r="G271" i="4"/>
  <c r="F271" i="4" s="1"/>
  <c r="G272" i="4"/>
  <c r="F272" i="4" s="1"/>
  <c r="G270" i="4"/>
  <c r="F270" i="4" s="1"/>
  <c r="G269" i="4"/>
  <c r="F269" i="4" s="1"/>
  <c r="G942" i="4"/>
  <c r="F942" i="4" s="1"/>
  <c r="G268" i="4"/>
  <c r="F268" i="4" s="1"/>
  <c r="G266" i="4"/>
  <c r="F266" i="4" s="1"/>
  <c r="G267" i="4"/>
  <c r="F267" i="4" s="1"/>
  <c r="G265" i="4"/>
  <c r="F265" i="4" s="1"/>
  <c r="G263" i="4"/>
  <c r="F263" i="4" s="1"/>
  <c r="G264" i="4"/>
  <c r="F264" i="4" s="1"/>
  <c r="G941" i="4"/>
  <c r="F941" i="4" s="1"/>
  <c r="G940" i="4"/>
  <c r="F940" i="4" s="1"/>
  <c r="G939" i="4"/>
  <c r="F939" i="4" s="1"/>
  <c r="G938" i="4"/>
  <c r="F938" i="4" s="1"/>
  <c r="G262" i="4"/>
  <c r="F262" i="4" s="1"/>
  <c r="G261" i="4"/>
  <c r="F261" i="4" s="1"/>
  <c r="G260" i="4"/>
  <c r="F260" i="4" s="1"/>
  <c r="G259" i="4"/>
  <c r="F259" i="4" s="1"/>
  <c r="G258" i="4"/>
  <c r="F258" i="4" s="1"/>
  <c r="G257" i="4"/>
  <c r="F257" i="4" s="1"/>
  <c r="G256" i="4"/>
  <c r="F256" i="4" s="1"/>
  <c r="G255" i="4"/>
  <c r="F255" i="4" s="1"/>
  <c r="G254" i="4"/>
  <c r="F254" i="4" s="1"/>
  <c r="G253" i="4"/>
  <c r="F253" i="4" s="1"/>
  <c r="G936" i="4"/>
  <c r="F936" i="4" s="1"/>
  <c r="G937" i="4"/>
  <c r="F937" i="4" s="1"/>
  <c r="G935" i="4"/>
  <c r="F935" i="4" s="1"/>
  <c r="G1486" i="4"/>
  <c r="F1486" i="4" s="1"/>
  <c r="G934" i="4"/>
  <c r="F934" i="4" s="1"/>
  <c r="G933" i="4"/>
  <c r="F933" i="4" s="1"/>
  <c r="G932" i="4"/>
  <c r="F932" i="4" s="1"/>
  <c r="G252" i="4"/>
  <c r="F252" i="4" s="1"/>
  <c r="G251" i="4"/>
  <c r="F251" i="4" s="1"/>
  <c r="G931" i="4"/>
  <c r="F931" i="4" s="1"/>
  <c r="G1485" i="4"/>
  <c r="F1485" i="4" s="1"/>
  <c r="G1484" i="4"/>
  <c r="F1484" i="4" s="1"/>
  <c r="G930" i="4"/>
  <c r="F930" i="4" s="1"/>
  <c r="G929" i="4"/>
  <c r="F929" i="4" s="1"/>
  <c r="G1483" i="4"/>
  <c r="F1483" i="4" s="1"/>
  <c r="G1482" i="4"/>
  <c r="F1482" i="4" s="1"/>
  <c r="G1480" i="4"/>
  <c r="F1480" i="4" s="1"/>
  <c r="G1481" i="4"/>
  <c r="F1481" i="4" s="1"/>
  <c r="G928" i="4"/>
  <c r="F928" i="4" s="1"/>
  <c r="G250" i="4"/>
  <c r="F250" i="4" s="1"/>
  <c r="G249" i="4"/>
  <c r="F249" i="4" s="1"/>
  <c r="G927" i="4"/>
  <c r="F927" i="4" s="1"/>
  <c r="G926" i="4"/>
  <c r="F926" i="4" s="1"/>
  <c r="G925" i="4"/>
  <c r="F925" i="4" s="1"/>
  <c r="G924" i="4"/>
  <c r="F924" i="4" s="1"/>
  <c r="G248" i="4"/>
  <c r="F248" i="4" s="1"/>
  <c r="G923" i="4"/>
  <c r="F923" i="4" s="1"/>
  <c r="G922" i="4"/>
  <c r="F922" i="4" s="1"/>
  <c r="G921" i="4"/>
  <c r="F921" i="4" s="1"/>
  <c r="G1479" i="4"/>
  <c r="F1479" i="4" s="1"/>
  <c r="G247" i="4"/>
  <c r="F247" i="4" s="1"/>
  <c r="G246" i="4"/>
  <c r="F246" i="4" s="1"/>
  <c r="G1478" i="4"/>
  <c r="F1478" i="4" s="1"/>
  <c r="G245" i="4"/>
  <c r="F245" i="4" s="1"/>
  <c r="G244" i="4"/>
  <c r="F244" i="4" s="1"/>
  <c r="G243" i="4"/>
  <c r="F243" i="4" s="1"/>
  <c r="G920" i="4"/>
  <c r="F920" i="4" s="1"/>
  <c r="G919" i="4"/>
  <c r="F919" i="4" s="1"/>
  <c r="G1477" i="4"/>
  <c r="F1477" i="4" s="1"/>
  <c r="G918" i="4"/>
  <c r="F918" i="4" s="1"/>
  <c r="G915" i="4"/>
  <c r="F915" i="4" s="1"/>
  <c r="G916" i="4"/>
  <c r="F916" i="4" s="1"/>
  <c r="G917" i="4"/>
  <c r="F917" i="4" s="1"/>
  <c r="G914" i="4"/>
  <c r="F914" i="4" s="1"/>
  <c r="G1476" i="4"/>
  <c r="F1476" i="4" s="1"/>
  <c r="G1475" i="4"/>
  <c r="F1475" i="4" s="1"/>
  <c r="G913" i="4"/>
  <c r="F913" i="4" s="1"/>
  <c r="G912" i="4"/>
  <c r="F912" i="4" s="1"/>
  <c r="G911" i="4"/>
  <c r="F911" i="4" s="1"/>
  <c r="G910" i="4"/>
  <c r="F910" i="4" s="1"/>
  <c r="G909" i="4"/>
  <c r="F909" i="4" s="1"/>
  <c r="G907" i="4"/>
  <c r="F907" i="4" s="1"/>
  <c r="G908" i="4"/>
  <c r="F908" i="4" s="1"/>
  <c r="G905" i="4"/>
  <c r="F905" i="4" s="1"/>
  <c r="G906" i="4"/>
  <c r="F906" i="4" s="1"/>
  <c r="G904" i="4"/>
  <c r="F904" i="4" s="1"/>
  <c r="G903" i="4"/>
  <c r="F903" i="4" s="1"/>
  <c r="G902" i="4"/>
  <c r="F902" i="4" s="1"/>
  <c r="G901" i="4"/>
  <c r="F901" i="4" s="1"/>
  <c r="G900" i="4"/>
  <c r="F900" i="4" s="1"/>
  <c r="G1474" i="4"/>
  <c r="F1474" i="4" s="1"/>
  <c r="G1473" i="4"/>
  <c r="F1473" i="4" s="1"/>
  <c r="G898" i="4"/>
  <c r="F898" i="4" s="1"/>
  <c r="G899" i="4"/>
  <c r="F899" i="4" s="1"/>
  <c r="G1472" i="4"/>
  <c r="F1472" i="4" s="1"/>
  <c r="G1471" i="4"/>
  <c r="F1471" i="4" s="1"/>
  <c r="G897" i="4"/>
  <c r="F897" i="4" s="1"/>
  <c r="G1470" i="4"/>
  <c r="F1470" i="4" s="1"/>
  <c r="G895" i="4"/>
  <c r="F895" i="4" s="1"/>
  <c r="G896" i="4"/>
  <c r="F896" i="4" s="1"/>
  <c r="G1469" i="4"/>
  <c r="F1469" i="4" s="1"/>
  <c r="G1468" i="4"/>
  <c r="F1468" i="4" s="1"/>
  <c r="G894" i="4"/>
  <c r="F894" i="4" s="1"/>
  <c r="G893" i="4"/>
  <c r="F893" i="4" s="1"/>
  <c r="G242" i="4"/>
  <c r="F242" i="4" s="1"/>
  <c r="G1467" i="4"/>
  <c r="F1467" i="4" s="1"/>
  <c r="G892" i="4"/>
  <c r="F892" i="4" s="1"/>
  <c r="G891" i="4"/>
  <c r="F891" i="4" s="1"/>
  <c r="G890" i="4"/>
  <c r="F890" i="4" s="1"/>
  <c r="G888" i="4"/>
  <c r="F888" i="4" s="1"/>
  <c r="G889" i="4"/>
  <c r="F889" i="4" s="1"/>
  <c r="G887" i="4"/>
  <c r="F887" i="4" s="1"/>
  <c r="G886" i="4"/>
  <c r="F886" i="4" s="1"/>
  <c r="G885" i="4"/>
  <c r="F885" i="4" s="1"/>
  <c r="G1466" i="4"/>
  <c r="F1466" i="4" s="1"/>
  <c r="G1465" i="4"/>
  <c r="F1465" i="4" s="1"/>
  <c r="G884" i="4"/>
  <c r="F884" i="4" s="1"/>
  <c r="G883" i="4"/>
  <c r="F883" i="4" s="1"/>
  <c r="G191" i="4"/>
  <c r="F191" i="4" s="1"/>
  <c r="G882" i="4"/>
  <c r="F882" i="4" s="1"/>
  <c r="G881" i="4"/>
  <c r="F881" i="4" s="1"/>
  <c r="G880" i="4"/>
  <c r="F880" i="4" s="1"/>
  <c r="G1464" i="4"/>
  <c r="F1464" i="4" s="1"/>
  <c r="G1463" i="4"/>
  <c r="F1463" i="4" s="1"/>
  <c r="G1462" i="4"/>
  <c r="F1462" i="4" s="1"/>
  <c r="G1461" i="4"/>
  <c r="F1461" i="4" s="1"/>
  <c r="G1460" i="4"/>
  <c r="F1460" i="4" s="1"/>
  <c r="G1459" i="4"/>
  <c r="F1459" i="4" s="1"/>
  <c r="G879" i="4"/>
  <c r="F879" i="4" s="1"/>
  <c r="G1458" i="4"/>
  <c r="F1458" i="4" s="1"/>
  <c r="G878" i="4"/>
  <c r="F878" i="4" s="1"/>
  <c r="G1456" i="4"/>
  <c r="F1456" i="4" s="1"/>
  <c r="G1457" i="4"/>
  <c r="F1457" i="4" s="1"/>
  <c r="G1455" i="4"/>
  <c r="F1455" i="4" s="1"/>
  <c r="G241" i="4"/>
  <c r="F241" i="4" s="1"/>
  <c r="G877" i="4"/>
  <c r="F877" i="4" s="1"/>
  <c r="G1454" i="4"/>
  <c r="F1454" i="4" s="1"/>
  <c r="G16" i="4"/>
  <c r="F16" i="4" s="1"/>
  <c r="G1453" i="4"/>
  <c r="F1453" i="4" s="1"/>
  <c r="G876" i="4"/>
  <c r="F876" i="4" s="1"/>
  <c r="G875" i="4"/>
  <c r="F875" i="4" s="1"/>
  <c r="G874" i="4"/>
  <c r="F874" i="4" s="1"/>
  <c r="G1452" i="4"/>
  <c r="F1452" i="4" s="1"/>
  <c r="G873" i="4"/>
  <c r="F873" i="4" s="1"/>
  <c r="G872" i="4"/>
  <c r="F872" i="4" s="1"/>
  <c r="G1451" i="4"/>
  <c r="F1451" i="4" s="1"/>
  <c r="G1449" i="4"/>
  <c r="F1449" i="4" s="1"/>
  <c r="G1450" i="4"/>
  <c r="F1450" i="4" s="1"/>
  <c r="G1448" i="4"/>
  <c r="F1448" i="4" s="1"/>
  <c r="G1447" i="4"/>
  <c r="F1447" i="4" s="1"/>
  <c r="G240" i="4"/>
  <c r="F240" i="4" s="1"/>
  <c r="G871" i="4"/>
  <c r="F871" i="4" s="1"/>
  <c r="G870" i="4"/>
  <c r="F870" i="4" s="1"/>
  <c r="G869" i="4"/>
  <c r="F869" i="4" s="1"/>
  <c r="G868" i="4"/>
  <c r="F868" i="4" s="1"/>
  <c r="G1446" i="4"/>
  <c r="F1446" i="4" s="1"/>
  <c r="G1445" i="4"/>
  <c r="F1445" i="4" s="1"/>
  <c r="G866" i="4"/>
  <c r="F866" i="4" s="1"/>
  <c r="G867" i="4"/>
  <c r="F867" i="4" s="1"/>
  <c r="G864" i="4"/>
  <c r="F864" i="4" s="1"/>
  <c r="G865" i="4"/>
  <c r="F865" i="4" s="1"/>
  <c r="G239" i="4"/>
  <c r="F239" i="4" s="1"/>
  <c r="G863" i="4"/>
  <c r="F863" i="4" s="1"/>
  <c r="G861" i="4"/>
  <c r="F861" i="4" s="1"/>
  <c r="G862" i="4"/>
  <c r="F862" i="4" s="1"/>
  <c r="G859" i="4"/>
  <c r="F859" i="4" s="1"/>
  <c r="G1444" i="4"/>
  <c r="F1444" i="4" s="1"/>
  <c r="G860" i="4"/>
  <c r="F860" i="4" s="1"/>
  <c r="G858" i="4"/>
  <c r="F858" i="4" s="1"/>
  <c r="G856" i="4"/>
  <c r="F856" i="4" s="1"/>
  <c r="G857" i="4"/>
  <c r="F857" i="4" s="1"/>
  <c r="G1443" i="4"/>
  <c r="F1443" i="4" s="1"/>
  <c r="G1442" i="4"/>
  <c r="F1442" i="4" s="1"/>
  <c r="G855" i="4"/>
  <c r="F855" i="4" s="1"/>
  <c r="G1441" i="4"/>
  <c r="F1441" i="4" s="1"/>
  <c r="G854" i="4"/>
  <c r="F854" i="4" s="1"/>
  <c r="G853" i="4"/>
  <c r="F853" i="4" s="1"/>
  <c r="G238" i="4"/>
  <c r="F238" i="4" s="1"/>
  <c r="G852" i="4"/>
  <c r="F852" i="4" s="1"/>
  <c r="G851" i="4"/>
  <c r="F851" i="4" s="1"/>
  <c r="G850" i="4"/>
  <c r="F850" i="4" s="1"/>
  <c r="G237" i="4"/>
  <c r="F237" i="4" s="1"/>
  <c r="G849" i="4"/>
  <c r="F849" i="4" s="1"/>
  <c r="G848" i="4"/>
  <c r="F848" i="4" s="1"/>
  <c r="G846" i="4"/>
  <c r="F846" i="4" s="1"/>
  <c r="G847" i="4"/>
  <c r="F847" i="4" s="1"/>
  <c r="G845" i="4"/>
  <c r="F845" i="4" s="1"/>
  <c r="G844" i="4"/>
  <c r="F844" i="4" s="1"/>
  <c r="G843" i="4"/>
  <c r="F843" i="4" s="1"/>
  <c r="G842" i="4"/>
  <c r="F842" i="4" s="1"/>
  <c r="G841" i="4"/>
  <c r="F841" i="4" s="1"/>
  <c r="G840" i="4"/>
  <c r="F840" i="4" s="1"/>
  <c r="G839" i="4"/>
  <c r="F839" i="4" s="1"/>
  <c r="G1440" i="4"/>
  <c r="F1440" i="4" s="1"/>
  <c r="G838" i="4"/>
  <c r="F838" i="4" s="1"/>
  <c r="G1439" i="4"/>
  <c r="F1439" i="4" s="1"/>
  <c r="G837" i="4"/>
  <c r="F837" i="4" s="1"/>
  <c r="G836" i="4"/>
  <c r="F836" i="4" s="1"/>
  <c r="G835" i="4"/>
  <c r="F835" i="4" s="1"/>
  <c r="G834" i="4"/>
  <c r="F834" i="4" s="1"/>
  <c r="G833" i="4"/>
  <c r="F833" i="4" s="1"/>
  <c r="G832" i="4"/>
  <c r="F832" i="4" s="1"/>
  <c r="G830" i="4"/>
  <c r="F830" i="4" s="1"/>
  <c r="G831" i="4"/>
  <c r="F831" i="4" s="1"/>
  <c r="G829" i="4"/>
  <c r="F829" i="4" s="1"/>
  <c r="G828" i="4"/>
  <c r="F828" i="4" s="1"/>
  <c r="G827" i="4"/>
  <c r="F827" i="4" s="1"/>
  <c r="G826" i="4"/>
  <c r="F826" i="4" s="1"/>
  <c r="G1438" i="4"/>
  <c r="F1438" i="4" s="1"/>
  <c r="G236" i="4"/>
  <c r="F236" i="4" s="1"/>
  <c r="G1436" i="4"/>
  <c r="F1436" i="4" s="1"/>
  <c r="G825" i="4"/>
  <c r="F825" i="4" s="1"/>
  <c r="G1437" i="4"/>
  <c r="F1437" i="4" s="1"/>
  <c r="G824" i="4"/>
  <c r="F824" i="4" s="1"/>
  <c r="G823" i="4"/>
  <c r="F823" i="4" s="1"/>
  <c r="G822" i="4"/>
  <c r="F822" i="4" s="1"/>
  <c r="G1434" i="4"/>
  <c r="F1434" i="4" s="1"/>
  <c r="G1435" i="4"/>
  <c r="F1435" i="4" s="1"/>
  <c r="G821" i="4"/>
  <c r="F821" i="4" s="1"/>
  <c r="G819" i="4"/>
  <c r="F819" i="4" s="1"/>
  <c r="G820" i="4"/>
  <c r="F820" i="4" s="1"/>
  <c r="G817" i="4"/>
  <c r="F817" i="4" s="1"/>
  <c r="G818" i="4"/>
  <c r="F818" i="4" s="1"/>
  <c r="G1433" i="4"/>
  <c r="F1433" i="4" s="1"/>
  <c r="G816" i="4"/>
  <c r="F816" i="4" s="1"/>
  <c r="G1432" i="4"/>
  <c r="F1432" i="4" s="1"/>
  <c r="G815" i="4"/>
  <c r="F815" i="4" s="1"/>
  <c r="G813" i="4"/>
  <c r="F813" i="4" s="1"/>
  <c r="G814" i="4"/>
  <c r="F814" i="4" s="1"/>
  <c r="G1430" i="4"/>
  <c r="F1430" i="4" s="1"/>
  <c r="G1431" i="4"/>
  <c r="F1431" i="4" s="1"/>
  <c r="G812" i="4"/>
  <c r="F812" i="4" s="1"/>
  <c r="G1429" i="4"/>
  <c r="F1429" i="4" s="1"/>
  <c r="G1428" i="4"/>
  <c r="F1428" i="4" s="1"/>
  <c r="G811" i="4"/>
  <c r="F811" i="4" s="1"/>
  <c r="G1427" i="4"/>
  <c r="F1427" i="4" s="1"/>
  <c r="G809" i="4"/>
  <c r="F809" i="4" s="1"/>
  <c r="G810" i="4"/>
  <c r="F810" i="4" s="1"/>
  <c r="G808" i="4"/>
  <c r="F808" i="4" s="1"/>
  <c r="G806" i="4"/>
  <c r="F806" i="4" s="1"/>
  <c r="G807" i="4"/>
  <c r="F807" i="4" s="1"/>
  <c r="G1426" i="4"/>
  <c r="F1426" i="4" s="1"/>
  <c r="G805" i="4"/>
  <c r="F805" i="4" s="1"/>
  <c r="G804" i="4"/>
  <c r="F804" i="4" s="1"/>
  <c r="G803" i="4"/>
  <c r="F803" i="4" s="1"/>
  <c r="G802" i="4"/>
  <c r="F802" i="4" s="1"/>
  <c r="G801" i="4"/>
  <c r="F801" i="4" s="1"/>
  <c r="G800" i="4"/>
  <c r="F800" i="4" s="1"/>
  <c r="G799" i="4"/>
  <c r="F799" i="4" s="1"/>
  <c r="G798" i="4"/>
  <c r="F798" i="4" s="1"/>
  <c r="G797" i="4"/>
  <c r="F797" i="4" s="1"/>
  <c r="G796" i="4"/>
  <c r="F796" i="4" s="1"/>
  <c r="G795" i="4"/>
  <c r="F795" i="4" s="1"/>
  <c r="G1425" i="4"/>
  <c r="F1425" i="4" s="1"/>
  <c r="G794" i="4"/>
  <c r="F794" i="4" s="1"/>
  <c r="G5" i="4"/>
  <c r="F5" i="4" s="1"/>
  <c r="G235" i="4"/>
  <c r="F235" i="4" s="1"/>
  <c r="G793" i="4"/>
  <c r="F793" i="4" s="1"/>
  <c r="G1424" i="4"/>
  <c r="F1424" i="4" s="1"/>
  <c r="G792" i="4"/>
  <c r="F792" i="4" s="1"/>
  <c r="G791" i="4"/>
  <c r="F791" i="4" s="1"/>
  <c r="G1423" i="4"/>
  <c r="F1423" i="4" s="1"/>
  <c r="G790" i="4"/>
  <c r="F790" i="4" s="1"/>
  <c r="G789" i="4"/>
  <c r="F789" i="4" s="1"/>
  <c r="G1422" i="4"/>
  <c r="F1422" i="4" s="1"/>
  <c r="G1420" i="4"/>
  <c r="F1420" i="4" s="1"/>
  <c r="G1421" i="4"/>
  <c r="F1421" i="4" s="1"/>
  <c r="G1419" i="4"/>
  <c r="F1419" i="4" s="1"/>
  <c r="G1418" i="4"/>
  <c r="F1418" i="4" s="1"/>
  <c r="G1417" i="4"/>
  <c r="F1417" i="4" s="1"/>
  <c r="G1416" i="4"/>
  <c r="F1416" i="4" s="1"/>
  <c r="G1415" i="4"/>
  <c r="F1415" i="4" s="1"/>
  <c r="G1414" i="4"/>
  <c r="F1414" i="4" s="1"/>
  <c r="G788" i="4"/>
  <c r="F788" i="4" s="1"/>
  <c r="G787" i="4"/>
  <c r="F787" i="4" s="1"/>
  <c r="G1413" i="4"/>
  <c r="F1413" i="4" s="1"/>
  <c r="G786" i="4"/>
  <c r="F786" i="4" s="1"/>
  <c r="G785" i="4"/>
  <c r="F785" i="4" s="1"/>
  <c r="G784" i="4"/>
  <c r="F784" i="4" s="1"/>
  <c r="G783" i="4"/>
  <c r="F783" i="4" s="1"/>
  <c r="G781" i="4"/>
  <c r="F781" i="4" s="1"/>
  <c r="G782" i="4"/>
  <c r="F782" i="4" s="1"/>
  <c r="G1411" i="4"/>
  <c r="F1411" i="4" s="1"/>
  <c r="G1412" i="4"/>
  <c r="F1412" i="4" s="1"/>
  <c r="G780" i="4"/>
  <c r="F780" i="4" s="1"/>
  <c r="G779" i="4"/>
  <c r="F779" i="4" s="1"/>
  <c r="G1410" i="4"/>
  <c r="F1410" i="4" s="1"/>
  <c r="G778" i="4"/>
  <c r="F778" i="4" s="1"/>
  <c r="G777" i="4"/>
  <c r="F777" i="4" s="1"/>
  <c r="G776" i="4"/>
  <c r="F776" i="4" s="1"/>
  <c r="G774" i="4"/>
  <c r="F774" i="4" s="1"/>
  <c r="G775" i="4"/>
  <c r="F775" i="4" s="1"/>
  <c r="G234" i="4"/>
  <c r="F234" i="4" s="1"/>
  <c r="G773" i="4"/>
  <c r="F773" i="4" s="1"/>
  <c r="G772" i="4"/>
  <c r="F772" i="4" s="1"/>
  <c r="G771" i="4"/>
  <c r="F771" i="4" s="1"/>
  <c r="G770" i="4"/>
  <c r="F770" i="4" s="1"/>
  <c r="G769" i="4"/>
  <c r="F769" i="4" s="1"/>
  <c r="G768" i="4"/>
  <c r="F768" i="4" s="1"/>
  <c r="G767" i="4"/>
  <c r="F767" i="4" s="1"/>
  <c r="G766" i="4"/>
  <c r="F766" i="4" s="1"/>
  <c r="G1409" i="4"/>
  <c r="F1409" i="4" s="1"/>
  <c r="G233" i="4"/>
  <c r="F233" i="4" s="1"/>
  <c r="G765" i="4"/>
  <c r="F765" i="4" s="1"/>
  <c r="G764" i="4"/>
  <c r="F764" i="4" s="1"/>
  <c r="G1408" i="4"/>
  <c r="F1408" i="4" s="1"/>
  <c r="G763" i="4"/>
  <c r="F763" i="4" s="1"/>
  <c r="G762" i="4"/>
  <c r="F762" i="4" s="1"/>
  <c r="G761" i="4"/>
  <c r="F761" i="4" s="1"/>
  <c r="G760" i="4"/>
  <c r="F760" i="4" s="1"/>
  <c r="G759" i="4"/>
  <c r="F759" i="4" s="1"/>
  <c r="G758" i="4"/>
  <c r="F758" i="4" s="1"/>
  <c r="G757" i="4"/>
  <c r="F757" i="4" s="1"/>
  <c r="G1407" i="4"/>
  <c r="F1407" i="4" s="1"/>
  <c r="G1406" i="4"/>
  <c r="F1406" i="4" s="1"/>
  <c r="G1405" i="4"/>
  <c r="F1405" i="4" s="1"/>
  <c r="G1404" i="4"/>
  <c r="F1404" i="4" s="1"/>
  <c r="G1403" i="4"/>
  <c r="F1403" i="4" s="1"/>
  <c r="G1401" i="4"/>
  <c r="F1401" i="4" s="1"/>
  <c r="G1402" i="4"/>
  <c r="F1402" i="4" s="1"/>
  <c r="G1399" i="4"/>
  <c r="F1399" i="4" s="1"/>
  <c r="G1400" i="4"/>
  <c r="F1400" i="4" s="1"/>
  <c r="G1398" i="4"/>
  <c r="F1398" i="4" s="1"/>
  <c r="G755" i="4"/>
  <c r="F755" i="4" s="1"/>
  <c r="G756" i="4"/>
  <c r="F756" i="4" s="1"/>
  <c r="G1397" i="4"/>
  <c r="F1397" i="4" s="1"/>
  <c r="G754" i="4"/>
  <c r="F754" i="4" s="1"/>
  <c r="G753" i="4"/>
  <c r="F753" i="4" s="1"/>
  <c r="G752" i="4"/>
  <c r="F752" i="4" s="1"/>
  <c r="G751" i="4"/>
  <c r="F751" i="4" s="1"/>
  <c r="G1396" i="4"/>
  <c r="F1396" i="4" s="1"/>
  <c r="G1395" i="4"/>
  <c r="F1395" i="4" s="1"/>
  <c r="G1394" i="4"/>
  <c r="F1394" i="4" s="1"/>
  <c r="G1392" i="4"/>
  <c r="F1392" i="4" s="1"/>
  <c r="G1393" i="4"/>
  <c r="F1393" i="4" s="1"/>
  <c r="G1391" i="4"/>
  <c r="F1391" i="4" s="1"/>
  <c r="G1390" i="4"/>
  <c r="F1390" i="4" s="1"/>
  <c r="G1389" i="4"/>
  <c r="F1389" i="4" s="1"/>
  <c r="G749" i="4"/>
  <c r="F749" i="4" s="1"/>
  <c r="G750" i="4"/>
  <c r="F750" i="4" s="1"/>
  <c r="G232" i="4"/>
  <c r="F232" i="4" s="1"/>
  <c r="G1388" i="4"/>
  <c r="F1388" i="4" s="1"/>
  <c r="G1386" i="4"/>
  <c r="F1386" i="4" s="1"/>
  <c r="G1387" i="4"/>
  <c r="F1387" i="4" s="1"/>
  <c r="G1385" i="4"/>
  <c r="F1385" i="4" s="1"/>
  <c r="G1384" i="4"/>
  <c r="F1384" i="4" s="1"/>
  <c r="G1383" i="4"/>
  <c r="F1383" i="4" s="1"/>
  <c r="G1382" i="4"/>
  <c r="F1382" i="4" s="1"/>
  <c r="G1381" i="4"/>
  <c r="F1381" i="4" s="1"/>
  <c r="G1380" i="4"/>
  <c r="F1380" i="4" s="1"/>
  <c r="G1378" i="4"/>
  <c r="F1378" i="4" s="1"/>
  <c r="G1379" i="4"/>
  <c r="F1379" i="4" s="1"/>
  <c r="G748" i="4"/>
  <c r="F748" i="4" s="1"/>
  <c r="G747" i="4"/>
  <c r="F747" i="4" s="1"/>
  <c r="G231" i="4"/>
  <c r="F231" i="4" s="1"/>
  <c r="G746" i="4"/>
  <c r="F746" i="4" s="1"/>
  <c r="G745" i="4"/>
  <c r="F745" i="4" s="1"/>
  <c r="G743" i="4"/>
  <c r="F743" i="4" s="1"/>
  <c r="G744" i="4"/>
  <c r="F744" i="4" s="1"/>
  <c r="G742" i="4"/>
  <c r="F742" i="4" s="1"/>
  <c r="G6" i="4"/>
  <c r="F6" i="4" s="1"/>
  <c r="G741" i="4"/>
  <c r="F741" i="4" s="1"/>
  <c r="G1377" i="4"/>
  <c r="F1377" i="4" s="1"/>
  <c r="G740" i="4"/>
  <c r="F740" i="4" s="1"/>
  <c r="G1376" i="4"/>
  <c r="F1376" i="4" s="1"/>
  <c r="G738" i="4"/>
  <c r="F738" i="4" s="1"/>
  <c r="G739" i="4"/>
  <c r="F739" i="4" s="1"/>
  <c r="G737" i="4"/>
  <c r="F737" i="4" s="1"/>
  <c r="G736" i="4"/>
  <c r="F736" i="4" s="1"/>
  <c r="G1375" i="4"/>
  <c r="F1375" i="4" s="1"/>
  <c r="G734" i="4"/>
  <c r="F734" i="4" s="1"/>
  <c r="G735" i="4"/>
  <c r="F735" i="4" s="1"/>
  <c r="G1374" i="4"/>
  <c r="F1374" i="4" s="1"/>
  <c r="G732" i="4"/>
  <c r="F732" i="4" s="1"/>
  <c r="G733" i="4"/>
  <c r="F733" i="4" s="1"/>
  <c r="G730" i="4"/>
  <c r="F730" i="4" s="1"/>
  <c r="G731" i="4"/>
  <c r="F731" i="4" s="1"/>
  <c r="G1373" i="4"/>
  <c r="F1373" i="4" s="1"/>
  <c r="G1371" i="4"/>
  <c r="F1371" i="4" s="1"/>
  <c r="G1372" i="4"/>
  <c r="F1372" i="4" s="1"/>
  <c r="G1370" i="4"/>
  <c r="F1370" i="4" s="1"/>
  <c r="G1369" i="4"/>
  <c r="F1369" i="4" s="1"/>
  <c r="G1368" i="4"/>
  <c r="F1368" i="4" s="1"/>
  <c r="G1367" i="4"/>
  <c r="F1367" i="4" s="1"/>
  <c r="G1366" i="4"/>
  <c r="F1366" i="4" s="1"/>
  <c r="G729" i="4"/>
  <c r="F729" i="4" s="1"/>
  <c r="G728" i="4"/>
  <c r="F728" i="4" s="1"/>
  <c r="G727" i="4"/>
  <c r="F727" i="4" s="1"/>
  <c r="G726" i="4"/>
  <c r="F726" i="4" s="1"/>
  <c r="G725" i="4"/>
  <c r="F725" i="4" s="1"/>
  <c r="G724" i="4"/>
  <c r="F724" i="4" s="1"/>
  <c r="G723" i="4"/>
  <c r="F723" i="4" s="1"/>
  <c r="G722" i="4"/>
  <c r="F722" i="4" s="1"/>
  <c r="G1365" i="4"/>
  <c r="F1365" i="4" s="1"/>
  <c r="G1364" i="4"/>
  <c r="F1364" i="4" s="1"/>
  <c r="G1363" i="4"/>
  <c r="F1363" i="4" s="1"/>
  <c r="G1362" i="4"/>
  <c r="F1362" i="4" s="1"/>
  <c r="G1361" i="4"/>
  <c r="F1361" i="4" s="1"/>
  <c r="G721" i="4"/>
  <c r="F721" i="4" s="1"/>
  <c r="G1359" i="4"/>
  <c r="F1359" i="4" s="1"/>
  <c r="G1360" i="4"/>
  <c r="F1360" i="4" s="1"/>
  <c r="G1358" i="4"/>
  <c r="F1358" i="4" s="1"/>
  <c r="G720" i="4"/>
  <c r="F720" i="4" s="1"/>
  <c r="G718" i="4"/>
  <c r="F718" i="4" s="1"/>
  <c r="G719" i="4"/>
  <c r="F719" i="4" s="1"/>
  <c r="G1357" i="4"/>
  <c r="F1357" i="4" s="1"/>
  <c r="G1356" i="4"/>
  <c r="F1356" i="4" s="1"/>
  <c r="G1355" i="4"/>
  <c r="F1355" i="4" s="1"/>
  <c r="G1354" i="4"/>
  <c r="F1354" i="4" s="1"/>
  <c r="G1353" i="4"/>
  <c r="F1353" i="4" s="1"/>
  <c r="G1352" i="4"/>
  <c r="F1352" i="4" s="1"/>
  <c r="G1351" i="4"/>
  <c r="F1351" i="4" s="1"/>
  <c r="G1349" i="4"/>
  <c r="F1349" i="4" s="1"/>
  <c r="G1350" i="4"/>
  <c r="F1350" i="4" s="1"/>
  <c r="G1347" i="4"/>
  <c r="F1347" i="4" s="1"/>
  <c r="G1348" i="4"/>
  <c r="F1348" i="4" s="1"/>
  <c r="G717" i="4"/>
  <c r="F717" i="4" s="1"/>
  <c r="G1346" i="4"/>
  <c r="F1346" i="4" s="1"/>
  <c r="G716" i="4"/>
  <c r="F716" i="4" s="1"/>
  <c r="G715" i="4"/>
  <c r="F715" i="4" s="1"/>
  <c r="G714" i="4"/>
  <c r="F714" i="4" s="1"/>
  <c r="G713" i="4"/>
  <c r="F713" i="4" s="1"/>
  <c r="G712" i="4"/>
  <c r="F712" i="4" s="1"/>
  <c r="G711" i="4"/>
  <c r="F711" i="4" s="1"/>
  <c r="G1345" i="4"/>
  <c r="F1345" i="4" s="1"/>
  <c r="G710" i="4"/>
  <c r="F710" i="4" s="1"/>
  <c r="G709" i="4"/>
  <c r="F709" i="4" s="1"/>
  <c r="G708" i="4"/>
  <c r="F708" i="4" s="1"/>
  <c r="G707" i="4"/>
  <c r="F707" i="4" s="1"/>
  <c r="G706" i="4"/>
  <c r="F706" i="4" s="1"/>
  <c r="G224" i="4"/>
  <c r="F224" i="4" s="1"/>
  <c r="G225" i="4"/>
  <c r="F225" i="4" s="1"/>
  <c r="G705" i="4"/>
  <c r="F705" i="4" s="1"/>
  <c r="G1344" i="4"/>
  <c r="F1344" i="4" s="1"/>
  <c r="G704" i="4"/>
  <c r="F704" i="4" s="1"/>
  <c r="G223" i="4"/>
  <c r="F223" i="4" s="1"/>
  <c r="G703" i="4"/>
  <c r="F703" i="4" s="1"/>
  <c r="G1343" i="4"/>
  <c r="F1343" i="4" s="1"/>
  <c r="G702" i="4"/>
  <c r="F702" i="4" s="1"/>
  <c r="G701" i="4"/>
  <c r="F701" i="4" s="1"/>
  <c r="G700" i="4"/>
  <c r="F700" i="4" s="1"/>
  <c r="G1342" i="4"/>
  <c r="F1342" i="4" s="1"/>
  <c r="G699" i="4"/>
  <c r="F699" i="4" s="1"/>
  <c r="G698" i="4"/>
  <c r="F698" i="4" s="1"/>
  <c r="G1341" i="4"/>
  <c r="F1341" i="4" s="1"/>
  <c r="G1340" i="4"/>
  <c r="F1340" i="4" s="1"/>
  <c r="G697" i="4"/>
  <c r="F697" i="4" s="1"/>
  <c r="G1339" i="4"/>
  <c r="F1339" i="4" s="1"/>
  <c r="G1337" i="4"/>
  <c r="F1337" i="4" s="1"/>
  <c r="G1338" i="4"/>
  <c r="F1338" i="4" s="1"/>
  <c r="G1336" i="4"/>
  <c r="F1336" i="4" s="1"/>
  <c r="G696" i="4"/>
  <c r="F696" i="4" s="1"/>
  <c r="G1335" i="4"/>
  <c r="F1335" i="4" s="1"/>
  <c r="G695" i="4"/>
  <c r="F695" i="4" s="1"/>
  <c r="G1334" i="4"/>
  <c r="F1334" i="4" s="1"/>
  <c r="G694" i="4"/>
  <c r="F694" i="4" s="1"/>
  <c r="G1331" i="4"/>
  <c r="F1331" i="4" s="1"/>
  <c r="G1332" i="4"/>
  <c r="F1332" i="4" s="1"/>
  <c r="G1333" i="4"/>
  <c r="F1333" i="4" s="1"/>
  <c r="G1329" i="4"/>
  <c r="F1329" i="4" s="1"/>
  <c r="G1330" i="4"/>
  <c r="F1330" i="4" s="1"/>
  <c r="G1328" i="4"/>
  <c r="F1328" i="4" s="1"/>
  <c r="G1327" i="4"/>
  <c r="F1327" i="4" s="1"/>
  <c r="G1326" i="4"/>
  <c r="F1326" i="4" s="1"/>
  <c r="G1325" i="4"/>
  <c r="F1325" i="4" s="1"/>
  <c r="G1324" i="4"/>
  <c r="F1324" i="4" s="1"/>
  <c r="G1323" i="4"/>
  <c r="F1323" i="4" s="1"/>
  <c r="G693" i="4"/>
  <c r="F693" i="4" s="1"/>
  <c r="G692" i="4"/>
  <c r="F692" i="4" s="1"/>
  <c r="G691" i="4"/>
  <c r="F691" i="4" s="1"/>
  <c r="G1322" i="4"/>
  <c r="F1322" i="4" s="1"/>
  <c r="G690" i="4"/>
  <c r="F690" i="4" s="1"/>
  <c r="G689" i="4"/>
  <c r="F689" i="4" s="1"/>
  <c r="G687" i="4"/>
  <c r="F687" i="4" s="1"/>
  <c r="G688" i="4"/>
  <c r="F688" i="4" s="1"/>
  <c r="G1321" i="4"/>
  <c r="F1321" i="4" s="1"/>
  <c r="G686" i="4"/>
  <c r="F686" i="4" s="1"/>
  <c r="G685" i="4"/>
  <c r="F685" i="4" s="1"/>
  <c r="G684" i="4"/>
  <c r="F684" i="4" s="1"/>
  <c r="G1320" i="4"/>
  <c r="F1320" i="4" s="1"/>
  <c r="G682" i="4"/>
  <c r="F682" i="4" s="1"/>
  <c r="G683" i="4"/>
  <c r="F683" i="4" s="1"/>
  <c r="G681" i="4"/>
  <c r="F681" i="4" s="1"/>
  <c r="G680" i="4"/>
  <c r="F680" i="4" s="1"/>
  <c r="G679" i="4"/>
  <c r="F679" i="4" s="1"/>
  <c r="G677" i="4"/>
  <c r="F677" i="4" s="1"/>
  <c r="G678" i="4"/>
  <c r="F678" i="4" s="1"/>
  <c r="G674" i="4"/>
  <c r="F674" i="4" s="1"/>
  <c r="G675" i="4"/>
  <c r="F675" i="4" s="1"/>
  <c r="G676" i="4"/>
  <c r="F676" i="4" s="1"/>
  <c r="G673" i="4"/>
  <c r="F673" i="4" s="1"/>
  <c r="G672" i="4"/>
  <c r="F672" i="4" s="1"/>
  <c r="G670" i="4"/>
  <c r="F670" i="4" s="1"/>
  <c r="G671" i="4"/>
  <c r="F671" i="4" s="1"/>
  <c r="G669" i="4"/>
  <c r="F669" i="4" s="1"/>
  <c r="G1319" i="4"/>
  <c r="F1319" i="4" s="1"/>
  <c r="G1318" i="4"/>
  <c r="F1318" i="4" s="1"/>
  <c r="G668" i="4"/>
  <c r="F668" i="4" s="1"/>
  <c r="G667" i="4"/>
  <c r="F667" i="4" s="1"/>
  <c r="G666" i="4"/>
  <c r="F666" i="4" s="1"/>
  <c r="G664" i="4"/>
  <c r="F664" i="4" s="1"/>
  <c r="G665" i="4"/>
  <c r="F665" i="4" s="1"/>
  <c r="G663" i="4"/>
  <c r="F663" i="4" s="1"/>
  <c r="G1317" i="4"/>
  <c r="F1317" i="4" s="1"/>
  <c r="G1316" i="4"/>
  <c r="F1316" i="4" s="1"/>
  <c r="G1314" i="4"/>
  <c r="F1314" i="4" s="1"/>
  <c r="G1315" i="4"/>
  <c r="F1315" i="4" s="1"/>
  <c r="G662" i="4"/>
  <c r="F662" i="4" s="1"/>
  <c r="G1311" i="4"/>
  <c r="F1311" i="4" s="1"/>
  <c r="G1312" i="4"/>
  <c r="F1312" i="4" s="1"/>
  <c r="G1313" i="4"/>
  <c r="F1313" i="4" s="1"/>
  <c r="G1309" i="4"/>
  <c r="F1309" i="4" s="1"/>
  <c r="G1310" i="4"/>
  <c r="F1310" i="4" s="1"/>
  <c r="G1308" i="4"/>
  <c r="F1308" i="4" s="1"/>
  <c r="G1307" i="4"/>
  <c r="F1307" i="4" s="1"/>
  <c r="G1305" i="4"/>
  <c r="F1305" i="4" s="1"/>
  <c r="G1306" i="4"/>
  <c r="F1306" i="4" s="1"/>
  <c r="G1304" i="4"/>
  <c r="F1304" i="4" s="1"/>
  <c r="G3" i="4"/>
  <c r="F3" i="4" s="1"/>
  <c r="G222" i="4"/>
  <c r="F222" i="4" s="1"/>
  <c r="G660" i="4"/>
  <c r="F660" i="4" s="1"/>
  <c r="G661" i="4"/>
  <c r="F661" i="4" s="1"/>
  <c r="G659" i="4"/>
  <c r="F659" i="4" s="1"/>
  <c r="G658" i="4"/>
  <c r="F658" i="4" s="1"/>
  <c r="G656" i="4"/>
  <c r="F656" i="4" s="1"/>
  <c r="G657" i="4"/>
  <c r="F657" i="4" s="1"/>
  <c r="G1303" i="4"/>
  <c r="F1303" i="4" s="1"/>
  <c r="G654" i="4"/>
  <c r="F654" i="4" s="1"/>
  <c r="G655" i="4"/>
  <c r="F655" i="4" s="1"/>
  <c r="G221" i="4"/>
  <c r="F221" i="4" s="1"/>
  <c r="G653" i="4"/>
  <c r="F653" i="4" s="1"/>
  <c r="G220" i="4"/>
  <c r="F220" i="4" s="1"/>
  <c r="G652" i="4"/>
  <c r="F652" i="4" s="1"/>
  <c r="G651" i="4"/>
  <c r="F651" i="4" s="1"/>
  <c r="G1302" i="4"/>
  <c r="F1302" i="4" s="1"/>
  <c r="G650" i="4"/>
  <c r="F650" i="4" s="1"/>
  <c r="G2" i="4"/>
  <c r="F2" i="4" s="1"/>
  <c r="G649" i="4"/>
  <c r="F649" i="4" s="1"/>
  <c r="G1301" i="4"/>
  <c r="F1301" i="4" s="1"/>
  <c r="G648" i="4"/>
  <c r="F648" i="4" s="1"/>
  <c r="G647" i="4"/>
  <c r="F647" i="4" s="1"/>
  <c r="G1300" i="4"/>
  <c r="F1300" i="4" s="1"/>
  <c r="G1298" i="4"/>
  <c r="F1298" i="4" s="1"/>
  <c r="G1299" i="4"/>
  <c r="F1299" i="4" s="1"/>
  <c r="G1297" i="4"/>
  <c r="F1297" i="4" s="1"/>
  <c r="G1296" i="4"/>
  <c r="F1296" i="4" s="1"/>
  <c r="G646" i="4"/>
  <c r="F646" i="4" s="1"/>
  <c r="G644" i="4"/>
  <c r="F644" i="4" s="1"/>
  <c r="G645" i="4"/>
  <c r="F645" i="4" s="1"/>
  <c r="G643" i="4"/>
  <c r="F643" i="4" s="1"/>
  <c r="G641" i="4"/>
  <c r="F641" i="4" s="1"/>
  <c r="G642" i="4"/>
  <c r="F642" i="4" s="1"/>
  <c r="G640" i="4"/>
  <c r="F640" i="4" s="1"/>
  <c r="G1295" i="4"/>
  <c r="F1295" i="4" s="1"/>
  <c r="G1294" i="4"/>
  <c r="F1294" i="4" s="1"/>
  <c r="G185" i="4"/>
  <c r="F185" i="4" s="1"/>
  <c r="G639" i="4"/>
  <c r="F639" i="4" s="1"/>
  <c r="G638" i="4"/>
  <c r="F638" i="4" s="1"/>
  <c r="G1293" i="4"/>
  <c r="F1293" i="4" s="1"/>
  <c r="G1292" i="4"/>
  <c r="F1292" i="4" s="1"/>
  <c r="G1290" i="4"/>
  <c r="F1290" i="4" s="1"/>
  <c r="G1291" i="4"/>
  <c r="F1291" i="4" s="1"/>
  <c r="G1289" i="4"/>
  <c r="F1289" i="4" s="1"/>
  <c r="G1288" i="4"/>
  <c r="F1288" i="4" s="1"/>
  <c r="G219" i="4"/>
  <c r="F219" i="4" s="1"/>
  <c r="G1287" i="4"/>
  <c r="F1287" i="4" s="1"/>
  <c r="G1286" i="4"/>
  <c r="F1286" i="4" s="1"/>
  <c r="G637" i="4"/>
  <c r="F637" i="4" s="1"/>
  <c r="G1285" i="4"/>
  <c r="F1285" i="4" s="1"/>
  <c r="G1284" i="4"/>
  <c r="F1284" i="4" s="1"/>
  <c r="G1283" i="4"/>
  <c r="F1283" i="4" s="1"/>
  <c r="G1282" i="4"/>
  <c r="F1282" i="4" s="1"/>
  <c r="G218" i="4"/>
  <c r="F218" i="4" s="1"/>
  <c r="G1281" i="4"/>
  <c r="F1281" i="4" s="1"/>
  <c r="G217" i="4"/>
  <c r="F217" i="4" s="1"/>
  <c r="G636" i="4"/>
  <c r="F636" i="4" s="1"/>
  <c r="G635" i="4"/>
  <c r="F635" i="4" s="1"/>
  <c r="G634" i="4"/>
  <c r="F634" i="4" s="1"/>
  <c r="G633" i="4"/>
  <c r="F633" i="4" s="1"/>
  <c r="G1279" i="4"/>
  <c r="F1279" i="4" s="1"/>
  <c r="G1280" i="4"/>
  <c r="F1280" i="4" s="1"/>
  <c r="G1278" i="4"/>
  <c r="F1278" i="4" s="1"/>
  <c r="G1277" i="4"/>
  <c r="F1277" i="4" s="1"/>
  <c r="G1276" i="4"/>
  <c r="F1276" i="4" s="1"/>
  <c r="G632" i="4"/>
  <c r="F632" i="4" s="1"/>
  <c r="G631" i="4"/>
  <c r="F631" i="4" s="1"/>
  <c r="G629" i="4"/>
  <c r="F629" i="4" s="1"/>
  <c r="G216" i="4"/>
  <c r="F216" i="4" s="1"/>
  <c r="G630" i="4"/>
  <c r="F630" i="4" s="1"/>
  <c r="G215" i="4"/>
  <c r="F215" i="4" s="1"/>
  <c r="G1275" i="4"/>
  <c r="F1275" i="4" s="1"/>
  <c r="G214" i="4"/>
  <c r="F214" i="4" s="1"/>
  <c r="G628" i="4"/>
  <c r="F628" i="4" s="1"/>
  <c r="G627" i="4"/>
  <c r="F627" i="4" s="1"/>
  <c r="G1274" i="4"/>
  <c r="F1274" i="4" s="1"/>
  <c r="G213" i="4"/>
  <c r="F213" i="4" s="1"/>
  <c r="G626" i="4"/>
  <c r="F626" i="4" s="1"/>
  <c r="G1273" i="4"/>
  <c r="F1273" i="4" s="1"/>
  <c r="G625" i="4"/>
  <c r="F625" i="4" s="1"/>
  <c r="G624" i="4"/>
  <c r="F624" i="4" s="1"/>
  <c r="G623" i="4"/>
  <c r="F623" i="4" s="1"/>
  <c r="G1272" i="4"/>
  <c r="F1272" i="4" s="1"/>
  <c r="G1271" i="4"/>
  <c r="F1271" i="4" s="1"/>
  <c r="G622" i="4"/>
  <c r="F622" i="4" s="1"/>
  <c r="G621" i="4"/>
  <c r="F621" i="4" s="1"/>
  <c r="G620" i="4"/>
  <c r="F620" i="4" s="1"/>
  <c r="G619" i="4"/>
  <c r="F619" i="4" s="1"/>
  <c r="G1270" i="4"/>
  <c r="F1270" i="4" s="1"/>
  <c r="G618" i="4"/>
  <c r="F618" i="4" s="1"/>
  <c r="G212" i="4"/>
  <c r="F212" i="4" s="1"/>
  <c r="G617" i="4"/>
  <c r="F617" i="4" s="1"/>
  <c r="G1269" i="4"/>
  <c r="F1269" i="4" s="1"/>
  <c r="G616" i="4"/>
  <c r="F616" i="4" s="1"/>
  <c r="G1268" i="4"/>
  <c r="F1268" i="4" s="1"/>
  <c r="G31" i="4"/>
  <c r="F31" i="4" s="1"/>
  <c r="G615" i="4"/>
  <c r="F615" i="4" s="1"/>
  <c r="G1267" i="4"/>
  <c r="F1267" i="4" s="1"/>
  <c r="G17" i="4"/>
  <c r="F17" i="4" s="1"/>
  <c r="G614" i="4"/>
  <c r="F614" i="4" s="1"/>
  <c r="G613" i="4"/>
  <c r="F613" i="4" s="1"/>
  <c r="G1266" i="4"/>
  <c r="F1266" i="4" s="1"/>
  <c r="G610" i="4"/>
  <c r="F610" i="4" s="1"/>
  <c r="G611" i="4"/>
  <c r="F611" i="4" s="1"/>
  <c r="G612" i="4"/>
  <c r="F612" i="4" s="1"/>
  <c r="G1264" i="4"/>
  <c r="F1264" i="4" s="1"/>
  <c r="G1265" i="4"/>
  <c r="F1265" i="4" s="1"/>
  <c r="G1263" i="4"/>
  <c r="F1263" i="4" s="1"/>
  <c r="G1262" i="4"/>
  <c r="F1262" i="4" s="1"/>
  <c r="G1261" i="4"/>
  <c r="F1261" i="4" s="1"/>
  <c r="G1259" i="4"/>
  <c r="F1259" i="4" s="1"/>
  <c r="G1260" i="4"/>
  <c r="F1260" i="4" s="1"/>
  <c r="G1258" i="4"/>
  <c r="F1258" i="4" s="1"/>
  <c r="G609" i="4"/>
  <c r="F609" i="4" s="1"/>
  <c r="G608" i="4"/>
  <c r="F608" i="4" s="1"/>
  <c r="G607" i="4"/>
  <c r="F607" i="4" s="1"/>
  <c r="G606" i="4"/>
  <c r="F606" i="4" s="1"/>
  <c r="G605" i="4"/>
  <c r="F605" i="4" s="1"/>
  <c r="G1257" i="4"/>
  <c r="F1257" i="4" s="1"/>
  <c r="G1256" i="4"/>
  <c r="F1256" i="4" s="1"/>
  <c r="G1254" i="4"/>
  <c r="F1254" i="4" s="1"/>
  <c r="G1255" i="4"/>
  <c r="F1255" i="4" s="1"/>
  <c r="G211" i="4"/>
  <c r="F211" i="4" s="1"/>
  <c r="G604" i="4"/>
  <c r="F604" i="4" s="1"/>
  <c r="G1253" i="4"/>
  <c r="F1253" i="4" s="1"/>
  <c r="G1251" i="4"/>
  <c r="F1251" i="4" s="1"/>
  <c r="G1252" i="4"/>
  <c r="F1252" i="4" s="1"/>
  <c r="G1249" i="4"/>
  <c r="F1249" i="4" s="1"/>
  <c r="G1250" i="4"/>
  <c r="F1250" i="4" s="1"/>
  <c r="G1248" i="4"/>
  <c r="F1248" i="4" s="1"/>
  <c r="G1247" i="4"/>
  <c r="F1247" i="4" s="1"/>
  <c r="G1246" i="4"/>
  <c r="F1246" i="4" s="1"/>
  <c r="G603" i="4"/>
  <c r="F603" i="4" s="1"/>
  <c r="G602" i="4"/>
  <c r="F602" i="4" s="1"/>
  <c r="G1244" i="4"/>
  <c r="F1244" i="4" s="1"/>
  <c r="G1245" i="4"/>
  <c r="F1245" i="4" s="1"/>
  <c r="G601" i="4"/>
  <c r="F601" i="4" s="1"/>
  <c r="G1243" i="4"/>
  <c r="F1243" i="4" s="1"/>
  <c r="G600" i="4"/>
  <c r="F600" i="4" s="1"/>
  <c r="G190" i="4"/>
  <c r="F190" i="4" s="1"/>
  <c r="G45" i="4"/>
  <c r="F45" i="4" s="1"/>
  <c r="G86" i="4"/>
  <c r="F86" i="4" s="1"/>
  <c r="G599" i="4"/>
  <c r="F599" i="4" s="1"/>
  <c r="G597" i="4"/>
  <c r="F597" i="4" s="1"/>
  <c r="G598" i="4"/>
  <c r="F598" i="4" s="1"/>
  <c r="G1241" i="4"/>
  <c r="F1241" i="4" s="1"/>
  <c r="G1242" i="4"/>
  <c r="F1242" i="4" s="1"/>
  <c r="G1238" i="4"/>
  <c r="F1238" i="4" s="1"/>
  <c r="G1239" i="4"/>
  <c r="F1239" i="4" s="1"/>
  <c r="G1240" i="4"/>
  <c r="F1240" i="4" s="1"/>
  <c r="G1237" i="4"/>
  <c r="F1237" i="4" s="1"/>
  <c r="G1236" i="4"/>
  <c r="F1236" i="4" s="1"/>
  <c r="G1235" i="4"/>
  <c r="F1235" i="4" s="1"/>
  <c r="G1232" i="4"/>
  <c r="F1232" i="4" s="1"/>
  <c r="G1233" i="4"/>
  <c r="F1233" i="4" s="1"/>
  <c r="G1234" i="4"/>
  <c r="F1234" i="4" s="1"/>
  <c r="G1229" i="4"/>
  <c r="F1229" i="4" s="1"/>
  <c r="G1230" i="4"/>
  <c r="F1230" i="4" s="1"/>
  <c r="G1231" i="4"/>
  <c r="F1231" i="4" s="1"/>
  <c r="G1226" i="4"/>
  <c r="F1226" i="4" s="1"/>
  <c r="G1227" i="4"/>
  <c r="F1227" i="4" s="1"/>
  <c r="G1228" i="4"/>
  <c r="F1228" i="4" s="1"/>
  <c r="G1225" i="4"/>
  <c r="F1225" i="4" s="1"/>
  <c r="G165" i="4"/>
  <c r="F165" i="4" s="1"/>
  <c r="G139" i="4"/>
  <c r="F139" i="4" s="1"/>
  <c r="G128" i="4"/>
  <c r="F128" i="4" s="1"/>
  <c r="G155" i="4"/>
  <c r="F155" i="4" s="1"/>
  <c r="G138" i="4"/>
  <c r="F138" i="4" s="1"/>
  <c r="G41" i="4"/>
  <c r="F41" i="4" s="1"/>
  <c r="G100" i="4"/>
  <c r="F100" i="4" s="1"/>
  <c r="G114" i="4"/>
  <c r="F114" i="4" s="1"/>
  <c r="G76" i="4"/>
  <c r="F76" i="4" s="1"/>
  <c r="G113" i="4"/>
  <c r="F113" i="4" s="1"/>
  <c r="G143" i="4"/>
  <c r="F143" i="4" s="1"/>
  <c r="G65" i="4"/>
  <c r="F65" i="4" s="1"/>
  <c r="G169" i="4"/>
  <c r="F169" i="4" s="1"/>
  <c r="G1224" i="4"/>
  <c r="F1224" i="4" s="1"/>
  <c r="G595" i="4"/>
  <c r="F595" i="4" s="1"/>
  <c r="G596" i="4"/>
  <c r="F596" i="4" s="1"/>
  <c r="G593" i="4"/>
  <c r="F593" i="4" s="1"/>
  <c r="G594" i="4"/>
  <c r="F594" i="4" s="1"/>
  <c r="G592" i="4"/>
  <c r="F592" i="4" s="1"/>
  <c r="G590" i="4"/>
  <c r="F590" i="4" s="1"/>
  <c r="G591" i="4"/>
  <c r="F591" i="4" s="1"/>
  <c r="G589" i="4"/>
  <c r="F589" i="4" s="1"/>
  <c r="G587" i="4"/>
  <c r="F587" i="4" s="1"/>
  <c r="G588" i="4"/>
  <c r="F588" i="4" s="1"/>
  <c r="G586" i="4"/>
  <c r="F586" i="4" s="1"/>
  <c r="G585" i="4"/>
  <c r="F585" i="4" s="1"/>
  <c r="G1223" i="4"/>
  <c r="F1223" i="4" s="1"/>
  <c r="G1222" i="4"/>
  <c r="F1222" i="4" s="1"/>
  <c r="G1221" i="4"/>
  <c r="F1221" i="4" s="1"/>
  <c r="G1220" i="4"/>
  <c r="F1220" i="4" s="1"/>
  <c r="G1219" i="4"/>
  <c r="F1219" i="4" s="1"/>
  <c r="G1218" i="4"/>
  <c r="F1218" i="4" s="1"/>
  <c r="G584" i="4"/>
  <c r="F584" i="4" s="1"/>
  <c r="G210" i="4"/>
  <c r="F210" i="4" s="1"/>
  <c r="G189" i="4"/>
  <c r="F189" i="4" s="1"/>
  <c r="G1217" i="4"/>
  <c r="F1217" i="4" s="1"/>
  <c r="G1216" i="4"/>
  <c r="F1216" i="4" s="1"/>
  <c r="G1215" i="4"/>
  <c r="F1215" i="4" s="1"/>
  <c r="G583" i="4"/>
  <c r="F583" i="4" s="1"/>
  <c r="G1214" i="4"/>
  <c r="F1214" i="4" s="1"/>
  <c r="G582" i="4"/>
  <c r="F582" i="4" s="1"/>
  <c r="G1212" i="4"/>
  <c r="F1212" i="4" s="1"/>
  <c r="G1213" i="4"/>
  <c r="F1213" i="4" s="1"/>
  <c r="G1210" i="4"/>
  <c r="F1210" i="4" s="1"/>
  <c r="G1211" i="4"/>
  <c r="F1211" i="4" s="1"/>
  <c r="G1207" i="4"/>
  <c r="F1207" i="4" s="1"/>
  <c r="G1208" i="4"/>
  <c r="F1208" i="4" s="1"/>
  <c r="G1209" i="4"/>
  <c r="F1209" i="4" s="1"/>
  <c r="G1206" i="4"/>
  <c r="F1206" i="4" s="1"/>
  <c r="G1205" i="4"/>
  <c r="F1205" i="4" s="1"/>
  <c r="G1203" i="4"/>
  <c r="F1203" i="4" s="1"/>
  <c r="G1204" i="4"/>
  <c r="F1204" i="4" s="1"/>
  <c r="G581" i="4"/>
  <c r="F581" i="4" s="1"/>
  <c r="G580" i="4"/>
  <c r="F580" i="4" s="1"/>
  <c r="G579" i="4"/>
  <c r="F579" i="4" s="1"/>
  <c r="G578" i="4"/>
  <c r="F578" i="4" s="1"/>
  <c r="G576" i="4"/>
  <c r="F576" i="4" s="1"/>
  <c r="G577" i="4"/>
  <c r="F577" i="4" s="1"/>
  <c r="G575" i="4"/>
  <c r="F575" i="4" s="1"/>
  <c r="G574" i="4"/>
  <c r="F574" i="4" s="1"/>
  <c r="G572" i="4"/>
  <c r="F572" i="4" s="1"/>
  <c r="G573" i="4"/>
  <c r="F573" i="4" s="1"/>
  <c r="G571" i="4"/>
  <c r="F571" i="4" s="1"/>
  <c r="G570" i="4"/>
  <c r="F570" i="4" s="1"/>
  <c r="G569" i="4"/>
  <c r="F569" i="4" s="1"/>
  <c r="G568" i="4"/>
  <c r="F568" i="4" s="1"/>
  <c r="G567" i="4"/>
  <c r="F567" i="4" s="1"/>
  <c r="G566" i="4"/>
  <c r="F566" i="4" s="1"/>
  <c r="G565" i="4"/>
  <c r="F565" i="4" s="1"/>
  <c r="G564" i="4"/>
  <c r="F564" i="4" s="1"/>
  <c r="G563" i="4"/>
  <c r="F563" i="4" s="1"/>
  <c r="G562" i="4"/>
  <c r="F562" i="4" s="1"/>
  <c r="G561" i="4"/>
  <c r="F561" i="4" s="1"/>
  <c r="G1202" i="4"/>
  <c r="F1202" i="4" s="1"/>
  <c r="G560" i="4"/>
  <c r="F560" i="4" s="1"/>
  <c r="G559" i="4"/>
  <c r="F559" i="4" s="1"/>
  <c r="G558" i="4"/>
  <c r="F558" i="4" s="1"/>
  <c r="G1200" i="4"/>
  <c r="F1200" i="4" s="1"/>
  <c r="G557" i="4"/>
  <c r="F557" i="4" s="1"/>
  <c r="G1201" i="4"/>
  <c r="F1201" i="4" s="1"/>
  <c r="G556" i="4"/>
  <c r="F556" i="4" s="1"/>
  <c r="G554" i="4"/>
  <c r="F554" i="4" s="1"/>
  <c r="G555" i="4"/>
  <c r="F555" i="4" s="1"/>
  <c r="G553" i="4"/>
  <c r="F553" i="4" s="1"/>
  <c r="G552" i="4"/>
  <c r="F552" i="4" s="1"/>
  <c r="G551" i="4"/>
  <c r="F551" i="4" s="1"/>
  <c r="G1199" i="4"/>
  <c r="F1199" i="4" s="1"/>
  <c r="G549" i="4"/>
  <c r="F549" i="4" s="1"/>
  <c r="G550" i="4"/>
  <c r="F550" i="4" s="1"/>
  <c r="G209" i="4"/>
  <c r="F209" i="4" s="1"/>
  <c r="G548" i="4"/>
  <c r="F548" i="4" s="1"/>
  <c r="G547" i="4"/>
  <c r="F547" i="4" s="1"/>
  <c r="G208" i="4"/>
  <c r="F208" i="4" s="1"/>
  <c r="G1198" i="4"/>
  <c r="F1198" i="4" s="1"/>
  <c r="G546" i="4"/>
  <c r="F546" i="4" s="1"/>
  <c r="G545" i="4"/>
  <c r="F545" i="4" s="1"/>
  <c r="G544" i="4"/>
  <c r="F544" i="4" s="1"/>
  <c r="G1197" i="4"/>
  <c r="F1197" i="4" s="1"/>
  <c r="G543" i="4"/>
  <c r="F543" i="4" s="1"/>
  <c r="G542" i="4"/>
  <c r="F542" i="4" s="1"/>
  <c r="G1195" i="4"/>
  <c r="F1195" i="4" s="1"/>
  <c r="G1196" i="4"/>
  <c r="F1196" i="4" s="1"/>
  <c r="G1194" i="4"/>
  <c r="F1194" i="4" s="1"/>
  <c r="G1193" i="4"/>
  <c r="F1193" i="4" s="1"/>
  <c r="G1192" i="4"/>
  <c r="F1192" i="4" s="1"/>
  <c r="G541" i="4"/>
  <c r="F541" i="4" s="1"/>
  <c r="G1191" i="4"/>
  <c r="F1191" i="4" s="1"/>
  <c r="G540" i="4"/>
  <c r="F540" i="4" s="1"/>
  <c r="G539" i="4"/>
  <c r="F539" i="4" s="1"/>
  <c r="G1190" i="4"/>
  <c r="F1190" i="4" s="1"/>
  <c r="G538" i="4"/>
  <c r="F538" i="4" s="1"/>
  <c r="G537" i="4"/>
  <c r="F537" i="4" s="1"/>
  <c r="G536" i="4"/>
  <c r="F536" i="4" s="1"/>
  <c r="G535" i="4"/>
  <c r="F535" i="4" s="1"/>
  <c r="G534" i="4"/>
  <c r="F534" i="4" s="1"/>
  <c r="G532" i="4"/>
  <c r="F532" i="4" s="1"/>
  <c r="G533" i="4"/>
  <c r="F533" i="4" s="1"/>
  <c r="G1189" i="4"/>
  <c r="F1189" i="4" s="1"/>
  <c r="G1187" i="4"/>
  <c r="F1187" i="4" s="1"/>
  <c r="G1188" i="4"/>
  <c r="F1188" i="4" s="1"/>
  <c r="G530" i="4"/>
  <c r="F530" i="4" s="1"/>
  <c r="G531" i="4"/>
  <c r="F531" i="4" s="1"/>
  <c r="G1185" i="4"/>
  <c r="F1185" i="4" s="1"/>
  <c r="G1186" i="4"/>
  <c r="F1186" i="4" s="1"/>
  <c r="G528" i="4"/>
  <c r="F528" i="4" s="1"/>
  <c r="G1184" i="4"/>
  <c r="F1184" i="4" s="1"/>
  <c r="G529" i="4"/>
  <c r="F529" i="4" s="1"/>
  <c r="G527" i="4"/>
  <c r="F527" i="4" s="1"/>
  <c r="G1183" i="4"/>
  <c r="F1183" i="4" s="1"/>
  <c r="G1182" i="4"/>
  <c r="F1182" i="4" s="1"/>
  <c r="G93" i="4"/>
  <c r="F93" i="4" s="1"/>
  <c r="G526" i="4"/>
  <c r="F526" i="4" s="1"/>
  <c r="G1181" i="4"/>
  <c r="F1181" i="4" s="1"/>
  <c r="G525" i="4"/>
  <c r="F525" i="4" s="1"/>
  <c r="G523" i="4"/>
  <c r="F523" i="4" s="1"/>
  <c r="G524" i="4"/>
  <c r="F524" i="4" s="1"/>
  <c r="G522" i="4"/>
  <c r="F522" i="4" s="1"/>
  <c r="G521" i="4"/>
  <c r="F521" i="4" s="1"/>
  <c r="G518" i="4"/>
  <c r="F518" i="4" s="1"/>
  <c r="G519" i="4"/>
  <c r="F519" i="4" s="1"/>
  <c r="G520" i="4"/>
  <c r="F520" i="4" s="1"/>
  <c r="G517" i="4"/>
  <c r="F517" i="4" s="1"/>
  <c r="G516" i="4"/>
  <c r="F516" i="4" s="1"/>
  <c r="G1180" i="4"/>
  <c r="F1180" i="4" s="1"/>
  <c r="G515" i="4"/>
  <c r="F515" i="4" s="1"/>
  <c r="G514" i="4"/>
  <c r="F514" i="4" s="1"/>
  <c r="G513" i="4"/>
  <c r="F513" i="4" s="1"/>
  <c r="G511" i="4"/>
  <c r="F511" i="4" s="1"/>
  <c r="G512" i="4"/>
  <c r="F512" i="4" s="1"/>
  <c r="G510" i="4"/>
  <c r="F510" i="4" s="1"/>
  <c r="G509" i="4"/>
  <c r="F509" i="4" s="1"/>
  <c r="G508" i="4"/>
  <c r="F508" i="4" s="1"/>
  <c r="G507" i="4"/>
  <c r="F507" i="4" s="1"/>
  <c r="G506" i="4"/>
  <c r="F506" i="4" s="1"/>
  <c r="G505" i="4"/>
  <c r="F505" i="4" s="1"/>
  <c r="G1179" i="4"/>
  <c r="F1179" i="4" s="1"/>
  <c r="G503" i="4"/>
  <c r="F503" i="4" s="1"/>
  <c r="G504" i="4"/>
  <c r="F504" i="4" s="1"/>
  <c r="G500" i="4"/>
  <c r="F500" i="4" s="1"/>
  <c r="G501" i="4"/>
  <c r="F501" i="4" s="1"/>
  <c r="G502" i="4"/>
  <c r="F502" i="4" s="1"/>
  <c r="G499" i="4"/>
  <c r="F499" i="4" s="1"/>
  <c r="G498" i="4"/>
  <c r="F498" i="4" s="1"/>
  <c r="G496" i="4"/>
  <c r="F496" i="4" s="1"/>
  <c r="G497" i="4"/>
  <c r="F497" i="4" s="1"/>
  <c r="G1178" i="4"/>
  <c r="F1178" i="4" s="1"/>
  <c r="G495" i="4"/>
  <c r="F495" i="4" s="1"/>
  <c r="G494" i="4"/>
  <c r="F494" i="4" s="1"/>
  <c r="G1177" i="4"/>
  <c r="F1177" i="4" s="1"/>
  <c r="G491" i="4"/>
  <c r="F491" i="4" s="1"/>
  <c r="G492" i="4"/>
  <c r="F492" i="4" s="1"/>
  <c r="G493" i="4"/>
  <c r="F493" i="4" s="1"/>
  <c r="G490" i="4"/>
  <c r="F490" i="4" s="1"/>
  <c r="G489" i="4"/>
  <c r="F489" i="4" s="1"/>
  <c r="G1176" i="4"/>
  <c r="F1176" i="4" s="1"/>
  <c r="G1175" i="4"/>
  <c r="F1175" i="4" s="1"/>
  <c r="G1173" i="4"/>
  <c r="F1173" i="4" s="1"/>
  <c r="G1174" i="4"/>
  <c r="F1174" i="4" s="1"/>
  <c r="G75" i="4"/>
  <c r="F75" i="4" s="1"/>
  <c r="G74" i="4"/>
  <c r="F74" i="4" s="1"/>
  <c r="G99" i="4"/>
  <c r="F99" i="4" s="1"/>
  <c r="G112" i="4"/>
  <c r="F112" i="4" s="1"/>
  <c r="G84" i="4"/>
  <c r="F84" i="4" s="1"/>
  <c r="G488" i="4"/>
  <c r="F488" i="4" s="1"/>
  <c r="G1172" i="4"/>
  <c r="F1172" i="4" s="1"/>
  <c r="G487" i="4"/>
  <c r="F487" i="4" s="1"/>
  <c r="G127" i="4"/>
  <c r="F127" i="4" s="1"/>
  <c r="G160" i="4"/>
  <c r="F160" i="4" s="1"/>
  <c r="G111" i="4"/>
  <c r="F111" i="4" s="1"/>
  <c r="G486" i="4"/>
  <c r="F486" i="4" s="1"/>
  <c r="G1171" i="4"/>
  <c r="F1171" i="4" s="1"/>
  <c r="G164" i="4"/>
  <c r="F164" i="4" s="1"/>
  <c r="G132" i="4"/>
  <c r="F132" i="4" s="1"/>
  <c r="G175" i="4"/>
  <c r="F175" i="4" s="1"/>
  <c r="G485" i="4"/>
  <c r="F485" i="4" s="1"/>
  <c r="G484" i="4"/>
  <c r="F484" i="4" s="1"/>
  <c r="G483" i="4"/>
  <c r="F483" i="4" s="1"/>
  <c r="G482" i="4"/>
  <c r="F482" i="4" s="1"/>
  <c r="G481" i="4"/>
  <c r="F481" i="4" s="1"/>
  <c r="G480" i="4"/>
  <c r="F480" i="4" s="1"/>
  <c r="G479" i="4"/>
  <c r="F479" i="4" s="1"/>
  <c r="G478" i="4"/>
  <c r="F478" i="4" s="1"/>
  <c r="G476" i="4"/>
  <c r="F476" i="4" s="1"/>
  <c r="G477" i="4"/>
  <c r="F477" i="4" s="1"/>
  <c r="G474" i="4"/>
  <c r="F474" i="4" s="1"/>
  <c r="G1170" i="4"/>
  <c r="F1170" i="4" s="1"/>
  <c r="G475" i="4"/>
  <c r="F475" i="4" s="1"/>
  <c r="G473" i="4"/>
  <c r="F473" i="4" s="1"/>
  <c r="G472" i="4"/>
  <c r="F472" i="4" s="1"/>
  <c r="G471" i="4"/>
  <c r="F471" i="4" s="1"/>
  <c r="G1169" i="4"/>
  <c r="F1169" i="4" s="1"/>
  <c r="G470" i="4"/>
  <c r="F470" i="4" s="1"/>
  <c r="G469" i="4"/>
  <c r="F469" i="4" s="1"/>
  <c r="G468" i="4"/>
  <c r="F468" i="4" s="1"/>
  <c r="G467" i="4"/>
  <c r="F467" i="4" s="1"/>
  <c r="G1168" i="4"/>
  <c r="F1168" i="4" s="1"/>
  <c r="G466" i="4"/>
  <c r="F466" i="4" s="1"/>
  <c r="G465" i="4"/>
  <c r="F465" i="4" s="1"/>
  <c r="G207" i="4"/>
  <c r="F207" i="4" s="1"/>
  <c r="G464" i="4"/>
  <c r="F464" i="4" s="1"/>
  <c r="G1167" i="4"/>
  <c r="F1167" i="4" s="1"/>
  <c r="G463" i="4"/>
  <c r="F463" i="4" s="1"/>
  <c r="G462" i="4"/>
  <c r="F462" i="4" s="1"/>
  <c r="G460" i="4"/>
  <c r="F460" i="4" s="1"/>
  <c r="G461" i="4"/>
  <c r="F461" i="4" s="1"/>
  <c r="G26" i="4"/>
  <c r="F26" i="4" s="1"/>
  <c r="G40" i="4"/>
  <c r="F40" i="4" s="1"/>
  <c r="G85" i="4"/>
  <c r="F85" i="4" s="1"/>
  <c r="G70" i="4"/>
  <c r="F70" i="4" s="1"/>
  <c r="G30" i="4"/>
  <c r="F30" i="4" s="1"/>
  <c r="G459" i="4"/>
  <c r="F459" i="4" s="1"/>
  <c r="G44" i="4"/>
  <c r="F44" i="4" s="1"/>
  <c r="G1166" i="4"/>
  <c r="F1166" i="4" s="1"/>
  <c r="G458" i="4"/>
  <c r="F458" i="4" s="1"/>
  <c r="G1164" i="4"/>
  <c r="F1164" i="4" s="1"/>
  <c r="G1165" i="4"/>
  <c r="F1165" i="4" s="1"/>
  <c r="G457" i="4"/>
  <c r="F457" i="4" s="1"/>
  <c r="G455" i="4"/>
  <c r="F455" i="4" s="1"/>
  <c r="G456" i="4"/>
  <c r="F456" i="4" s="1"/>
  <c r="G454" i="4"/>
  <c r="F454" i="4" s="1"/>
  <c r="G453" i="4"/>
  <c r="F453" i="4" s="1"/>
  <c r="G98" i="4"/>
  <c r="F98" i="4" s="1"/>
  <c r="G154" i="4"/>
  <c r="F154" i="4" s="1"/>
  <c r="G1162" i="4"/>
  <c r="F1162" i="4" s="1"/>
  <c r="G1163" i="4"/>
  <c r="F1163" i="4" s="1"/>
  <c r="G452" i="4"/>
  <c r="F452" i="4" s="1"/>
  <c r="G1161" i="4"/>
  <c r="F1161" i="4" s="1"/>
  <c r="G451" i="4"/>
  <c r="F451" i="4" s="1"/>
  <c r="G450" i="4"/>
  <c r="F450" i="4" s="1"/>
  <c r="G449" i="4"/>
  <c r="F449" i="4" s="1"/>
  <c r="G1160" i="4"/>
  <c r="F1160" i="4" s="1"/>
  <c r="G448" i="4"/>
  <c r="F448" i="4" s="1"/>
  <c r="G446" i="4"/>
  <c r="F446" i="4" s="1"/>
  <c r="G447" i="4"/>
  <c r="F447" i="4" s="1"/>
  <c r="G445" i="4"/>
  <c r="F445" i="4" s="1"/>
  <c r="G444" i="4"/>
  <c r="F444" i="4" s="1"/>
  <c r="G1158" i="4"/>
  <c r="F1158" i="4" s="1"/>
  <c r="G1159" i="4"/>
  <c r="F1159" i="4" s="1"/>
  <c r="G443" i="4"/>
  <c r="F443" i="4" s="1"/>
  <c r="G442" i="4"/>
  <c r="F442" i="4" s="1"/>
  <c r="G441" i="4"/>
  <c r="F441" i="4" s="1"/>
  <c r="G440" i="4"/>
  <c r="F440" i="4" s="1"/>
  <c r="G1156" i="4"/>
  <c r="F1156" i="4" s="1"/>
  <c r="G1157" i="4"/>
  <c r="F1157" i="4" s="1"/>
  <c r="G39" i="4"/>
  <c r="F39" i="4" s="1"/>
  <c r="G52" i="4"/>
  <c r="F52" i="4" s="1"/>
  <c r="G43" i="4"/>
  <c r="F43" i="4" s="1"/>
  <c r="G34" i="4"/>
  <c r="F34" i="4" s="1"/>
  <c r="G36" i="4"/>
  <c r="F36" i="4" s="1"/>
  <c r="G110" i="4"/>
  <c r="F110" i="4" s="1"/>
  <c r="G49" i="4"/>
  <c r="F49" i="4" s="1"/>
  <c r="G48" i="4"/>
  <c r="F48" i="4" s="1"/>
  <c r="G159" i="4"/>
  <c r="F159" i="4" s="1"/>
  <c r="G33" i="4"/>
  <c r="F33" i="4" s="1"/>
  <c r="G35" i="4"/>
  <c r="F35" i="4" s="1"/>
  <c r="G439" i="4"/>
  <c r="F439" i="4" s="1"/>
  <c r="G438" i="4"/>
  <c r="F438" i="4" s="1"/>
  <c r="G437" i="4"/>
  <c r="F437" i="4" s="1"/>
  <c r="G436" i="4"/>
  <c r="F436" i="4" s="1"/>
  <c r="G435" i="4"/>
  <c r="F435" i="4" s="1"/>
  <c r="G1155" i="4"/>
  <c r="F1155" i="4" s="1"/>
  <c r="G433" i="4"/>
  <c r="F433" i="4" s="1"/>
  <c r="G434" i="4"/>
  <c r="F434" i="4" s="1"/>
  <c r="G432" i="4"/>
  <c r="F432" i="4" s="1"/>
  <c r="G431" i="4"/>
  <c r="F431" i="4" s="1"/>
  <c r="G205" i="4"/>
  <c r="F205" i="4" s="1"/>
  <c r="G206" i="4"/>
  <c r="F206" i="4" s="1"/>
  <c r="G1154" i="4"/>
  <c r="F1154" i="4" s="1"/>
  <c r="G1153" i="4"/>
  <c r="F1153" i="4" s="1"/>
  <c r="G430" i="4"/>
  <c r="F430" i="4" s="1"/>
  <c r="G92" i="4"/>
  <c r="F92" i="4" s="1"/>
  <c r="G429" i="4"/>
  <c r="F429" i="4" s="1"/>
  <c r="G427" i="4"/>
  <c r="F427" i="4" s="1"/>
  <c r="G428" i="4"/>
  <c r="F428" i="4" s="1"/>
  <c r="G426" i="4"/>
  <c r="F426" i="4" s="1"/>
  <c r="G425" i="4"/>
  <c r="F425" i="4" s="1"/>
  <c r="G42" i="4"/>
  <c r="F42" i="4" s="1"/>
  <c r="G422" i="4"/>
  <c r="F422" i="4" s="1"/>
  <c r="G423" i="4"/>
  <c r="F423" i="4" s="1"/>
  <c r="G424" i="4"/>
  <c r="F424" i="4" s="1"/>
  <c r="G421" i="4"/>
  <c r="F421" i="4" s="1"/>
  <c r="G420" i="4"/>
  <c r="F420" i="4" s="1"/>
  <c r="G1152" i="4"/>
  <c r="F1152" i="4" s="1"/>
  <c r="G1151" i="4"/>
  <c r="F1151" i="4" s="1"/>
  <c r="G1149" i="4"/>
  <c r="F1149" i="4" s="1"/>
  <c r="G1150" i="4"/>
  <c r="F1150" i="4" s="1"/>
  <c r="G1148" i="4"/>
  <c r="F1148" i="4" s="1"/>
  <c r="G1146" i="4"/>
  <c r="F1146" i="4" s="1"/>
  <c r="G1147" i="4"/>
  <c r="F1147" i="4" s="1"/>
  <c r="G419" i="4"/>
  <c r="F419" i="4" s="1"/>
  <c r="G23" i="4"/>
  <c r="F23" i="4" s="1"/>
  <c r="G418" i="4"/>
  <c r="F418" i="4" s="1"/>
  <c r="G153" i="4"/>
  <c r="F153" i="4" s="1"/>
  <c r="G38" i="4"/>
  <c r="F38" i="4" s="1"/>
  <c r="G126" i="4"/>
  <c r="F126" i="4" s="1"/>
  <c r="G142" i="4"/>
  <c r="F142" i="4" s="1"/>
  <c r="G141" i="4"/>
  <c r="F141" i="4" s="1"/>
  <c r="G97" i="4"/>
  <c r="F97" i="4" s="1"/>
  <c r="G174" i="4"/>
  <c r="F174" i="4" s="1"/>
  <c r="G102" i="4"/>
  <c r="F102" i="4" s="1"/>
  <c r="G55" i="4"/>
  <c r="F55" i="4" s="1"/>
  <c r="G125" i="4"/>
  <c r="F125" i="4" s="1"/>
  <c r="G163" i="4"/>
  <c r="F163" i="4" s="1"/>
  <c r="G51" i="4"/>
  <c r="F51" i="4" s="1"/>
  <c r="G152" i="4"/>
  <c r="F152" i="4" s="1"/>
  <c r="G179" i="4"/>
  <c r="F179" i="4" s="1"/>
  <c r="G168" i="4"/>
  <c r="F168" i="4" s="1"/>
  <c r="G158" i="4"/>
  <c r="F158" i="4" s="1"/>
  <c r="G417" i="4"/>
  <c r="F417" i="4" s="1"/>
  <c r="G1145" i="4"/>
  <c r="F1145" i="4" s="1"/>
  <c r="G416" i="4"/>
  <c r="F416" i="4" s="1"/>
  <c r="G1144" i="4"/>
  <c r="F1144" i="4" s="1"/>
  <c r="G1143" i="4"/>
  <c r="F1143" i="4" s="1"/>
  <c r="G415" i="4"/>
  <c r="F415" i="4" s="1"/>
  <c r="G60" i="4"/>
  <c r="F60" i="4" s="1"/>
  <c r="G64" i="4"/>
  <c r="F64" i="4" s="1"/>
  <c r="G151" i="4"/>
  <c r="F151" i="4" s="1"/>
  <c r="G414" i="4"/>
  <c r="F414" i="4" s="1"/>
  <c r="G1142" i="4"/>
  <c r="F1142" i="4" s="1"/>
  <c r="G1141" i="4"/>
  <c r="F1141" i="4" s="1"/>
  <c r="G1140" i="4"/>
  <c r="F1140" i="4" s="1"/>
  <c r="G1139" i="4"/>
  <c r="F1139" i="4" s="1"/>
  <c r="G25" i="4"/>
  <c r="F25" i="4" s="1"/>
  <c r="G124" i="4"/>
  <c r="F124" i="4" s="1"/>
  <c r="G123" i="4"/>
  <c r="F123" i="4" s="1"/>
  <c r="G413" i="4"/>
  <c r="F413" i="4" s="1"/>
  <c r="G412" i="4"/>
  <c r="F412" i="4" s="1"/>
  <c r="G1138" i="4"/>
  <c r="F1138" i="4" s="1"/>
  <c r="G1137" i="4"/>
  <c r="F1137" i="4" s="1"/>
  <c r="G1136" i="4"/>
  <c r="F1136" i="4" s="1"/>
  <c r="G122" i="4"/>
  <c r="F122" i="4" s="1"/>
  <c r="G1135" i="4"/>
  <c r="F1135" i="4" s="1"/>
  <c r="G1134" i="4"/>
  <c r="F1134" i="4" s="1"/>
  <c r="G121" i="4"/>
  <c r="F121" i="4" s="1"/>
  <c r="G411" i="4"/>
  <c r="F411" i="4" s="1"/>
  <c r="G410" i="4"/>
  <c r="F410" i="4" s="1"/>
  <c r="G1133" i="4"/>
  <c r="F1133" i="4" s="1"/>
  <c r="G1132" i="4"/>
  <c r="F1132" i="4" s="1"/>
  <c r="G1131" i="4"/>
  <c r="F1131" i="4" s="1"/>
  <c r="G1130" i="4"/>
  <c r="F1130" i="4" s="1"/>
  <c r="G1129" i="4"/>
  <c r="F1129" i="4" s="1"/>
  <c r="G409" i="4"/>
  <c r="F409" i="4" s="1"/>
  <c r="G96" i="4"/>
  <c r="F96" i="4" s="1"/>
  <c r="G137" i="4"/>
  <c r="F137" i="4" s="1"/>
  <c r="G408" i="4"/>
  <c r="F408" i="4" s="1"/>
  <c r="G1127" i="4"/>
  <c r="F1127" i="4" s="1"/>
  <c r="G1128" i="4"/>
  <c r="F1128" i="4" s="1"/>
  <c r="G150" i="4"/>
  <c r="F150" i="4" s="1"/>
  <c r="G1126" i="4"/>
  <c r="F1126" i="4" s="1"/>
  <c r="G1125" i="4"/>
  <c r="F1125" i="4" s="1"/>
  <c r="G407" i="4"/>
  <c r="F407" i="4" s="1"/>
  <c r="G95" i="4"/>
  <c r="F95" i="4" s="1"/>
  <c r="G173" i="4"/>
  <c r="F173" i="4" s="1"/>
  <c r="G406" i="4"/>
  <c r="F406" i="4" s="1"/>
  <c r="G1124" i="4"/>
  <c r="F1124" i="4" s="1"/>
  <c r="G405" i="4"/>
  <c r="F405" i="4" s="1"/>
  <c r="G404" i="4"/>
  <c r="F404" i="4" s="1"/>
  <c r="G1123" i="4"/>
  <c r="F1123" i="4" s="1"/>
  <c r="G1121" i="4"/>
  <c r="F1121" i="4" s="1"/>
  <c r="G1122" i="4"/>
  <c r="F1122" i="4" s="1"/>
  <c r="G1119" i="4"/>
  <c r="F1119" i="4" s="1"/>
  <c r="G1120" i="4"/>
  <c r="F1120" i="4" s="1"/>
  <c r="G1117" i="4"/>
  <c r="F1117" i="4" s="1"/>
  <c r="G1118" i="4"/>
  <c r="F1118" i="4" s="1"/>
  <c r="G1115" i="4"/>
  <c r="F1115" i="4" s="1"/>
  <c r="G1116" i="4"/>
  <c r="F1116" i="4" s="1"/>
  <c r="G1114" i="4"/>
  <c r="F1114" i="4" s="1"/>
  <c r="G1113" i="4"/>
  <c r="F1113" i="4" s="1"/>
  <c r="G1112" i="4"/>
  <c r="F1112" i="4" s="1"/>
  <c r="G9" i="4"/>
  <c r="F9" i="4" s="1"/>
  <c r="G131" i="4"/>
  <c r="F131" i="4" s="1"/>
  <c r="G14" i="4"/>
  <c r="F14" i="4" s="1"/>
  <c r="G29" i="4"/>
  <c r="F29" i="4" s="1"/>
  <c r="G83" i="4"/>
  <c r="F83" i="4" s="1"/>
  <c r="G63" i="4"/>
  <c r="F63" i="4" s="1"/>
  <c r="G109" i="4"/>
  <c r="F109" i="4" s="1"/>
  <c r="G82" i="4"/>
  <c r="F82" i="4" s="1"/>
  <c r="G91" i="4"/>
  <c r="F91" i="4" s="1"/>
  <c r="G108" i="4"/>
  <c r="F108" i="4" s="1"/>
  <c r="G32" i="4"/>
  <c r="F32" i="4" s="1"/>
  <c r="G78" i="4"/>
  <c r="F78" i="4" s="1"/>
  <c r="G7" i="4"/>
  <c r="F7" i="4" s="1"/>
  <c r="G69" i="4"/>
  <c r="F69" i="4" s="1"/>
  <c r="G178" i="4"/>
  <c r="F178" i="4" s="1"/>
  <c r="G136" i="4"/>
  <c r="F136" i="4" s="1"/>
  <c r="G81" i="4"/>
  <c r="F81" i="4" s="1"/>
  <c r="G149" i="4"/>
  <c r="F149" i="4" s="1"/>
  <c r="G68" i="4"/>
  <c r="F68" i="4" s="1"/>
  <c r="G28" i="4"/>
  <c r="F28" i="4" s="1"/>
  <c r="G403" i="4"/>
  <c r="F403" i="4" s="1"/>
  <c r="G172" i="4"/>
  <c r="F172" i="4" s="1"/>
  <c r="G54" i="4"/>
  <c r="F54" i="4" s="1"/>
  <c r="G120" i="4"/>
  <c r="F120" i="4" s="1"/>
  <c r="G90" i="4"/>
  <c r="F90" i="4" s="1"/>
  <c r="G73" i="4"/>
  <c r="F73" i="4" s="1"/>
  <c r="G148" i="4"/>
  <c r="F148" i="4" s="1"/>
  <c r="G1111" i="4"/>
  <c r="F1111" i="4" s="1"/>
  <c r="G1110" i="4"/>
  <c r="F1110" i="4" s="1"/>
  <c r="G1109" i="4"/>
  <c r="F1109" i="4" s="1"/>
  <c r="G162" i="4"/>
  <c r="F162" i="4" s="1"/>
  <c r="G167" i="4"/>
  <c r="F167" i="4" s="1"/>
  <c r="G72" i="4"/>
  <c r="F72" i="4" s="1"/>
  <c r="G18" i="4"/>
  <c r="F18" i="4" s="1"/>
  <c r="G402" i="4"/>
  <c r="F402" i="4" s="1"/>
  <c r="G1108" i="4"/>
  <c r="F1108" i="4" s="1"/>
  <c r="G119" i="4"/>
  <c r="F119" i="4" s="1"/>
  <c r="G147" i="4"/>
  <c r="F147" i="4" s="1"/>
  <c r="G401" i="4"/>
  <c r="F401" i="4" s="1"/>
  <c r="G1106" i="4"/>
  <c r="F1106" i="4" s="1"/>
  <c r="G1107" i="4"/>
  <c r="F1107" i="4" s="1"/>
  <c r="G1104" i="4"/>
  <c r="F1104" i="4" s="1"/>
  <c r="G1105" i="4"/>
  <c r="F1105" i="4" s="1"/>
  <c r="G1101" i="4"/>
  <c r="F1101" i="4" s="1"/>
  <c r="G1102" i="4"/>
  <c r="F1102" i="4" s="1"/>
  <c r="G1103" i="4"/>
  <c r="F1103" i="4" s="1"/>
  <c r="G1100" i="4"/>
  <c r="F1100" i="4" s="1"/>
  <c r="G203" i="4"/>
  <c r="F203" i="4" s="1"/>
  <c r="G204" i="4"/>
  <c r="F204" i="4" s="1"/>
  <c r="G135" i="4"/>
  <c r="F135" i="4" s="1"/>
  <c r="G400" i="4"/>
  <c r="F400" i="4" s="1"/>
  <c r="G399" i="4"/>
  <c r="F399" i="4" s="1"/>
  <c r="G1099" i="4"/>
  <c r="F1099" i="4" s="1"/>
  <c r="G1098" i="4"/>
  <c r="F1098" i="4" s="1"/>
  <c r="G1097" i="4"/>
  <c r="F1097" i="4" s="1"/>
  <c r="G1096" i="4"/>
  <c r="F1096" i="4" s="1"/>
  <c r="G134" i="4"/>
  <c r="F134" i="4" s="1"/>
  <c r="G184" i="4"/>
  <c r="F184" i="4" s="1"/>
  <c r="G398" i="4"/>
  <c r="F398" i="4" s="1"/>
  <c r="G397" i="4"/>
  <c r="F397" i="4" s="1"/>
  <c r="G395" i="4"/>
  <c r="F395" i="4" s="1"/>
  <c r="G396" i="4"/>
  <c r="F396" i="4" s="1"/>
  <c r="G1094" i="4"/>
  <c r="F1094" i="4" s="1"/>
  <c r="G1095" i="4"/>
  <c r="F1095" i="4" s="1"/>
  <c r="G1091" i="4"/>
  <c r="F1091" i="4" s="1"/>
  <c r="G1092" i="4"/>
  <c r="F1092" i="4" s="1"/>
  <c r="G1093" i="4"/>
  <c r="F1093" i="4" s="1"/>
  <c r="G1089" i="4"/>
  <c r="F1089" i="4" s="1"/>
  <c r="G1090" i="4"/>
  <c r="F1090" i="4" s="1"/>
  <c r="G1088" i="4"/>
  <c r="F1088" i="4" s="1"/>
  <c r="G1086" i="4"/>
  <c r="F1086" i="4" s="1"/>
  <c r="G1087" i="4"/>
  <c r="F1087" i="4" s="1"/>
  <c r="G1085" i="4"/>
  <c r="F1085" i="4" s="1"/>
  <c r="G1084" i="4"/>
  <c r="F1084" i="4" s="1"/>
  <c r="G393" i="4"/>
  <c r="F393" i="4" s="1"/>
  <c r="G394" i="4"/>
  <c r="F394" i="4" s="1"/>
  <c r="G47" i="4"/>
  <c r="F47" i="4" s="1"/>
  <c r="G392" i="4"/>
  <c r="F392" i="4" s="1"/>
  <c r="G391" i="4"/>
  <c r="F391" i="4" s="1"/>
  <c r="G390" i="4"/>
  <c r="F390" i="4" s="1"/>
  <c r="G389" i="4"/>
  <c r="F389" i="4" s="1"/>
  <c r="G388" i="4"/>
  <c r="F388" i="4" s="1"/>
  <c r="G386" i="4"/>
  <c r="F386" i="4" s="1"/>
  <c r="G387" i="4"/>
  <c r="F387" i="4" s="1"/>
  <c r="G384" i="4"/>
  <c r="F384" i="4" s="1"/>
  <c r="G385" i="4"/>
  <c r="F385" i="4" s="1"/>
  <c r="G1083" i="4"/>
  <c r="F1083" i="4" s="1"/>
  <c r="G1082" i="4"/>
  <c r="F1082" i="4" s="1"/>
  <c r="G383" i="4"/>
  <c r="F383" i="4" s="1"/>
  <c r="G382" i="4"/>
  <c r="F382" i="4" s="1"/>
  <c r="G381" i="4"/>
  <c r="F381" i="4" s="1"/>
  <c r="G1081" i="4"/>
  <c r="F1081" i="4" s="1"/>
  <c r="G380" i="4"/>
  <c r="F380" i="4" s="1"/>
  <c r="G379" i="4"/>
  <c r="F379" i="4" s="1"/>
  <c r="G1079" i="4"/>
  <c r="F1079" i="4" s="1"/>
  <c r="G1080" i="4"/>
  <c r="F1080" i="4" s="1"/>
  <c r="G378" i="4"/>
  <c r="F378" i="4" s="1"/>
  <c r="G202" i="4"/>
  <c r="F202" i="4" s="1"/>
  <c r="G377" i="4"/>
  <c r="F377" i="4" s="1"/>
  <c r="G376" i="4"/>
  <c r="F376" i="4" s="1"/>
  <c r="G375" i="4"/>
  <c r="F375" i="4" s="1"/>
  <c r="G374" i="4"/>
  <c r="F374" i="4" s="1"/>
  <c r="G373" i="4"/>
  <c r="F373" i="4" s="1"/>
  <c r="G372" i="4"/>
  <c r="F372" i="4" s="1"/>
  <c r="G371" i="4"/>
  <c r="F371" i="4" s="1"/>
  <c r="G1078" i="4"/>
  <c r="F1078" i="4" s="1"/>
  <c r="G1077" i="4"/>
  <c r="F1077" i="4" s="1"/>
  <c r="G1075" i="4"/>
  <c r="F1075" i="4" s="1"/>
  <c r="G1076" i="4"/>
  <c r="F1076" i="4" s="1"/>
  <c r="G1073" i="4"/>
  <c r="F1073" i="4" s="1"/>
  <c r="G1074" i="4"/>
  <c r="F1074" i="4" s="1"/>
  <c r="G20" i="4"/>
  <c r="F20" i="4" s="1"/>
  <c r="G1072" i="4"/>
  <c r="F1072" i="4" s="1"/>
  <c r="G1071" i="4"/>
  <c r="F1071" i="4" s="1"/>
  <c r="G1070" i="4"/>
  <c r="F1070" i="4" s="1"/>
  <c r="G1069" i="4"/>
  <c r="F1069" i="4" s="1"/>
  <c r="G1068" i="4"/>
  <c r="F1068" i="4" s="1"/>
  <c r="G1067" i="4"/>
  <c r="F1067" i="4" s="1"/>
  <c r="G1066" i="4"/>
  <c r="F1066" i="4" s="1"/>
  <c r="G201" i="4"/>
  <c r="F201" i="4" s="1"/>
  <c r="G370" i="4"/>
  <c r="F370" i="4" s="1"/>
  <c r="G1064" i="4"/>
  <c r="F1064" i="4" s="1"/>
  <c r="G1065" i="4"/>
  <c r="F1065" i="4" s="1"/>
  <c r="G369" i="4"/>
  <c r="F369" i="4" s="1"/>
  <c r="G1062" i="4"/>
  <c r="F1062" i="4" s="1"/>
  <c r="G1063" i="4"/>
  <c r="F1063" i="4" s="1"/>
  <c r="G1061" i="4"/>
  <c r="F1061" i="4" s="1"/>
  <c r="G368" i="4"/>
  <c r="F368" i="4" s="1"/>
  <c r="G365" i="4"/>
  <c r="F365" i="4" s="1"/>
  <c r="G366" i="4"/>
  <c r="F366" i="4" s="1"/>
  <c r="G367" i="4"/>
  <c r="F367" i="4" s="1"/>
  <c r="G364" i="4"/>
  <c r="F364" i="4" s="1"/>
  <c r="G1060" i="4"/>
  <c r="F1060" i="4" s="1"/>
  <c r="G1058" i="4"/>
  <c r="F1058" i="4" s="1"/>
  <c r="G1059" i="4"/>
  <c r="F1059" i="4" s="1"/>
  <c r="G1057" i="4"/>
  <c r="F1057" i="4" s="1"/>
  <c r="G363" i="4"/>
  <c r="F363" i="4" s="1"/>
  <c r="G1056" i="4"/>
  <c r="F1056" i="4" s="1"/>
  <c r="G1055" i="4"/>
  <c r="F1055" i="4" s="1"/>
  <c r="G1054" i="4"/>
  <c r="F1054" i="4" s="1"/>
  <c r="G1052" i="4"/>
  <c r="F1052" i="4" s="1"/>
  <c r="G1053" i="4"/>
  <c r="F1053" i="4" s="1"/>
  <c r="G1051" i="4"/>
  <c r="F1051" i="4" s="1"/>
  <c r="G1049" i="4"/>
  <c r="F1049" i="4" s="1"/>
  <c r="G1050" i="4"/>
  <c r="F1050" i="4" s="1"/>
  <c r="G1048" i="4"/>
  <c r="F1048" i="4" s="1"/>
  <c r="G1047" i="4"/>
  <c r="F1047" i="4" s="1"/>
  <c r="G199" i="4"/>
  <c r="F199" i="4" s="1"/>
  <c r="G200" i="4"/>
  <c r="F200" i="4" s="1"/>
  <c r="G1046" i="4"/>
  <c r="F1046" i="4" s="1"/>
  <c r="G10" i="4"/>
  <c r="F10" i="4" s="1"/>
  <c r="G8" i="4"/>
  <c r="F8" i="4" s="1"/>
  <c r="G4" i="4"/>
  <c r="F4" i="4" s="1"/>
  <c r="G94" i="4"/>
  <c r="F94" i="4" s="1"/>
  <c r="G361" i="4"/>
  <c r="F361" i="4" s="1"/>
  <c r="G362" i="4"/>
  <c r="F362" i="4" s="1"/>
  <c r="G59" i="4"/>
  <c r="F59" i="4" s="1"/>
  <c r="G198" i="4"/>
  <c r="F198" i="4" s="1"/>
  <c r="G146" i="4"/>
  <c r="F146" i="4" s="1"/>
  <c r="G107" i="4"/>
  <c r="F107" i="4" s="1"/>
  <c r="G67" i="4"/>
  <c r="F67" i="4" s="1"/>
  <c r="G157" i="4"/>
  <c r="F157" i="4" s="1"/>
  <c r="G106" i="4"/>
  <c r="F106" i="4" s="1"/>
  <c r="G62" i="4"/>
  <c r="F62" i="4" s="1"/>
  <c r="G1045" i="4"/>
  <c r="F1045" i="4" s="1"/>
  <c r="G89" i="4"/>
  <c r="F89" i="4" s="1"/>
  <c r="G360" i="4"/>
  <c r="F360" i="4" s="1"/>
  <c r="G358" i="4"/>
  <c r="F358" i="4" s="1"/>
  <c r="G359" i="4"/>
  <c r="F359" i="4" s="1"/>
  <c r="G118" i="4"/>
  <c r="F118" i="4" s="1"/>
  <c r="G356" i="4"/>
  <c r="F356" i="4" s="1"/>
  <c r="G357" i="4"/>
  <c r="F357" i="4" s="1"/>
  <c r="G1044" i="4"/>
  <c r="F1044" i="4" s="1"/>
  <c r="G1043" i="4"/>
  <c r="F1043" i="4" s="1"/>
  <c r="G130" i="4"/>
  <c r="F130" i="4" s="1"/>
  <c r="G1041" i="4"/>
  <c r="F1041" i="4" s="1"/>
  <c r="G1042" i="4"/>
  <c r="F1042" i="4" s="1"/>
  <c r="G1040" i="4"/>
  <c r="F1040" i="4" s="1"/>
  <c r="G1039" i="4"/>
  <c r="F1039" i="4" s="1"/>
  <c r="G1038" i="4"/>
  <c r="F1038" i="4" s="1"/>
  <c r="G1037" i="4"/>
  <c r="F1037" i="4" s="1"/>
  <c r="G1036" i="4"/>
  <c r="F1036" i="4" s="1"/>
  <c r="G101" i="4"/>
  <c r="F101" i="4" s="1"/>
  <c r="G1035" i="4"/>
  <c r="F1035" i="4" s="1"/>
  <c r="G1034" i="4"/>
  <c r="F1034" i="4" s="1"/>
  <c r="G71" i="4"/>
  <c r="F71" i="4" s="1"/>
  <c r="G355" i="4"/>
  <c r="F355" i="4" s="1"/>
  <c r="G354" i="4"/>
  <c r="F354" i="4" s="1"/>
  <c r="G353" i="4"/>
  <c r="F353" i="4" s="1"/>
  <c r="G352" i="4"/>
  <c r="F352" i="4" s="1"/>
  <c r="G1033" i="4"/>
  <c r="F1033" i="4" s="1"/>
  <c r="G351" i="4"/>
  <c r="F351" i="4" s="1"/>
  <c r="G1032" i="4"/>
  <c r="F1032" i="4" s="1"/>
  <c r="G1030" i="4"/>
  <c r="F1030" i="4" s="1"/>
  <c r="G1031" i="4"/>
  <c r="F1031" i="4" s="1"/>
  <c r="G1029" i="4"/>
  <c r="F1029" i="4" s="1"/>
  <c r="G350" i="4"/>
  <c r="F350" i="4" s="1"/>
  <c r="G1028" i="4"/>
  <c r="F1028" i="4" s="1"/>
  <c r="G349" i="4"/>
  <c r="F349" i="4" s="1"/>
  <c r="G1027" i="4"/>
  <c r="F1027" i="4" s="1"/>
  <c r="G348" i="4"/>
  <c r="F348" i="4" s="1"/>
  <c r="G1026" i="4"/>
  <c r="F1026" i="4" s="1"/>
  <c r="G347" i="4"/>
  <c r="F347" i="4" s="1"/>
  <c r="G1024" i="4"/>
  <c r="F1024" i="4" s="1"/>
  <c r="G1025" i="4"/>
  <c r="F1025" i="4" s="1"/>
  <c r="G1023" i="4"/>
  <c r="F1023" i="4" s="1"/>
  <c r="G1021" i="4"/>
  <c r="F1021" i="4" s="1"/>
  <c r="G1022" i="4"/>
  <c r="F1022" i="4" s="1"/>
  <c r="G1020" i="4"/>
  <c r="F1020" i="4" s="1"/>
  <c r="G1019" i="4"/>
  <c r="F1019" i="4" s="1"/>
  <c r="G1018" i="4"/>
  <c r="F1018" i="4" s="1"/>
  <c r="G1017" i="4"/>
  <c r="F1017" i="4" s="1"/>
  <c r="G1016" i="4"/>
  <c r="F1016" i="4" s="1"/>
  <c r="G1015" i="4"/>
  <c r="F1015" i="4" s="1"/>
  <c r="G1014" i="4"/>
  <c r="F1014" i="4" s="1"/>
  <c r="G1013" i="4"/>
  <c r="F1013" i="4" s="1"/>
  <c r="G345" i="4"/>
  <c r="F345" i="4" s="1"/>
  <c r="G346" i="4"/>
  <c r="F346" i="4" s="1"/>
  <c r="G1012" i="4"/>
  <c r="F1012" i="4" s="1"/>
  <c r="G37" i="4"/>
  <c r="F37" i="4" s="1"/>
  <c r="G344" i="4"/>
  <c r="F344" i="4" s="1"/>
  <c r="G343" i="4"/>
  <c r="F343" i="4" s="1"/>
  <c r="G1008" i="4"/>
  <c r="F1008" i="4" s="1"/>
  <c r="G1009" i="4"/>
  <c r="F1009" i="4" s="1"/>
  <c r="G1010" i="4"/>
  <c r="F1010" i="4" s="1"/>
  <c r="G1011" i="4"/>
  <c r="F1011" i="4" s="1"/>
  <c r="G1007" i="4"/>
  <c r="F1007" i="4" s="1"/>
  <c r="G1006" i="4"/>
  <c r="F1006" i="4" s="1"/>
  <c r="G1005" i="4"/>
  <c r="F1005" i="4" s="1"/>
  <c r="G1004" i="4"/>
  <c r="F1004" i="4" s="1"/>
  <c r="G1003" i="4"/>
  <c r="F1003" i="4" s="1"/>
  <c r="G1002" i="4"/>
  <c r="F1002" i="4" s="1"/>
  <c r="G1000" i="4"/>
  <c r="F1000" i="4" s="1"/>
  <c r="G1001" i="4"/>
  <c r="F1001" i="4" s="1"/>
  <c r="G999" i="4"/>
  <c r="F999" i="4" s="1"/>
  <c r="G998" i="4"/>
  <c r="F998" i="4" s="1"/>
  <c r="G997" i="4"/>
  <c r="F997" i="4" s="1"/>
  <c r="G12" i="4"/>
  <c r="F12" i="4" s="1"/>
  <c r="G342" i="4"/>
  <c r="F342" i="4" s="1"/>
  <c r="G341" i="4"/>
  <c r="F341" i="4" s="1"/>
  <c r="G340" i="4"/>
  <c r="F340" i="4" s="1"/>
  <c r="G996" i="4"/>
  <c r="F996" i="4" s="1"/>
  <c r="G994" i="4"/>
  <c r="F994" i="4" s="1"/>
  <c r="G995" i="4"/>
  <c r="F995" i="4" s="1"/>
  <c r="G993" i="4"/>
  <c r="F993" i="4" s="1"/>
  <c r="G992" i="4"/>
  <c r="F992" i="4" s="1"/>
  <c r="G15" i="4"/>
  <c r="F15" i="4" s="1"/>
  <c r="G13" i="4"/>
  <c r="F13" i="4" s="1"/>
  <c r="G80" i="4"/>
  <c r="F80" i="4" s="1"/>
  <c r="G19" i="4"/>
  <c r="F19" i="4" s="1"/>
  <c r="G57" i="4"/>
  <c r="F57" i="4" s="1"/>
  <c r="G27" i="4"/>
  <c r="F27" i="4" s="1"/>
  <c r="G11" i="4"/>
  <c r="F11" i="4" s="1"/>
  <c r="G24" i="4"/>
  <c r="F24" i="4" s="1"/>
  <c r="G53" i="4"/>
  <c r="F53" i="4" s="1"/>
  <c r="G66" i="4"/>
  <c r="F66" i="4" s="1"/>
  <c r="G88" i="4"/>
  <c r="F88" i="4" s="1"/>
  <c r="G58" i="4"/>
  <c r="F58" i="4" s="1"/>
  <c r="G339" i="4"/>
  <c r="F339" i="4" s="1"/>
  <c r="G338" i="4"/>
  <c r="F338" i="4" s="1"/>
  <c r="G337" i="4"/>
  <c r="F337" i="4" s="1"/>
  <c r="G22" i="4"/>
  <c r="F22" i="4" s="1"/>
  <c r="G336" i="4"/>
  <c r="F336" i="4" s="1"/>
  <c r="G334" i="4"/>
  <c r="F334" i="4" s="1"/>
  <c r="G335" i="4"/>
  <c r="F335" i="4" s="1"/>
  <c r="G333" i="4"/>
  <c r="F333" i="4" s="1"/>
  <c r="G332" i="4"/>
  <c r="F332" i="4" s="1"/>
  <c r="G197" i="4"/>
  <c r="F197" i="4" s="1"/>
  <c r="G330" i="4"/>
  <c r="F330" i="4" s="1"/>
  <c r="G331" i="4"/>
  <c r="F331" i="4" s="1"/>
  <c r="G328" i="4"/>
  <c r="F328" i="4" s="1"/>
  <c r="G329" i="4"/>
  <c r="F329" i="4" s="1"/>
  <c r="G327" i="4"/>
  <c r="F327" i="4" s="1"/>
  <c r="G326" i="4"/>
  <c r="F326" i="4" s="1"/>
  <c r="G325" i="4"/>
  <c r="F325" i="4" s="1"/>
  <c r="G196" i="4"/>
  <c r="F196" i="4" s="1"/>
  <c r="G324" i="4"/>
  <c r="F324" i="4" s="1"/>
  <c r="G323" i="4"/>
  <c r="F323" i="4" s="1"/>
  <c r="G321" i="4"/>
  <c r="F321" i="4" s="1"/>
  <c r="G322" i="4"/>
  <c r="F322" i="4" s="1"/>
  <c r="G320" i="4"/>
  <c r="F320" i="4" s="1"/>
  <c r="G318" i="4"/>
  <c r="F318" i="4" s="1"/>
  <c r="G319" i="4"/>
  <c r="F319" i="4" s="1"/>
  <c r="G991" i="4"/>
  <c r="F991" i="4" s="1"/>
  <c r="G990" i="4"/>
  <c r="F990" i="4" s="1"/>
  <c r="G989" i="4"/>
  <c r="F989" i="4" s="1"/>
  <c r="G987" i="4"/>
  <c r="F987" i="4" s="1"/>
  <c r="G988" i="4"/>
  <c r="F988" i="4" s="1"/>
  <c r="G985" i="4"/>
  <c r="F985" i="4" s="1"/>
  <c r="G986" i="4"/>
  <c r="F986" i="4" s="1"/>
  <c r="G984" i="4"/>
  <c r="F984" i="4" s="1"/>
  <c r="G46" i="4"/>
  <c r="F46" i="4" s="1"/>
  <c r="G56" i="4"/>
  <c r="F56" i="4" s="1"/>
  <c r="G21" i="4"/>
  <c r="F21" i="4" s="1"/>
  <c r="G61" i="4"/>
  <c r="F61" i="4" s="1"/>
  <c r="G117" i="4"/>
  <c r="F117" i="4" s="1"/>
  <c r="G183" i="4"/>
  <c r="F183" i="4" s="1"/>
  <c r="G161" i="4"/>
  <c r="F161" i="4" s="1"/>
  <c r="G182" i="4"/>
  <c r="F182" i="4" s="1"/>
  <c r="G188" i="4"/>
  <c r="F188" i="4" s="1"/>
  <c r="G181" i="4"/>
  <c r="F181" i="4" s="1"/>
  <c r="G105" i="4"/>
  <c r="F105" i="4" s="1"/>
  <c r="G145" i="4"/>
  <c r="F145" i="4" s="1"/>
  <c r="G79" i="4"/>
  <c r="F79" i="4" s="1"/>
  <c r="G50" i="4"/>
  <c r="F50" i="4" s="1"/>
  <c r="G133" i="4"/>
  <c r="F133" i="4" s="1"/>
  <c r="G171" i="4"/>
  <c r="F171" i="4" s="1"/>
  <c r="G156" i="4"/>
  <c r="F156" i="4" s="1"/>
  <c r="G140" i="4"/>
  <c r="F140" i="4" s="1"/>
  <c r="G116" i="4"/>
  <c r="F116" i="4" s="1"/>
  <c r="G115" i="4"/>
  <c r="F115" i="4" s="1"/>
  <c r="G317" i="4"/>
  <c r="F317" i="4" s="1"/>
  <c r="G180" i="4"/>
  <c r="F180" i="4" s="1"/>
  <c r="G177" i="4"/>
  <c r="F177" i="4" s="1"/>
  <c r="G104" i="4"/>
  <c r="F104" i="4" s="1"/>
  <c r="G170" i="4"/>
  <c r="F170" i="4" s="1"/>
  <c r="G316" i="4"/>
  <c r="F316" i="4" s="1"/>
  <c r="G315" i="4"/>
  <c r="F315" i="4" s="1"/>
  <c r="G983" i="4"/>
  <c r="F983" i="4" s="1"/>
  <c r="G982" i="4"/>
  <c r="F982" i="4" s="1"/>
  <c r="G981" i="4"/>
  <c r="F981" i="4" s="1"/>
  <c r="G980" i="4"/>
  <c r="F980" i="4" s="1"/>
  <c r="G187" i="4"/>
  <c r="F187" i="4" s="1"/>
  <c r="G129" i="4"/>
  <c r="F129" i="4" s="1"/>
  <c r="G103" i="4"/>
  <c r="F103" i="4" s="1"/>
  <c r="G176" i="4"/>
  <c r="F176" i="4" s="1"/>
  <c r="G87" i="4"/>
  <c r="F87" i="4" s="1"/>
  <c r="G77" i="4"/>
  <c r="F77" i="4" s="1"/>
  <c r="G979" i="4"/>
  <c r="F979" i="4" s="1"/>
  <c r="G978" i="4"/>
  <c r="F978" i="4" s="1"/>
  <c r="G144" i="4"/>
  <c r="F144" i="4" s="1"/>
  <c r="G166" i="4"/>
  <c r="F166" i="4" s="1"/>
  <c r="G314" i="4"/>
  <c r="F314" i="4" s="1"/>
  <c r="G313" i="4"/>
  <c r="F313" i="4" s="1"/>
  <c r="G977" i="4"/>
  <c r="F977" i="4" s="1"/>
  <c r="G975" i="4"/>
  <c r="F975" i="4" s="1"/>
  <c r="G976" i="4"/>
  <c r="F976" i="4" s="1"/>
  <c r="G1523" i="4"/>
  <c r="F1523" i="4" s="1"/>
  <c r="G43" i="3"/>
  <c r="F43" i="3" s="1"/>
  <c r="G46" i="3"/>
  <c r="G47" i="3"/>
  <c r="F47" i="3" s="1"/>
  <c r="G48" i="3"/>
  <c r="G49" i="3"/>
  <c r="F49" i="3" s="1"/>
  <c r="G50" i="3"/>
  <c r="F50" i="3" s="1"/>
  <c r="G51" i="3"/>
  <c r="F51" i="3" s="1"/>
  <c r="G52" i="3"/>
  <c r="F52" i="3" s="1"/>
  <c r="G53" i="3"/>
  <c r="F53" i="3" s="1"/>
  <c r="G54" i="3"/>
  <c r="F54" i="3" s="1"/>
  <c r="G10" i="3"/>
  <c r="F10" i="3" s="1"/>
  <c r="G55" i="3"/>
  <c r="G56" i="3"/>
  <c r="F56" i="3" s="1"/>
  <c r="G57" i="3"/>
  <c r="F57" i="3" s="1"/>
  <c r="G58" i="3"/>
  <c r="F58" i="3" s="1"/>
  <c r="G59" i="3"/>
  <c r="F59" i="3" s="1"/>
  <c r="G60" i="3"/>
  <c r="G61" i="3"/>
  <c r="F61" i="3" s="1"/>
  <c r="G62" i="3"/>
  <c r="F62" i="3" s="1"/>
  <c r="G63" i="3"/>
  <c r="G11" i="3"/>
  <c r="F11" i="3" s="1"/>
  <c r="G12" i="3"/>
  <c r="F12" i="3" s="1"/>
  <c r="G64" i="3"/>
  <c r="F64" i="3" s="1"/>
  <c r="G65" i="3"/>
  <c r="F65" i="3" s="1"/>
  <c r="G66" i="3"/>
  <c r="F66" i="3" s="1"/>
  <c r="G67" i="3"/>
  <c r="F67" i="3" s="1"/>
  <c r="G68" i="3"/>
  <c r="F68" i="3" s="1"/>
  <c r="G2" i="3"/>
  <c r="G69" i="3"/>
  <c r="F69" i="3" s="1"/>
  <c r="G13" i="3"/>
  <c r="F13" i="3" s="1"/>
  <c r="G70" i="3"/>
  <c r="F70" i="3" s="1"/>
  <c r="G71" i="3"/>
  <c r="F71" i="3" s="1"/>
  <c r="G72" i="3"/>
  <c r="G73" i="3"/>
  <c r="G74" i="3"/>
  <c r="F74" i="3" s="1"/>
  <c r="G75" i="3"/>
  <c r="G76" i="3"/>
  <c r="F76" i="3" s="1"/>
  <c r="G14" i="3"/>
  <c r="F14" i="3" s="1"/>
  <c r="G77" i="3"/>
  <c r="F77" i="3" s="1"/>
  <c r="G78" i="3"/>
  <c r="F78" i="3" s="1"/>
  <c r="G79" i="3"/>
  <c r="G80" i="3"/>
  <c r="F80" i="3" s="1"/>
  <c r="G15" i="3"/>
  <c r="F15" i="3" s="1"/>
  <c r="G81" i="3"/>
  <c r="G82" i="3"/>
  <c r="F82" i="3" s="1"/>
  <c r="G83" i="3"/>
  <c r="F83" i="3" s="1"/>
  <c r="G16" i="3"/>
  <c r="F16" i="3" s="1"/>
  <c r="G84" i="3"/>
  <c r="F84" i="3" s="1"/>
  <c r="G85" i="3"/>
  <c r="F85" i="3" s="1"/>
  <c r="G86" i="3"/>
  <c r="F86" i="3" s="1"/>
  <c r="G87" i="3"/>
  <c r="F87" i="3" s="1"/>
  <c r="G88" i="3"/>
  <c r="G89" i="3"/>
  <c r="F89" i="3" s="1"/>
  <c r="G90" i="3"/>
  <c r="F90" i="3" s="1"/>
  <c r="G91" i="3"/>
  <c r="F91" i="3" s="1"/>
  <c r="G92" i="3"/>
  <c r="F92" i="3" s="1"/>
  <c r="G93" i="3"/>
  <c r="F93" i="3" s="1"/>
  <c r="G94" i="3"/>
  <c r="F94" i="3" s="1"/>
  <c r="G95" i="3"/>
  <c r="F95" i="3" s="1"/>
  <c r="G96" i="3"/>
  <c r="G97" i="3"/>
  <c r="F97" i="3" s="1"/>
  <c r="G98" i="3"/>
  <c r="F98" i="3" s="1"/>
  <c r="G99" i="3"/>
  <c r="F99" i="3" s="1"/>
  <c r="G100" i="3"/>
  <c r="F100" i="3" s="1"/>
  <c r="G101" i="3"/>
  <c r="F101" i="3" s="1"/>
  <c r="G102" i="3"/>
  <c r="F102" i="3" s="1"/>
  <c r="G103" i="3"/>
  <c r="F103" i="3" s="1"/>
  <c r="G104" i="3"/>
  <c r="G105" i="3"/>
  <c r="F105" i="3" s="1"/>
  <c r="G106" i="3"/>
  <c r="F106" i="3" s="1"/>
  <c r="G17" i="3"/>
  <c r="F17" i="3" s="1"/>
  <c r="G107" i="3"/>
  <c r="F107" i="3" s="1"/>
  <c r="G3" i="3"/>
  <c r="G108" i="3"/>
  <c r="F108" i="3" s="1"/>
  <c r="G109" i="3"/>
  <c r="F109" i="3" s="1"/>
  <c r="G18" i="3"/>
  <c r="G19" i="3"/>
  <c r="F19" i="3" s="1"/>
  <c r="G110" i="3"/>
  <c r="F110" i="3" s="1"/>
  <c r="G111" i="3"/>
  <c r="F111" i="3" s="1"/>
  <c r="G112" i="3"/>
  <c r="F112" i="3" s="1"/>
  <c r="G113" i="3"/>
  <c r="F113" i="3" s="1"/>
  <c r="G114" i="3"/>
  <c r="F114" i="3" s="1"/>
  <c r="G115" i="3"/>
  <c r="F115" i="3" s="1"/>
  <c r="G116" i="3"/>
  <c r="G20" i="3"/>
  <c r="F20" i="3" s="1"/>
  <c r="G117" i="3"/>
  <c r="F117" i="3" s="1"/>
  <c r="G21" i="3"/>
  <c r="F21" i="3" s="1"/>
  <c r="G118" i="3"/>
  <c r="F118" i="3" s="1"/>
  <c r="G22" i="3"/>
  <c r="F22" i="3" s="1"/>
  <c r="G119" i="3"/>
  <c r="F119" i="3" s="1"/>
  <c r="G120" i="3"/>
  <c r="F120" i="3" s="1"/>
  <c r="G121" i="3"/>
  <c r="G122" i="3"/>
  <c r="F122" i="3" s="1"/>
  <c r="G123" i="3"/>
  <c r="F123" i="3" s="1"/>
  <c r="G124" i="3"/>
  <c r="F124" i="3" s="1"/>
  <c r="G125" i="3"/>
  <c r="F125" i="3" s="1"/>
  <c r="G126" i="3"/>
  <c r="F126" i="3" s="1"/>
  <c r="G23" i="3"/>
  <c r="F23" i="3" s="1"/>
  <c r="G127" i="3"/>
  <c r="G128" i="3"/>
  <c r="G24" i="3"/>
  <c r="F24" i="3" s="1"/>
  <c r="G25" i="3"/>
  <c r="F25" i="3" s="1"/>
  <c r="G129" i="3"/>
  <c r="F129" i="3" s="1"/>
  <c r="G130" i="3"/>
  <c r="F130" i="3" s="1"/>
  <c r="G131" i="3"/>
  <c r="F131" i="3" s="1"/>
  <c r="G132" i="3"/>
  <c r="F132" i="3" s="1"/>
  <c r="G26" i="3"/>
  <c r="F26" i="3" s="1"/>
  <c r="G133" i="3"/>
  <c r="G134" i="3"/>
  <c r="F134" i="3" s="1"/>
  <c r="G135" i="3"/>
  <c r="F135" i="3" s="1"/>
  <c r="G136" i="3"/>
  <c r="G137" i="3"/>
  <c r="F137" i="3" s="1"/>
  <c r="G138" i="3"/>
  <c r="G139" i="3"/>
  <c r="G140" i="3"/>
  <c r="F140" i="3" s="1"/>
  <c r="G141" i="3"/>
  <c r="G142" i="3"/>
  <c r="F142" i="3" s="1"/>
  <c r="G143" i="3"/>
  <c r="F143" i="3" s="1"/>
  <c r="G27" i="3"/>
  <c r="F27" i="3" s="1"/>
  <c r="G144" i="3"/>
  <c r="F144" i="3" s="1"/>
  <c r="G145" i="3"/>
  <c r="F145" i="3" s="1"/>
  <c r="G146" i="3"/>
  <c r="F146" i="3" s="1"/>
  <c r="G28" i="3"/>
  <c r="F28" i="3" s="1"/>
  <c r="G147" i="3"/>
  <c r="G148" i="3"/>
  <c r="F148" i="3" s="1"/>
  <c r="G149" i="3"/>
  <c r="F149" i="3" s="1"/>
  <c r="G150" i="3"/>
  <c r="F150" i="3" s="1"/>
  <c r="G151" i="3"/>
  <c r="F151" i="3" s="1"/>
  <c r="G152" i="3"/>
  <c r="F152" i="3" s="1"/>
  <c r="G153" i="3"/>
  <c r="F153" i="3" s="1"/>
  <c r="G154" i="3"/>
  <c r="F154" i="3" s="1"/>
  <c r="G155" i="3"/>
  <c r="G29" i="3"/>
  <c r="F29" i="3" s="1"/>
  <c r="G156" i="3"/>
  <c r="F156" i="3" s="1"/>
  <c r="G30" i="3"/>
  <c r="F30" i="3" s="1"/>
  <c r="G157" i="3"/>
  <c r="F157" i="3" s="1"/>
  <c r="G158" i="3"/>
  <c r="F158" i="3" s="1"/>
  <c r="G159" i="3"/>
  <c r="F159" i="3" s="1"/>
  <c r="G31" i="3"/>
  <c r="F31" i="3" s="1"/>
  <c r="G160" i="3"/>
  <c r="G161" i="3"/>
  <c r="F161" i="3" s="1"/>
  <c r="G162" i="3"/>
  <c r="F162" i="3" s="1"/>
  <c r="G4" i="3"/>
  <c r="F4" i="3" s="1"/>
  <c r="G163" i="3"/>
  <c r="F163" i="3" s="1"/>
  <c r="G164" i="3"/>
  <c r="F164" i="3" s="1"/>
  <c r="G5" i="3"/>
  <c r="F5" i="3" s="1"/>
  <c r="G165" i="3"/>
  <c r="F165" i="3" s="1"/>
  <c r="G166" i="3"/>
  <c r="G167" i="3"/>
  <c r="F167" i="3" s="1"/>
  <c r="G32" i="3"/>
  <c r="F32" i="3" s="1"/>
  <c r="G168" i="3"/>
  <c r="F168" i="3" s="1"/>
  <c r="G169" i="3"/>
  <c r="F169" i="3" s="1"/>
  <c r="G170" i="3"/>
  <c r="G171" i="3"/>
  <c r="F171" i="3" s="1"/>
  <c r="G172" i="3"/>
  <c r="F172" i="3" s="1"/>
  <c r="G173" i="3"/>
  <c r="G174" i="3"/>
  <c r="F174" i="3" s="1"/>
  <c r="G175" i="3"/>
  <c r="F175" i="3" s="1"/>
  <c r="G176" i="3"/>
  <c r="F176" i="3" s="1"/>
  <c r="G33" i="3"/>
  <c r="F33" i="3" s="1"/>
  <c r="G177" i="3"/>
  <c r="F177" i="3" s="1"/>
  <c r="G178" i="3"/>
  <c r="F178" i="3" s="1"/>
  <c r="G179" i="3"/>
  <c r="G180" i="3"/>
  <c r="G181" i="3"/>
  <c r="F181" i="3" s="1"/>
  <c r="G34" i="3"/>
  <c r="F34" i="3" s="1"/>
  <c r="G182" i="3"/>
  <c r="F182" i="3" s="1"/>
  <c r="G183" i="3"/>
  <c r="F183" i="3" s="1"/>
  <c r="G184" i="3"/>
  <c r="F184" i="3" s="1"/>
  <c r="G185" i="3"/>
  <c r="F185" i="3" s="1"/>
  <c r="G186" i="3"/>
  <c r="F186" i="3" s="1"/>
  <c r="G187" i="3"/>
  <c r="G6" i="3"/>
  <c r="F6" i="3" s="1"/>
  <c r="G188" i="3"/>
  <c r="F188" i="3" s="1"/>
  <c r="G189" i="3"/>
  <c r="F189" i="3" s="1"/>
  <c r="G190" i="3"/>
  <c r="F190" i="3" s="1"/>
  <c r="G191" i="3"/>
  <c r="G192" i="3"/>
  <c r="F192" i="3" s="1"/>
  <c r="G193" i="3"/>
  <c r="F193" i="3" s="1"/>
  <c r="G194" i="3"/>
  <c r="G195" i="3"/>
  <c r="F195" i="3" s="1"/>
  <c r="G196" i="3"/>
  <c r="F196" i="3" s="1"/>
  <c r="G197" i="3"/>
  <c r="F197" i="3" s="1"/>
  <c r="G198" i="3"/>
  <c r="F198" i="3" s="1"/>
  <c r="G199" i="3"/>
  <c r="F199" i="3" s="1"/>
  <c r="G200" i="3"/>
  <c r="F200" i="3" s="1"/>
  <c r="G201" i="3"/>
  <c r="F201" i="3" s="1"/>
  <c r="G202" i="3"/>
  <c r="G203" i="3"/>
  <c r="F203" i="3" s="1"/>
  <c r="G35" i="3"/>
  <c r="F35" i="3" s="1"/>
  <c r="G204" i="3"/>
  <c r="F204" i="3" s="1"/>
  <c r="G205" i="3"/>
  <c r="F205" i="3" s="1"/>
  <c r="G206" i="3"/>
  <c r="F206" i="3" s="1"/>
  <c r="G207" i="3"/>
  <c r="F207" i="3" s="1"/>
  <c r="G208" i="3"/>
  <c r="F208" i="3" s="1"/>
  <c r="G209" i="3"/>
  <c r="G210" i="3"/>
  <c r="F210" i="3" s="1"/>
  <c r="G211" i="3"/>
  <c r="F211" i="3" s="1"/>
  <c r="G212" i="3"/>
  <c r="F212" i="3" s="1"/>
  <c r="G213" i="3"/>
  <c r="F213" i="3" s="1"/>
  <c r="G214" i="3"/>
  <c r="F214" i="3" s="1"/>
  <c r="G215" i="3"/>
  <c r="F215" i="3" s="1"/>
  <c r="G216" i="3"/>
  <c r="G217" i="3"/>
  <c r="G218" i="3"/>
  <c r="F218" i="3" s="1"/>
  <c r="G219" i="3"/>
  <c r="F219" i="3" s="1"/>
  <c r="G220" i="3"/>
  <c r="F220" i="3" s="1"/>
  <c r="G36" i="3"/>
  <c r="F36" i="3" s="1"/>
  <c r="G221" i="3"/>
  <c r="F221" i="3" s="1"/>
  <c r="G222" i="3"/>
  <c r="F222" i="3" s="1"/>
  <c r="G223" i="3"/>
  <c r="F223" i="3" s="1"/>
  <c r="G224" i="3"/>
  <c r="G225" i="3"/>
  <c r="F225" i="3" s="1"/>
  <c r="G37" i="3"/>
  <c r="F37" i="3" s="1"/>
  <c r="G226" i="3"/>
  <c r="F226" i="3" s="1"/>
  <c r="G227" i="3"/>
  <c r="F227" i="3" s="1"/>
  <c r="G228" i="3"/>
  <c r="F228" i="3" s="1"/>
  <c r="G229" i="3"/>
  <c r="F229" i="3" s="1"/>
  <c r="G230" i="3"/>
  <c r="F230" i="3" s="1"/>
  <c r="G231" i="3"/>
  <c r="G232" i="3"/>
  <c r="F232" i="3" s="1"/>
  <c r="G7" i="3"/>
  <c r="F7" i="3" s="1"/>
  <c r="G233" i="3"/>
  <c r="F233" i="3" s="1"/>
  <c r="G234" i="3"/>
  <c r="F234" i="3" s="1"/>
  <c r="G235" i="3"/>
  <c r="F235" i="3" s="1"/>
  <c r="G236" i="3"/>
  <c r="F236" i="3" s="1"/>
  <c r="G237" i="3"/>
  <c r="F237" i="3" s="1"/>
  <c r="G238" i="3"/>
  <c r="G239" i="3"/>
  <c r="F239" i="3" s="1"/>
  <c r="G240" i="3"/>
  <c r="F240" i="3" s="1"/>
  <c r="G241" i="3"/>
  <c r="F241" i="3" s="1"/>
  <c r="G242" i="3"/>
  <c r="F242" i="3" s="1"/>
  <c r="G243" i="3"/>
  <c r="F243" i="3" s="1"/>
  <c r="G244" i="3"/>
  <c r="F244" i="3" s="1"/>
  <c r="G38" i="3"/>
  <c r="F38" i="3" s="1"/>
  <c r="G8" i="3"/>
  <c r="G245" i="3"/>
  <c r="F245" i="3" s="1"/>
  <c r="G246" i="3"/>
  <c r="F246" i="3" s="1"/>
  <c r="G247" i="3"/>
  <c r="F247" i="3" s="1"/>
  <c r="G248" i="3"/>
  <c r="F248" i="3" s="1"/>
  <c r="G249" i="3"/>
  <c r="F249" i="3" s="1"/>
  <c r="G39" i="3"/>
  <c r="F39" i="3" s="1"/>
  <c r="G250" i="3"/>
  <c r="F250" i="3" s="1"/>
  <c r="G251" i="3"/>
  <c r="G252" i="3"/>
  <c r="F252" i="3" s="1"/>
  <c r="G253" i="3"/>
  <c r="F253" i="3" s="1"/>
  <c r="G40" i="3"/>
  <c r="F40" i="3" s="1"/>
  <c r="G254" i="3"/>
  <c r="F254" i="3" s="1"/>
  <c r="G255" i="3"/>
  <c r="F255" i="3" s="1"/>
  <c r="G256" i="3"/>
  <c r="F256" i="3" s="1"/>
  <c r="G41" i="3"/>
  <c r="F41" i="3" s="1"/>
  <c r="G257" i="3"/>
  <c r="G258" i="3"/>
  <c r="F258" i="3" s="1"/>
  <c r="G259" i="3"/>
  <c r="F259" i="3" s="1"/>
  <c r="G9" i="3"/>
  <c r="F9" i="3" s="1"/>
  <c r="G42" i="3"/>
  <c r="F42" i="3" s="1"/>
  <c r="G260" i="3"/>
  <c r="F260" i="3" s="1"/>
  <c r="G372" i="3"/>
  <c r="F372" i="3" s="1"/>
  <c r="G373" i="3"/>
  <c r="F373" i="3" s="1"/>
  <c r="G374" i="3"/>
  <c r="G375" i="3"/>
  <c r="G376" i="3"/>
  <c r="F376" i="3" s="1"/>
  <c r="G377" i="3"/>
  <c r="F377" i="3" s="1"/>
  <c r="G378" i="3"/>
  <c r="F378" i="3" s="1"/>
  <c r="G379" i="3"/>
  <c r="F379" i="3" s="1"/>
  <c r="G380" i="3"/>
  <c r="F380" i="3" s="1"/>
  <c r="G381" i="3"/>
  <c r="F381" i="3" s="1"/>
  <c r="G382" i="3"/>
  <c r="G383" i="3"/>
  <c r="F383" i="3" s="1"/>
  <c r="G384" i="3"/>
  <c r="F384" i="3" s="1"/>
  <c r="G385" i="3"/>
  <c r="F385" i="3" s="1"/>
  <c r="G386" i="3"/>
  <c r="F386" i="3" s="1"/>
  <c r="G387" i="3"/>
  <c r="F387" i="3" s="1"/>
  <c r="G388" i="3"/>
  <c r="F388" i="3" s="1"/>
  <c r="G389" i="3"/>
  <c r="F389" i="3" s="1"/>
  <c r="G390" i="3"/>
  <c r="G391" i="3"/>
  <c r="F391" i="3" s="1"/>
  <c r="G392" i="3"/>
  <c r="F392" i="3" s="1"/>
  <c r="G393" i="3"/>
  <c r="F393" i="3" s="1"/>
  <c r="G394" i="3"/>
  <c r="F394" i="3" s="1"/>
  <c r="G395" i="3"/>
  <c r="F395" i="3" s="1"/>
  <c r="G396" i="3"/>
  <c r="F396" i="3" s="1"/>
  <c r="G397" i="3"/>
  <c r="F397" i="3" s="1"/>
  <c r="G398" i="3"/>
  <c r="G399" i="3"/>
  <c r="F399" i="3" s="1"/>
  <c r="G400" i="3"/>
  <c r="F400" i="3" s="1"/>
  <c r="G401" i="3"/>
  <c r="F401" i="3" s="1"/>
  <c r="G402" i="3"/>
  <c r="F402" i="3" s="1"/>
  <c r="G403" i="3"/>
  <c r="F403" i="3" s="1"/>
  <c r="G404" i="3"/>
  <c r="F404" i="3" s="1"/>
  <c r="G405" i="3"/>
  <c r="F405" i="3" s="1"/>
  <c r="G406" i="3"/>
  <c r="G407" i="3"/>
  <c r="F407" i="3" s="1"/>
  <c r="G408" i="3"/>
  <c r="F408" i="3" s="1"/>
  <c r="G409" i="3"/>
  <c r="F409" i="3" s="1"/>
  <c r="G410" i="3"/>
  <c r="F410" i="3" s="1"/>
  <c r="G411" i="3"/>
  <c r="F411" i="3" s="1"/>
  <c r="G412" i="3"/>
  <c r="F412" i="3" s="1"/>
  <c r="G413" i="3"/>
  <c r="F413" i="3" s="1"/>
  <c r="G414" i="3"/>
  <c r="F414" i="3" s="1"/>
  <c r="G415" i="3"/>
  <c r="F415" i="3" s="1"/>
  <c r="G416" i="3"/>
  <c r="F416" i="3" s="1"/>
  <c r="G417" i="3"/>
  <c r="F417" i="3" s="1"/>
  <c r="G418" i="3"/>
  <c r="F418" i="3" s="1"/>
  <c r="G419" i="3"/>
  <c r="F419" i="3" s="1"/>
  <c r="G420" i="3"/>
  <c r="F420" i="3" s="1"/>
  <c r="G421" i="3"/>
  <c r="F421" i="3" s="1"/>
  <c r="G422" i="3"/>
  <c r="F422" i="3" s="1"/>
  <c r="G423" i="3"/>
  <c r="F423" i="3" s="1"/>
  <c r="G424" i="3"/>
  <c r="F424" i="3" s="1"/>
  <c r="G425" i="3"/>
  <c r="F425" i="3" s="1"/>
  <c r="G426" i="3"/>
  <c r="F426" i="3" s="1"/>
  <c r="G427" i="3"/>
  <c r="F427" i="3" s="1"/>
  <c r="G428" i="3"/>
  <c r="F428" i="3" s="1"/>
  <c r="G429" i="3"/>
  <c r="F429" i="3" s="1"/>
  <c r="G430" i="3"/>
  <c r="G431" i="3"/>
  <c r="F431" i="3" s="1"/>
  <c r="G432" i="3"/>
  <c r="F432" i="3" s="1"/>
  <c r="G433" i="3"/>
  <c r="F433" i="3" s="1"/>
  <c r="G345" i="3"/>
  <c r="F345" i="3" s="1"/>
  <c r="G434" i="3"/>
  <c r="F434" i="3" s="1"/>
  <c r="G435" i="3"/>
  <c r="F435" i="3" s="1"/>
  <c r="G436" i="3"/>
  <c r="F436" i="3" s="1"/>
  <c r="G437" i="3"/>
  <c r="F437" i="3" s="1"/>
  <c r="G438" i="3"/>
  <c r="F438" i="3" s="1"/>
  <c r="G439" i="3"/>
  <c r="F439" i="3" s="1"/>
  <c r="G328" i="3"/>
  <c r="F328" i="3" s="1"/>
  <c r="G440" i="3"/>
  <c r="F440" i="3" s="1"/>
  <c r="G441" i="3"/>
  <c r="F441" i="3" s="1"/>
  <c r="G346" i="3"/>
  <c r="F346" i="3" s="1"/>
  <c r="G442" i="3"/>
  <c r="F442" i="3" s="1"/>
  <c r="G443" i="3"/>
  <c r="G444" i="3"/>
  <c r="F444" i="3" s="1"/>
  <c r="G445" i="3"/>
  <c r="F445" i="3" s="1"/>
  <c r="G446" i="3"/>
  <c r="F446" i="3" s="1"/>
  <c r="G447" i="3"/>
  <c r="F447" i="3" s="1"/>
  <c r="G448" i="3"/>
  <c r="F448" i="3" s="1"/>
  <c r="G449" i="3"/>
  <c r="F449" i="3" s="1"/>
  <c r="G450" i="3"/>
  <c r="G451" i="3"/>
  <c r="F451" i="3" s="1"/>
  <c r="G452" i="3"/>
  <c r="F452" i="3" s="1"/>
  <c r="G453" i="3"/>
  <c r="F453" i="3" s="1"/>
  <c r="G454" i="3"/>
  <c r="F454" i="3" s="1"/>
  <c r="G455" i="3"/>
  <c r="F455" i="3" s="1"/>
  <c r="G456" i="3"/>
  <c r="F456" i="3" s="1"/>
  <c r="G457" i="3"/>
  <c r="F457" i="3" s="1"/>
  <c r="G458" i="3"/>
  <c r="F458" i="3" s="1"/>
  <c r="G347" i="3"/>
  <c r="F347" i="3" s="1"/>
  <c r="G348" i="3"/>
  <c r="F348" i="3" s="1"/>
  <c r="G349" i="3"/>
  <c r="F349" i="3" s="1"/>
  <c r="G459" i="3"/>
  <c r="F459" i="3" s="1"/>
  <c r="G460" i="3"/>
  <c r="G461" i="3"/>
  <c r="F461" i="3" s="1"/>
  <c r="G462" i="3"/>
  <c r="F462" i="3" s="1"/>
  <c r="G463" i="3"/>
  <c r="F463" i="3" s="1"/>
  <c r="G350" i="3"/>
  <c r="G464" i="3"/>
  <c r="F464" i="3" s="1"/>
  <c r="G465" i="3"/>
  <c r="F465" i="3" s="1"/>
  <c r="G466" i="3"/>
  <c r="F466" i="3" s="1"/>
  <c r="G467" i="3"/>
  <c r="F467" i="3" s="1"/>
  <c r="G468" i="3"/>
  <c r="F468" i="3" s="1"/>
  <c r="G351" i="3"/>
  <c r="F351" i="3" s="1"/>
  <c r="G469" i="3"/>
  <c r="F469" i="3" s="1"/>
  <c r="G470" i="3"/>
  <c r="G471" i="3"/>
  <c r="F471" i="3" s="1"/>
  <c r="G352" i="3"/>
  <c r="F352" i="3" s="1"/>
  <c r="G472" i="3"/>
  <c r="F472" i="3" s="1"/>
  <c r="G353" i="3"/>
  <c r="F353" i="3" s="1"/>
  <c r="G473" i="3"/>
  <c r="F473" i="3" s="1"/>
  <c r="G474" i="3"/>
  <c r="F474" i="3" s="1"/>
  <c r="G354" i="3"/>
  <c r="F354" i="3" s="1"/>
  <c r="G355" i="3"/>
  <c r="F355" i="3" s="1"/>
  <c r="G475" i="3"/>
  <c r="F475" i="3" s="1"/>
  <c r="G476" i="3"/>
  <c r="F476" i="3" s="1"/>
  <c r="G356" i="3"/>
  <c r="F356" i="3" s="1"/>
  <c r="G329" i="3"/>
  <c r="F329" i="3" s="1"/>
  <c r="G357" i="3"/>
  <c r="F357" i="3" s="1"/>
  <c r="G358" i="3"/>
  <c r="F358" i="3" s="1"/>
  <c r="G312" i="3"/>
  <c r="F312" i="3" s="1"/>
  <c r="G330" i="3"/>
  <c r="F330" i="3" s="1"/>
  <c r="G331" i="3"/>
  <c r="F331" i="3" s="1"/>
  <c r="G313" i="3"/>
  <c r="F313" i="3" s="1"/>
  <c r="G332" i="3"/>
  <c r="F332" i="3" s="1"/>
  <c r="G477" i="3"/>
  <c r="F477" i="3" s="1"/>
  <c r="G314" i="3"/>
  <c r="F314" i="3" s="1"/>
  <c r="G478" i="3"/>
  <c r="F478" i="3" s="1"/>
  <c r="G359" i="3"/>
  <c r="F359" i="3" s="1"/>
  <c r="G360" i="3"/>
  <c r="G315" i="3"/>
  <c r="F315" i="3" s="1"/>
  <c r="G316" i="3"/>
  <c r="F316" i="3" s="1"/>
  <c r="G333" i="3"/>
  <c r="F333" i="3" s="1"/>
  <c r="G361" i="3"/>
  <c r="F361" i="3" s="1"/>
  <c r="G479" i="3"/>
  <c r="F479" i="3" s="1"/>
  <c r="G334" i="3"/>
  <c r="F334" i="3" s="1"/>
  <c r="G480" i="3"/>
  <c r="F480" i="3" s="1"/>
  <c r="G481" i="3"/>
  <c r="F481" i="3" s="1"/>
  <c r="G482" i="3"/>
  <c r="F482" i="3" s="1"/>
  <c r="G483" i="3"/>
  <c r="F483" i="3" s="1"/>
  <c r="G287" i="3"/>
  <c r="F287" i="3" s="1"/>
  <c r="G317" i="3"/>
  <c r="F317" i="3" s="1"/>
  <c r="G335" i="3"/>
  <c r="F335" i="3" s="1"/>
  <c r="G484" i="3"/>
  <c r="F484" i="3" s="1"/>
  <c r="G318" i="3"/>
  <c r="F318" i="3" s="1"/>
  <c r="G485" i="3"/>
  <c r="F485" i="3" s="1"/>
  <c r="G336" i="3"/>
  <c r="F336" i="3" s="1"/>
  <c r="G362" i="3"/>
  <c r="F362" i="3" s="1"/>
  <c r="G363" i="3"/>
  <c r="F363" i="3" s="1"/>
  <c r="G337" i="3"/>
  <c r="F337" i="3" s="1"/>
  <c r="G486" i="3"/>
  <c r="F486" i="3" s="1"/>
  <c r="G338" i="3"/>
  <c r="F338" i="3" s="1"/>
  <c r="G487" i="3"/>
  <c r="F487" i="3" s="1"/>
  <c r="G488" i="3"/>
  <c r="F488" i="3" s="1"/>
  <c r="G489" i="3"/>
  <c r="F489" i="3" s="1"/>
  <c r="G490" i="3"/>
  <c r="F490" i="3" s="1"/>
  <c r="G491" i="3"/>
  <c r="F491" i="3" s="1"/>
  <c r="G492" i="3"/>
  <c r="F492" i="3" s="1"/>
  <c r="G281" i="3"/>
  <c r="F281" i="3" s="1"/>
  <c r="G364" i="3"/>
  <c r="F364" i="3" s="1"/>
  <c r="G307" i="3"/>
  <c r="F307" i="3" s="1"/>
  <c r="G319" i="3"/>
  <c r="F319" i="3" s="1"/>
  <c r="G339" i="3"/>
  <c r="F339" i="3" s="1"/>
  <c r="G308" i="3"/>
  <c r="F308" i="3" s="1"/>
  <c r="G320" i="3"/>
  <c r="F320" i="3" s="1"/>
  <c r="G309" i="3"/>
  <c r="F309" i="3" s="1"/>
  <c r="G321" i="3"/>
  <c r="F321" i="3" s="1"/>
  <c r="G282" i="3"/>
  <c r="F282" i="3" s="1"/>
  <c r="G365" i="3"/>
  <c r="F365" i="3" s="1"/>
  <c r="G322" i="3"/>
  <c r="F322" i="3" s="1"/>
  <c r="G310" i="3"/>
  <c r="F310" i="3" s="1"/>
  <c r="G493" i="3"/>
  <c r="F493" i="3" s="1"/>
  <c r="G366" i="3"/>
  <c r="F366" i="3" s="1"/>
  <c r="G494" i="3"/>
  <c r="F494" i="3" s="1"/>
  <c r="G495" i="3"/>
  <c r="F495" i="3" s="1"/>
  <c r="G496" i="3"/>
  <c r="F496" i="3" s="1"/>
  <c r="G497" i="3"/>
  <c r="F497" i="3" s="1"/>
  <c r="G266" i="3"/>
  <c r="F266" i="3" s="1"/>
  <c r="G498" i="3"/>
  <c r="F498" i="3" s="1"/>
  <c r="G499" i="3"/>
  <c r="F499" i="3" s="1"/>
  <c r="G311" i="3"/>
  <c r="F311" i="3" s="1"/>
  <c r="G500" i="3"/>
  <c r="F500" i="3" s="1"/>
  <c r="G501" i="3"/>
  <c r="F501" i="3" s="1"/>
  <c r="G502" i="3"/>
  <c r="F502" i="3" s="1"/>
  <c r="G265" i="3"/>
  <c r="F265" i="3" s="1"/>
  <c r="G503" i="3"/>
  <c r="F503" i="3" s="1"/>
  <c r="G283" i="3"/>
  <c r="F283" i="3" s="1"/>
  <c r="G263" i="3"/>
  <c r="F263" i="3" s="1"/>
  <c r="G272" i="3"/>
  <c r="F272" i="3" s="1"/>
  <c r="G340" i="3"/>
  <c r="F340" i="3" s="1"/>
  <c r="G367" i="3"/>
  <c r="F367" i="3" s="1"/>
  <c r="G504" i="3"/>
  <c r="F504" i="3" s="1"/>
  <c r="G323" i="3"/>
  <c r="F323" i="3" s="1"/>
  <c r="G284" i="3"/>
  <c r="F284" i="3" s="1"/>
  <c r="G505" i="3"/>
  <c r="F505" i="3" s="1"/>
  <c r="G368" i="3"/>
  <c r="F368" i="3" s="1"/>
  <c r="G276" i="3"/>
  <c r="F276" i="3" s="1"/>
  <c r="G506" i="3"/>
  <c r="F506" i="3" s="1"/>
  <c r="G507" i="3"/>
  <c r="F507" i="3" s="1"/>
  <c r="G261" i="3"/>
  <c r="F261" i="3" s="1"/>
  <c r="G508" i="3"/>
  <c r="F508" i="3" s="1"/>
  <c r="G509" i="3"/>
  <c r="G510" i="3"/>
  <c r="F510" i="3" s="1"/>
  <c r="G511" i="3"/>
  <c r="F511" i="3" s="1"/>
  <c r="G324" i="3"/>
  <c r="F324" i="3" s="1"/>
  <c r="G269" i="3"/>
  <c r="F269" i="3" s="1"/>
  <c r="G512" i="3"/>
  <c r="F512" i="3" s="1"/>
  <c r="G513" i="3"/>
  <c r="F513" i="3" s="1"/>
  <c r="G514" i="3"/>
  <c r="F514" i="3" s="1"/>
  <c r="G515" i="3"/>
  <c r="F515" i="3" s="1"/>
  <c r="G516" i="3"/>
  <c r="F516" i="3" s="1"/>
  <c r="G273" i="3"/>
  <c r="F273" i="3" s="1"/>
  <c r="G270" i="3"/>
  <c r="F270" i="3" s="1"/>
  <c r="G285" i="3"/>
  <c r="F285" i="3" s="1"/>
  <c r="G517" i="3"/>
  <c r="F517" i="3" s="1"/>
  <c r="G518" i="3"/>
  <c r="F518" i="3" s="1"/>
  <c r="G369" i="3"/>
  <c r="F369" i="3" s="1"/>
  <c r="G286" i="3"/>
  <c r="F286" i="3" s="1"/>
  <c r="G370" i="3"/>
  <c r="F370" i="3" s="1"/>
  <c r="G262" i="3"/>
  <c r="F262" i="3" s="1"/>
  <c r="G519" i="3"/>
  <c r="F519" i="3" s="1"/>
  <c r="G520" i="3"/>
  <c r="F520" i="3" s="1"/>
  <c r="G521" i="3"/>
  <c r="F521" i="3" s="1"/>
  <c r="G522" i="3"/>
  <c r="F522" i="3" s="1"/>
  <c r="G523" i="3"/>
  <c r="F523" i="3" s="1"/>
  <c r="G524" i="3"/>
  <c r="G371" i="3"/>
  <c r="F371" i="3" s="1"/>
  <c r="G525" i="3"/>
  <c r="F525" i="3" s="1"/>
  <c r="G526" i="3"/>
  <c r="F526" i="3" s="1"/>
  <c r="G527" i="3"/>
  <c r="F527" i="3" s="1"/>
  <c r="G528" i="3"/>
  <c r="F528" i="3" s="1"/>
  <c r="G529" i="3"/>
  <c r="F529" i="3" s="1"/>
  <c r="G530" i="3"/>
  <c r="F530" i="3" s="1"/>
  <c r="G531" i="3"/>
  <c r="F531" i="3" s="1"/>
  <c r="G532" i="3"/>
  <c r="F532" i="3" s="1"/>
  <c r="G533" i="3"/>
  <c r="F533" i="3" s="1"/>
  <c r="G325" i="3"/>
  <c r="F325" i="3" s="1"/>
  <c r="G326" i="3"/>
  <c r="F326" i="3" s="1"/>
  <c r="G341" i="3"/>
  <c r="F341" i="3" s="1"/>
  <c r="G342" i="3"/>
  <c r="F342" i="3" s="1"/>
  <c r="G327" i="3"/>
  <c r="F327" i="3" s="1"/>
  <c r="G267" i="3"/>
  <c r="F267" i="3" s="1"/>
  <c r="G343" i="3"/>
  <c r="F343" i="3" s="1"/>
  <c r="G534" i="3"/>
  <c r="F534" i="3" s="1"/>
  <c r="G344" i="3"/>
  <c r="F344" i="3" s="1"/>
  <c r="G264" i="3"/>
  <c r="F264" i="3" s="1"/>
  <c r="G274" i="3"/>
  <c r="F274" i="3" s="1"/>
  <c r="G277" i="3"/>
  <c r="F277" i="3" s="1"/>
  <c r="G271" i="3"/>
  <c r="F271" i="3" s="1"/>
  <c r="G278" i="3"/>
  <c r="F278" i="3" s="1"/>
  <c r="G275" i="3"/>
  <c r="F275" i="3" s="1"/>
  <c r="G279" i="3"/>
  <c r="F279" i="3" s="1"/>
  <c r="G280" i="3"/>
  <c r="F280" i="3" s="1"/>
  <c r="G268" i="3"/>
  <c r="F268" i="3" s="1"/>
  <c r="G547" i="3"/>
  <c r="F547" i="3" s="1"/>
  <c r="G585" i="3"/>
  <c r="F585" i="3" s="1"/>
  <c r="G553" i="3"/>
  <c r="F553" i="3" s="1"/>
  <c r="G554" i="3"/>
  <c r="F554" i="3" s="1"/>
  <c r="G537" i="3"/>
  <c r="F537" i="3" s="1"/>
  <c r="G620" i="3"/>
  <c r="F620" i="3" s="1"/>
  <c r="G661" i="3"/>
  <c r="F661" i="3" s="1"/>
  <c r="G662" i="3"/>
  <c r="F662" i="3" s="1"/>
  <c r="G663" i="3"/>
  <c r="F663" i="3" s="1"/>
  <c r="G645" i="3"/>
  <c r="F645" i="3" s="1"/>
  <c r="G664" i="3"/>
  <c r="F664" i="3" s="1"/>
  <c r="G591" i="3"/>
  <c r="F591" i="3" s="1"/>
  <c r="G646" i="3"/>
  <c r="F646" i="3" s="1"/>
  <c r="G586" i="3"/>
  <c r="F586" i="3" s="1"/>
  <c r="G538" i="3"/>
  <c r="F538" i="3" s="1"/>
  <c r="G560" i="3"/>
  <c r="F560" i="3" s="1"/>
  <c r="G604" i="3"/>
  <c r="F604" i="3" s="1"/>
  <c r="G541" i="3"/>
  <c r="F541" i="3" s="1"/>
  <c r="G605" i="3"/>
  <c r="F605" i="3" s="1"/>
  <c r="G665" i="3"/>
  <c r="F665" i="3" s="1"/>
  <c r="G666" i="3"/>
  <c r="F666" i="3" s="1"/>
  <c r="G548" i="3"/>
  <c r="F548" i="3" s="1"/>
  <c r="G606" i="3"/>
  <c r="F606" i="3" s="1"/>
  <c r="G667" i="3"/>
  <c r="F667" i="3" s="1"/>
  <c r="G545" i="3"/>
  <c r="F545" i="3" s="1"/>
  <c r="G592" i="3"/>
  <c r="F592" i="3" s="1"/>
  <c r="G621" i="3"/>
  <c r="F621" i="3" s="1"/>
  <c r="G622" i="3"/>
  <c r="F622" i="3" s="1"/>
  <c r="G668" i="3"/>
  <c r="F668" i="3" s="1"/>
  <c r="G647" i="3"/>
  <c r="F647" i="3" s="1"/>
  <c r="G669" i="3"/>
  <c r="F669" i="3" s="1"/>
  <c r="G670" i="3"/>
  <c r="F670" i="3" s="1"/>
  <c r="G593" i="3"/>
  <c r="F593" i="3" s="1"/>
  <c r="G671" i="3"/>
  <c r="F671" i="3" s="1"/>
  <c r="G555" i="3"/>
  <c r="F555" i="3" s="1"/>
  <c r="G607" i="3"/>
  <c r="F607" i="3" s="1"/>
  <c r="G672" i="3"/>
  <c r="F672" i="3" s="1"/>
  <c r="G587" i="3"/>
  <c r="F587" i="3" s="1"/>
  <c r="G673" i="3"/>
  <c r="F673" i="3" s="1"/>
  <c r="G674" i="3"/>
  <c r="F674" i="3" s="1"/>
  <c r="G648" i="3"/>
  <c r="F648" i="3" s="1"/>
  <c r="G675" i="3"/>
  <c r="F675" i="3" s="1"/>
  <c r="G649" i="3"/>
  <c r="F649" i="3" s="1"/>
  <c r="G676" i="3"/>
  <c r="F676" i="3" s="1"/>
  <c r="G677" i="3"/>
  <c r="F677" i="3" s="1"/>
  <c r="G678" i="3"/>
  <c r="F678" i="3" s="1"/>
  <c r="G679" i="3"/>
  <c r="F679" i="3" s="1"/>
  <c r="G680" i="3"/>
  <c r="F680" i="3" s="1"/>
  <c r="G681" i="3"/>
  <c r="F681" i="3" s="1"/>
  <c r="G682" i="3"/>
  <c r="F682" i="3" s="1"/>
  <c r="G683" i="3"/>
  <c r="F683" i="3" s="1"/>
  <c r="G650" i="3"/>
  <c r="F650" i="3" s="1"/>
  <c r="G684" i="3"/>
  <c r="F684" i="3" s="1"/>
  <c r="G685" i="3"/>
  <c r="F685" i="3" s="1"/>
  <c r="G623" i="3"/>
  <c r="F623" i="3" s="1"/>
  <c r="G542" i="3"/>
  <c r="F542" i="3" s="1"/>
  <c r="G624" i="3"/>
  <c r="F624" i="3" s="1"/>
  <c r="G625" i="3"/>
  <c r="F625" i="3" s="1"/>
  <c r="G651" i="3"/>
  <c r="F651" i="3" s="1"/>
  <c r="G594" i="3"/>
  <c r="F594" i="3" s="1"/>
  <c r="G595" i="3"/>
  <c r="F595" i="3" s="1"/>
  <c r="G626" i="3"/>
  <c r="F626" i="3" s="1"/>
  <c r="G686" i="3"/>
  <c r="F686" i="3" s="1"/>
  <c r="G561" i="3"/>
  <c r="F561" i="3" s="1"/>
  <c r="G687" i="3"/>
  <c r="F687" i="3" s="1"/>
  <c r="G627" i="3"/>
  <c r="F627" i="3" s="1"/>
  <c r="G556" i="3"/>
  <c r="F556" i="3" s="1"/>
  <c r="G581" i="3"/>
  <c r="F581" i="3" s="1"/>
  <c r="G549" i="3"/>
  <c r="F549" i="3" s="1"/>
  <c r="G628" i="3"/>
  <c r="F628" i="3" s="1"/>
  <c r="G652" i="3"/>
  <c r="F652" i="3" s="1"/>
  <c r="G653" i="3"/>
  <c r="F653" i="3" s="1"/>
  <c r="G596" i="3"/>
  <c r="F596" i="3" s="1"/>
  <c r="G608" i="3"/>
  <c r="F608" i="3" s="1"/>
  <c r="G609" i="3"/>
  <c r="F609" i="3" s="1"/>
  <c r="G557" i="3"/>
  <c r="F557" i="3" s="1"/>
  <c r="G688" i="3"/>
  <c r="F688" i="3" s="1"/>
  <c r="G689" i="3"/>
  <c r="F689" i="3" s="1"/>
  <c r="G690" i="3"/>
  <c r="F690" i="3" s="1"/>
  <c r="G582" i="3"/>
  <c r="F582" i="3" s="1"/>
  <c r="G691" i="3"/>
  <c r="F691" i="3" s="1"/>
  <c r="G692" i="3"/>
  <c r="F692" i="3" s="1"/>
  <c r="G693" i="3"/>
  <c r="F693" i="3" s="1"/>
  <c r="G694" i="3"/>
  <c r="F694" i="3" s="1"/>
  <c r="G695" i="3"/>
  <c r="F695" i="3" s="1"/>
  <c r="G696" i="3"/>
  <c r="F696" i="3" s="1"/>
  <c r="G697" i="3"/>
  <c r="F697" i="3" s="1"/>
  <c r="G698" i="3"/>
  <c r="F698" i="3" s="1"/>
  <c r="G654" i="3"/>
  <c r="F654" i="3" s="1"/>
  <c r="G550" i="3"/>
  <c r="F550" i="3" s="1"/>
  <c r="G597" i="3"/>
  <c r="F597" i="3" s="1"/>
  <c r="G629" i="3"/>
  <c r="F629" i="3" s="1"/>
  <c r="G699" i="3"/>
  <c r="F699" i="3" s="1"/>
  <c r="G558" i="3"/>
  <c r="F558" i="3" s="1"/>
  <c r="G562" i="3"/>
  <c r="F562" i="3" s="1"/>
  <c r="G700" i="3"/>
  <c r="F700" i="3" s="1"/>
  <c r="G539" i="3"/>
  <c r="F539" i="3" s="1"/>
  <c r="G701" i="3"/>
  <c r="F701" i="3" s="1"/>
  <c r="G702" i="3"/>
  <c r="F702" i="3" s="1"/>
  <c r="G598" i="3"/>
  <c r="F598" i="3" s="1"/>
  <c r="G599" i="3"/>
  <c r="F599" i="3" s="1"/>
  <c r="G703" i="3"/>
  <c r="F703" i="3" s="1"/>
  <c r="G630" i="3"/>
  <c r="F630" i="3" s="1"/>
  <c r="G535" i="3"/>
  <c r="F535" i="3" s="1"/>
  <c r="G704" i="3"/>
  <c r="F704" i="3" s="1"/>
  <c r="G705" i="3"/>
  <c r="F705" i="3" s="1"/>
  <c r="G706" i="3"/>
  <c r="F706" i="3" s="1"/>
  <c r="G707" i="3"/>
  <c r="F707" i="3" s="1"/>
  <c r="G708" i="3"/>
  <c r="F708" i="3" s="1"/>
  <c r="G655" i="3"/>
  <c r="F655" i="3" s="1"/>
  <c r="G656" i="3"/>
  <c r="F656" i="3" s="1"/>
  <c r="G546" i="3"/>
  <c r="F546" i="3" s="1"/>
  <c r="G551" i="3"/>
  <c r="F551" i="3" s="1"/>
  <c r="G709" i="3"/>
  <c r="F709" i="3" s="1"/>
  <c r="G536" i="3"/>
  <c r="F536" i="3" s="1"/>
  <c r="G710" i="3"/>
  <c r="F710" i="3" s="1"/>
  <c r="G631" i="3"/>
  <c r="F631" i="3" s="1"/>
  <c r="G657" i="3"/>
  <c r="F657" i="3" s="1"/>
  <c r="G610" i="3"/>
  <c r="F610" i="3" s="1"/>
  <c r="G711" i="3"/>
  <c r="F711" i="3" s="1"/>
  <c r="G600" i="3"/>
  <c r="F600" i="3" s="1"/>
  <c r="G712" i="3"/>
  <c r="F712" i="3" s="1"/>
  <c r="G632" i="3"/>
  <c r="F632" i="3" s="1"/>
  <c r="G713" i="3"/>
  <c r="F713" i="3" s="1"/>
  <c r="G714" i="3"/>
  <c r="F714" i="3" s="1"/>
  <c r="G611" i="3"/>
  <c r="F611" i="3" s="1"/>
  <c r="G715" i="3"/>
  <c r="F715" i="3" s="1"/>
  <c r="G658" i="3"/>
  <c r="F658" i="3" s="1"/>
  <c r="G716" i="3"/>
  <c r="F716" i="3" s="1"/>
  <c r="G717" i="3"/>
  <c r="F717" i="3" s="1"/>
  <c r="G718" i="3"/>
  <c r="F718" i="3" s="1"/>
  <c r="G719" i="3"/>
  <c r="F719" i="3" s="1"/>
  <c r="G612" i="3"/>
  <c r="F612" i="3" s="1"/>
  <c r="G720" i="3"/>
  <c r="F720" i="3" s="1"/>
  <c r="G721" i="3"/>
  <c r="F721" i="3" s="1"/>
  <c r="G722" i="3"/>
  <c r="F722" i="3" s="1"/>
  <c r="G633" i="3"/>
  <c r="F633" i="3" s="1"/>
  <c r="G659" i="3"/>
  <c r="F659" i="3" s="1"/>
  <c r="G723" i="3"/>
  <c r="F723" i="3" s="1"/>
  <c r="G583" i="3"/>
  <c r="F583" i="3" s="1"/>
  <c r="G613" i="3"/>
  <c r="F613" i="3" s="1"/>
  <c r="G614" i="3"/>
  <c r="F614" i="3" s="1"/>
  <c r="G634" i="3"/>
  <c r="F634" i="3" s="1"/>
  <c r="G635" i="3"/>
  <c r="F635" i="3" s="1"/>
  <c r="G588" i="3"/>
  <c r="F588" i="3" s="1"/>
  <c r="G615" i="3"/>
  <c r="F615" i="3" s="1"/>
  <c r="G616" i="3"/>
  <c r="F616" i="3" s="1"/>
  <c r="G636" i="3"/>
  <c r="F636" i="3" s="1"/>
  <c r="G589" i="3"/>
  <c r="F589" i="3" s="1"/>
  <c r="G637" i="3"/>
  <c r="F637" i="3" s="1"/>
  <c r="G617" i="3"/>
  <c r="F617" i="3" s="1"/>
  <c r="G638" i="3"/>
  <c r="F638" i="3" s="1"/>
  <c r="G639" i="3"/>
  <c r="F639" i="3" s="1"/>
  <c r="G640" i="3"/>
  <c r="F640" i="3" s="1"/>
  <c r="G601" i="3"/>
  <c r="F601" i="3" s="1"/>
  <c r="G602" i="3"/>
  <c r="F602" i="3" s="1"/>
  <c r="G618" i="3"/>
  <c r="F618" i="3" s="1"/>
  <c r="G540" i="3"/>
  <c r="F540" i="3" s="1"/>
  <c r="G641" i="3"/>
  <c r="F641" i="3" s="1"/>
  <c r="G724" i="3"/>
  <c r="F724" i="3" s="1"/>
  <c r="G725" i="3"/>
  <c r="F725" i="3" s="1"/>
  <c r="G660" i="3"/>
  <c r="F660" i="3" s="1"/>
  <c r="G559" i="3"/>
  <c r="F559" i="3" s="1"/>
  <c r="G642" i="3"/>
  <c r="F642" i="3" s="1"/>
  <c r="G726" i="3"/>
  <c r="F726" i="3" s="1"/>
  <c r="G643" i="3"/>
  <c r="F643" i="3" s="1"/>
  <c r="G727" i="3"/>
  <c r="F727" i="3" s="1"/>
  <c r="G728" i="3"/>
  <c r="F728" i="3" s="1"/>
  <c r="G603" i="3"/>
  <c r="F603" i="3" s="1"/>
  <c r="G543" i="3"/>
  <c r="F543" i="3" s="1"/>
  <c r="G544" i="3"/>
  <c r="F544" i="3" s="1"/>
  <c r="G729" i="3"/>
  <c r="F729" i="3" s="1"/>
  <c r="G644" i="3"/>
  <c r="F644" i="3" s="1"/>
  <c r="G552" i="3"/>
  <c r="F552" i="3" s="1"/>
  <c r="G619" i="3"/>
  <c r="F619" i="3" s="1"/>
  <c r="G730" i="3"/>
  <c r="F730" i="3" s="1"/>
  <c r="G731" i="3"/>
  <c r="F731" i="3" s="1"/>
  <c r="G732" i="3"/>
  <c r="F732" i="3" s="1"/>
  <c r="G733" i="3"/>
  <c r="F733" i="3" s="1"/>
  <c r="G734" i="3"/>
  <c r="F734" i="3" s="1"/>
  <c r="G584" i="3"/>
  <c r="F584" i="3" s="1"/>
  <c r="G590" i="3"/>
  <c r="F590" i="3" s="1"/>
  <c r="G44" i="3"/>
  <c r="F44" i="3" s="1"/>
  <c r="G45" i="3"/>
  <c r="F45" i="3" s="1"/>
  <c r="F55" i="3"/>
  <c r="F75" i="3"/>
  <c r="F81" i="3"/>
  <c r="F96" i="3"/>
  <c r="F18" i="3"/>
  <c r="F127" i="3"/>
  <c r="F128" i="3"/>
  <c r="F133" i="3"/>
  <c r="F147" i="3"/>
  <c r="F160" i="3"/>
  <c r="F179" i="3"/>
  <c r="F180" i="3"/>
  <c r="F187" i="3"/>
  <c r="F202" i="3"/>
  <c r="F217" i="3"/>
  <c r="F238" i="3"/>
  <c r="F8" i="3"/>
  <c r="F257" i="3"/>
  <c r="F390" i="3"/>
  <c r="F443" i="3"/>
  <c r="F450" i="3"/>
  <c r="F48" i="3"/>
  <c r="F63" i="3"/>
  <c r="F88" i="3"/>
  <c r="F104" i="3"/>
  <c r="F116" i="3"/>
  <c r="F141" i="3"/>
  <c r="F155" i="3"/>
  <c r="F166" i="3"/>
  <c r="F194" i="3"/>
  <c r="F209" i="3"/>
  <c r="F216" i="3"/>
  <c r="F224" i="3"/>
  <c r="F251" i="3"/>
  <c r="F374" i="3"/>
  <c r="F375" i="3"/>
  <c r="F382" i="3"/>
  <c r="F430" i="3"/>
  <c r="F509" i="3"/>
  <c r="F524" i="3"/>
  <c r="F46" i="3"/>
  <c r="F60" i="3"/>
  <c r="F2" i="3"/>
  <c r="F72" i="3"/>
  <c r="F73" i="3"/>
  <c r="F79" i="3"/>
  <c r="F3" i="3"/>
  <c r="F121" i="3"/>
  <c r="F136" i="3"/>
  <c r="F138" i="3"/>
  <c r="F139" i="3"/>
  <c r="F170" i="3"/>
  <c r="F173" i="3"/>
  <c r="F191" i="3"/>
  <c r="F231" i="3"/>
  <c r="F398" i="3"/>
  <c r="F406" i="3"/>
  <c r="F460" i="3"/>
  <c r="F350" i="3"/>
  <c r="F470" i="3"/>
  <c r="F360" i="3"/>
  <c r="T44" i="3"/>
  <c r="T45" i="3"/>
  <c r="T46" i="3"/>
  <c r="T47" i="3"/>
  <c r="T48" i="3"/>
  <c r="T49" i="3"/>
  <c r="T50" i="3"/>
  <c r="T51" i="3"/>
  <c r="T52" i="3"/>
  <c r="T53" i="3"/>
  <c r="T54" i="3"/>
  <c r="T10" i="3"/>
  <c r="T55" i="3"/>
  <c r="T56" i="3"/>
  <c r="T57" i="3"/>
  <c r="T58" i="3"/>
  <c r="T59" i="3"/>
  <c r="T60" i="3"/>
  <c r="T61" i="3"/>
  <c r="T62" i="3"/>
  <c r="T63" i="3"/>
  <c r="T11" i="3"/>
  <c r="T12" i="3"/>
  <c r="T64" i="3"/>
  <c r="T65" i="3"/>
  <c r="T66" i="3"/>
  <c r="T67" i="3"/>
  <c r="T68" i="3"/>
  <c r="T2" i="3"/>
  <c r="T69" i="3"/>
  <c r="T13" i="3"/>
  <c r="T70" i="3"/>
  <c r="T71" i="3"/>
  <c r="T72" i="3"/>
  <c r="T73" i="3"/>
  <c r="T74" i="3"/>
  <c r="T75" i="3"/>
  <c r="T76" i="3"/>
  <c r="T14" i="3"/>
  <c r="T77" i="3"/>
  <c r="T78" i="3"/>
  <c r="T79" i="3"/>
  <c r="T80" i="3"/>
  <c r="T15" i="3"/>
  <c r="T81" i="3"/>
  <c r="T82" i="3"/>
  <c r="T83" i="3"/>
  <c r="T16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7" i="3"/>
  <c r="T107" i="3"/>
  <c r="T3" i="3"/>
  <c r="T108" i="3"/>
  <c r="T109" i="3"/>
  <c r="T18" i="3"/>
  <c r="T19" i="3"/>
  <c r="T110" i="3"/>
  <c r="T111" i="3"/>
  <c r="T112" i="3"/>
  <c r="T113" i="3"/>
  <c r="T114" i="3"/>
  <c r="T115" i="3"/>
  <c r="T116" i="3"/>
  <c r="T20" i="3"/>
  <c r="T117" i="3"/>
  <c r="T21" i="3"/>
  <c r="T118" i="3"/>
  <c r="T22" i="3"/>
  <c r="T119" i="3"/>
  <c r="T120" i="3"/>
  <c r="T121" i="3"/>
  <c r="T122" i="3"/>
  <c r="T123" i="3"/>
  <c r="T124" i="3"/>
  <c r="T125" i="3"/>
  <c r="T126" i="3"/>
  <c r="T23" i="3"/>
  <c r="T127" i="3"/>
  <c r="T128" i="3"/>
  <c r="T24" i="3"/>
  <c r="T25" i="3"/>
  <c r="T129" i="3"/>
  <c r="T130" i="3"/>
  <c r="T131" i="3"/>
  <c r="T132" i="3"/>
  <c r="T26" i="3"/>
  <c r="T133" i="3"/>
  <c r="T134" i="3"/>
  <c r="T135" i="3"/>
  <c r="T136" i="3"/>
  <c r="T137" i="3"/>
  <c r="T138" i="3"/>
  <c r="T139" i="3"/>
  <c r="T140" i="3"/>
  <c r="T141" i="3"/>
  <c r="T142" i="3"/>
  <c r="T143" i="3"/>
  <c r="T27" i="3"/>
  <c r="T144" i="3"/>
  <c r="T145" i="3"/>
  <c r="T146" i="3"/>
  <c r="T28" i="3"/>
  <c r="T147" i="3"/>
  <c r="T148" i="3"/>
  <c r="T149" i="3"/>
  <c r="T150" i="3"/>
  <c r="T151" i="3"/>
  <c r="T152" i="3"/>
  <c r="T153" i="3"/>
  <c r="T154" i="3"/>
  <c r="T155" i="3"/>
  <c r="T29" i="3"/>
  <c r="T156" i="3"/>
  <c r="T30" i="3"/>
  <c r="T157" i="3"/>
  <c r="T158" i="3"/>
  <c r="T159" i="3"/>
  <c r="T31" i="3"/>
  <c r="T160" i="3"/>
  <c r="T161" i="3"/>
  <c r="T162" i="3"/>
  <c r="T4" i="3"/>
  <c r="T163" i="3"/>
  <c r="T164" i="3"/>
  <c r="T5" i="3"/>
  <c r="T165" i="3"/>
  <c r="T166" i="3"/>
  <c r="T167" i="3"/>
  <c r="T32" i="3"/>
  <c r="T168" i="3"/>
  <c r="T169" i="3"/>
  <c r="T170" i="3"/>
  <c r="T171" i="3"/>
  <c r="T172" i="3"/>
  <c r="T173" i="3"/>
  <c r="T174" i="3"/>
  <c r="T175" i="3"/>
  <c r="T176" i="3"/>
  <c r="T33" i="3"/>
  <c r="T177" i="3"/>
  <c r="T178" i="3"/>
  <c r="T179" i="3"/>
  <c r="T180" i="3"/>
  <c r="T181" i="3"/>
  <c r="T34" i="3"/>
  <c r="T182" i="3"/>
  <c r="T183" i="3"/>
  <c r="T184" i="3"/>
  <c r="T185" i="3"/>
  <c r="T186" i="3"/>
  <c r="T187" i="3"/>
  <c r="T6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35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36" i="3"/>
  <c r="T221" i="3"/>
  <c r="T222" i="3"/>
  <c r="T223" i="3"/>
  <c r="T224" i="3"/>
  <c r="T225" i="3"/>
  <c r="T37" i="3"/>
  <c r="T226" i="3"/>
  <c r="T227" i="3"/>
  <c r="T228" i="3"/>
  <c r="T229" i="3"/>
  <c r="T230" i="3"/>
  <c r="T231" i="3"/>
  <c r="T232" i="3"/>
  <c r="T7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38" i="3"/>
  <c r="T8" i="3"/>
  <c r="T245" i="3"/>
  <c r="T246" i="3"/>
  <c r="T247" i="3"/>
  <c r="T248" i="3"/>
  <c r="T249" i="3"/>
  <c r="T39" i="3"/>
  <c r="T250" i="3"/>
  <c r="T251" i="3"/>
  <c r="T252" i="3"/>
  <c r="T253" i="3"/>
  <c r="T40" i="3"/>
  <c r="T254" i="3"/>
  <c r="T255" i="3"/>
  <c r="T256" i="3"/>
  <c r="T41" i="3"/>
  <c r="T257" i="3"/>
  <c r="T258" i="3"/>
  <c r="T259" i="3"/>
  <c r="T9" i="3"/>
  <c r="T42" i="3"/>
  <c r="T260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345" i="3"/>
  <c r="T434" i="3"/>
  <c r="T435" i="3"/>
  <c r="T436" i="3"/>
  <c r="T437" i="3"/>
  <c r="T438" i="3"/>
  <c r="T439" i="3"/>
  <c r="T328" i="3"/>
  <c r="T440" i="3"/>
  <c r="T441" i="3"/>
  <c r="T346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347" i="3"/>
  <c r="T348" i="3"/>
  <c r="T349" i="3"/>
  <c r="T459" i="3"/>
  <c r="T460" i="3"/>
  <c r="T461" i="3"/>
  <c r="T462" i="3"/>
  <c r="T463" i="3"/>
  <c r="T350" i="3"/>
  <c r="T464" i="3"/>
  <c r="T465" i="3"/>
  <c r="T466" i="3"/>
  <c r="T467" i="3"/>
  <c r="T468" i="3"/>
  <c r="T351" i="3"/>
  <c r="T469" i="3"/>
  <c r="T470" i="3"/>
  <c r="T471" i="3"/>
  <c r="T352" i="3"/>
  <c r="T472" i="3"/>
  <c r="T353" i="3"/>
  <c r="T473" i="3"/>
  <c r="T474" i="3"/>
  <c r="T354" i="3"/>
  <c r="T355" i="3"/>
  <c r="T475" i="3"/>
  <c r="T476" i="3"/>
  <c r="T356" i="3"/>
  <c r="T329" i="3"/>
  <c r="T357" i="3"/>
  <c r="T358" i="3"/>
  <c r="T304" i="3"/>
  <c r="T291" i="3"/>
  <c r="T312" i="3"/>
  <c r="T330" i="3"/>
  <c r="T331" i="3"/>
  <c r="T313" i="3"/>
  <c r="T305" i="3"/>
  <c r="T332" i="3"/>
  <c r="T299" i="3"/>
  <c r="T477" i="3"/>
  <c r="T314" i="3"/>
  <c r="T478" i="3"/>
  <c r="T359" i="3"/>
  <c r="T360" i="3"/>
  <c r="T315" i="3"/>
  <c r="T316" i="3"/>
  <c r="T306" i="3"/>
  <c r="T333" i="3"/>
  <c r="T361" i="3"/>
  <c r="T479" i="3"/>
  <c r="T334" i="3"/>
  <c r="T480" i="3"/>
  <c r="T481" i="3"/>
  <c r="T482" i="3"/>
  <c r="T483" i="3"/>
  <c r="T287" i="3"/>
  <c r="T317" i="3"/>
  <c r="T335" i="3"/>
  <c r="T484" i="3"/>
  <c r="T318" i="3"/>
  <c r="T485" i="3"/>
  <c r="T336" i="3"/>
  <c r="T362" i="3"/>
  <c r="T363" i="3"/>
  <c r="T337" i="3"/>
  <c r="T486" i="3"/>
  <c r="T338" i="3"/>
  <c r="T487" i="3"/>
  <c r="T488" i="3"/>
  <c r="T489" i="3"/>
  <c r="T490" i="3"/>
  <c r="T491" i="3"/>
  <c r="T492" i="3"/>
  <c r="T281" i="3"/>
  <c r="T364" i="3"/>
  <c r="T300" i="3"/>
  <c r="T307" i="3"/>
  <c r="T319" i="3"/>
  <c r="T339" i="3"/>
  <c r="T308" i="3"/>
  <c r="T320" i="3"/>
  <c r="T309" i="3"/>
  <c r="T321" i="3"/>
  <c r="T282" i="3"/>
  <c r="T365" i="3"/>
  <c r="T301" i="3"/>
  <c r="T322" i="3"/>
  <c r="T302" i="3"/>
  <c r="T310" i="3"/>
  <c r="T493" i="3"/>
  <c r="T366" i="3"/>
  <c r="T494" i="3"/>
  <c r="T495" i="3"/>
  <c r="T496" i="3"/>
  <c r="T497" i="3"/>
  <c r="T266" i="3"/>
  <c r="T498" i="3"/>
  <c r="T499" i="3"/>
  <c r="T311" i="3"/>
  <c r="T500" i="3"/>
  <c r="T501" i="3"/>
  <c r="T502" i="3"/>
  <c r="T265" i="3"/>
  <c r="T503" i="3"/>
  <c r="T283" i="3"/>
  <c r="T263" i="3"/>
  <c r="T272" i="3"/>
  <c r="T340" i="3"/>
  <c r="T367" i="3"/>
  <c r="T504" i="3"/>
  <c r="T323" i="3"/>
  <c r="T284" i="3"/>
  <c r="T505" i="3"/>
  <c r="T303" i="3"/>
  <c r="T368" i="3"/>
  <c r="T276" i="3"/>
  <c r="T506" i="3"/>
  <c r="T507" i="3"/>
  <c r="T261" i="3"/>
  <c r="T508" i="3"/>
  <c r="T509" i="3"/>
  <c r="T510" i="3"/>
  <c r="T511" i="3"/>
  <c r="T288" i="3"/>
  <c r="T324" i="3"/>
  <c r="T269" i="3"/>
  <c r="T512" i="3"/>
  <c r="T513" i="3"/>
  <c r="T514" i="3"/>
  <c r="T292" i="3"/>
  <c r="T515" i="3"/>
  <c r="T516" i="3"/>
  <c r="T273" i="3"/>
  <c r="T270" i="3"/>
  <c r="T285" i="3"/>
  <c r="T517" i="3"/>
  <c r="T518" i="3"/>
  <c r="T369" i="3"/>
  <c r="T293" i="3"/>
  <c r="T286" i="3"/>
  <c r="T370" i="3"/>
  <c r="T294" i="3"/>
  <c r="T262" i="3"/>
  <c r="T519" i="3"/>
  <c r="T520" i="3"/>
  <c r="T295" i="3"/>
  <c r="T521" i="3"/>
  <c r="T289" i="3"/>
  <c r="T296" i="3"/>
  <c r="T522" i="3"/>
  <c r="T523" i="3"/>
  <c r="T524" i="3"/>
  <c r="T371" i="3"/>
  <c r="T525" i="3"/>
  <c r="T526" i="3"/>
  <c r="T527" i="3"/>
  <c r="T528" i="3"/>
  <c r="T529" i="3"/>
  <c r="T530" i="3"/>
  <c r="T531" i="3"/>
  <c r="T532" i="3"/>
  <c r="T533" i="3"/>
  <c r="T297" i="3"/>
  <c r="T325" i="3"/>
  <c r="T326" i="3"/>
  <c r="T341" i="3"/>
  <c r="T342" i="3"/>
  <c r="T327" i="3"/>
  <c r="T267" i="3"/>
  <c r="T343" i="3"/>
  <c r="T298" i="3"/>
  <c r="T534" i="3"/>
  <c r="T344" i="3"/>
  <c r="T264" i="3"/>
  <c r="T274" i="3"/>
  <c r="T277" i="3"/>
  <c r="T271" i="3"/>
  <c r="T278" i="3"/>
  <c r="T275" i="3"/>
  <c r="T279" i="3"/>
  <c r="T290" i="3"/>
  <c r="T280" i="3"/>
  <c r="T268" i="3"/>
  <c r="T547" i="3"/>
  <c r="T585" i="3"/>
  <c r="T553" i="3"/>
  <c r="T554" i="3"/>
  <c r="T537" i="3"/>
  <c r="T620" i="3"/>
  <c r="T661" i="3"/>
  <c r="T662" i="3"/>
  <c r="T663" i="3"/>
  <c r="T645" i="3"/>
  <c r="T664" i="3"/>
  <c r="T591" i="3"/>
  <c r="T646" i="3"/>
  <c r="T586" i="3"/>
  <c r="T538" i="3"/>
  <c r="T560" i="3"/>
  <c r="T604" i="3"/>
  <c r="T541" i="3"/>
  <c r="T605" i="3"/>
  <c r="T665" i="3"/>
  <c r="T666" i="3"/>
  <c r="T548" i="3"/>
  <c r="T577" i="3"/>
  <c r="T606" i="3"/>
  <c r="T667" i="3"/>
  <c r="T578" i="3"/>
  <c r="T545" i="3"/>
  <c r="T592" i="3"/>
  <c r="T621" i="3"/>
  <c r="T622" i="3"/>
  <c r="T668" i="3"/>
  <c r="T647" i="3"/>
  <c r="T669" i="3"/>
  <c r="T670" i="3"/>
  <c r="T593" i="3"/>
  <c r="T671" i="3"/>
  <c r="T555" i="3"/>
  <c r="T607" i="3"/>
  <c r="T567" i="3"/>
  <c r="T568" i="3"/>
  <c r="T672" i="3"/>
  <c r="T587" i="3"/>
  <c r="T673" i="3"/>
  <c r="T674" i="3"/>
  <c r="T648" i="3"/>
  <c r="T675" i="3"/>
  <c r="T649" i="3"/>
  <c r="T676" i="3"/>
  <c r="T677" i="3"/>
  <c r="T678" i="3"/>
  <c r="T679" i="3"/>
  <c r="T680" i="3"/>
  <c r="T681" i="3"/>
  <c r="T682" i="3"/>
  <c r="T683" i="3"/>
  <c r="T650" i="3"/>
  <c r="T684" i="3"/>
  <c r="T685" i="3"/>
  <c r="T623" i="3"/>
  <c r="T542" i="3"/>
  <c r="T624" i="3"/>
  <c r="T625" i="3"/>
  <c r="T651" i="3"/>
  <c r="T569" i="3"/>
  <c r="T594" i="3"/>
  <c r="T595" i="3"/>
  <c r="T626" i="3"/>
  <c r="T686" i="3"/>
  <c r="T561" i="3"/>
  <c r="T687" i="3"/>
  <c r="T579" i="3"/>
  <c r="T627" i="3"/>
  <c r="T556" i="3"/>
  <c r="T580" i="3"/>
  <c r="T581" i="3"/>
  <c r="T549" i="3"/>
  <c r="T628" i="3"/>
  <c r="T652" i="3"/>
  <c r="T653" i="3"/>
  <c r="T596" i="3"/>
  <c r="T608" i="3"/>
  <c r="T609" i="3"/>
  <c r="T557" i="3"/>
  <c r="T688" i="3"/>
  <c r="T689" i="3"/>
  <c r="T690" i="3"/>
  <c r="T582" i="3"/>
  <c r="T691" i="3"/>
  <c r="T692" i="3"/>
  <c r="T693" i="3"/>
  <c r="T694" i="3"/>
  <c r="T695" i="3"/>
  <c r="T696" i="3"/>
  <c r="T570" i="3"/>
  <c r="T697" i="3"/>
  <c r="T698" i="3"/>
  <c r="T654" i="3"/>
  <c r="T550" i="3"/>
  <c r="T597" i="3"/>
  <c r="T629" i="3"/>
  <c r="T699" i="3"/>
  <c r="T558" i="3"/>
  <c r="T562" i="3"/>
  <c r="T700" i="3"/>
  <c r="T539" i="3"/>
  <c r="T701" i="3"/>
  <c r="T702" i="3"/>
  <c r="T598" i="3"/>
  <c r="T599" i="3"/>
  <c r="T703" i="3"/>
  <c r="T630" i="3"/>
  <c r="T535" i="3"/>
  <c r="T704" i="3"/>
  <c r="T705" i="3"/>
  <c r="T706" i="3"/>
  <c r="T707" i="3"/>
  <c r="T708" i="3"/>
  <c r="T655" i="3"/>
  <c r="T571" i="3"/>
  <c r="T656" i="3"/>
  <c r="T546" i="3"/>
  <c r="T551" i="3"/>
  <c r="T709" i="3"/>
  <c r="T572" i="3"/>
  <c r="T536" i="3"/>
  <c r="T710" i="3"/>
  <c r="T563" i="3"/>
  <c r="T631" i="3"/>
  <c r="T573" i="3"/>
  <c r="T564" i="3"/>
  <c r="T657" i="3"/>
  <c r="T610" i="3"/>
  <c r="T711" i="3"/>
  <c r="T600" i="3"/>
  <c r="T574" i="3"/>
  <c r="T712" i="3"/>
  <c r="T632" i="3"/>
  <c r="T713" i="3"/>
  <c r="T714" i="3"/>
  <c r="T611" i="3"/>
  <c r="T715" i="3"/>
  <c r="T658" i="3"/>
  <c r="T565" i="3"/>
  <c r="T716" i="3"/>
  <c r="T717" i="3"/>
  <c r="T718" i="3"/>
  <c r="T719" i="3"/>
  <c r="T612" i="3"/>
  <c r="T720" i="3"/>
  <c r="T721" i="3"/>
  <c r="T722" i="3"/>
  <c r="T633" i="3"/>
  <c r="T659" i="3"/>
  <c r="T575" i="3"/>
  <c r="T723" i="3"/>
  <c r="T583" i="3"/>
  <c r="T613" i="3"/>
  <c r="T576" i="3"/>
  <c r="T614" i="3"/>
  <c r="T634" i="3"/>
  <c r="T635" i="3"/>
  <c r="T588" i="3"/>
  <c r="T615" i="3"/>
  <c r="T616" i="3"/>
  <c r="T636" i="3"/>
  <c r="T589" i="3"/>
  <c r="T637" i="3"/>
  <c r="T617" i="3"/>
  <c r="T638" i="3"/>
  <c r="T639" i="3"/>
  <c r="T640" i="3"/>
  <c r="T601" i="3"/>
  <c r="T602" i="3"/>
  <c r="T618" i="3"/>
  <c r="T540" i="3"/>
  <c r="T641" i="3"/>
  <c r="T724" i="3"/>
  <c r="T725" i="3"/>
  <c r="T660" i="3"/>
  <c r="T559" i="3"/>
  <c r="T642" i="3"/>
  <c r="T726" i="3"/>
  <c r="T643" i="3"/>
  <c r="T727" i="3"/>
  <c r="T728" i="3"/>
  <c r="T603" i="3"/>
  <c r="T566" i="3"/>
  <c r="T543" i="3"/>
  <c r="T544" i="3"/>
  <c r="T729" i="3"/>
  <c r="T644" i="3"/>
  <c r="T552" i="3"/>
  <c r="T619" i="3"/>
  <c r="T730" i="3"/>
  <c r="T731" i="3"/>
  <c r="T732" i="3"/>
  <c r="T733" i="3"/>
  <c r="T734" i="3"/>
  <c r="T584" i="3"/>
  <c r="T590" i="3"/>
  <c r="T43" i="3"/>
  <c r="T1522" i="4"/>
  <c r="T974" i="4"/>
  <c r="T973" i="4"/>
  <c r="T1521" i="4"/>
  <c r="T972" i="4"/>
  <c r="T971" i="4"/>
  <c r="T1520" i="4"/>
  <c r="T970" i="4"/>
  <c r="T1519" i="4"/>
  <c r="T1518" i="4"/>
  <c r="T1517" i="4"/>
  <c r="T1515" i="4"/>
  <c r="T1516" i="4"/>
  <c r="T1514" i="4"/>
  <c r="T1513" i="4"/>
  <c r="T969" i="4"/>
  <c r="T967" i="4"/>
  <c r="T968" i="4"/>
  <c r="T966" i="4"/>
  <c r="T1512" i="4"/>
  <c r="T1511" i="4"/>
  <c r="T1510" i="4"/>
  <c r="T1509" i="4"/>
  <c r="T965" i="4"/>
  <c r="T1507" i="4"/>
  <c r="T1508" i="4"/>
  <c r="T1504" i="4"/>
  <c r="T1505" i="4"/>
  <c r="T1506" i="4"/>
  <c r="T1503" i="4"/>
  <c r="T1502" i="4"/>
  <c r="T964" i="4"/>
  <c r="T1501" i="4"/>
  <c r="T1499" i="4"/>
  <c r="T1500" i="4"/>
  <c r="T963" i="4"/>
  <c r="T312" i="4"/>
  <c r="T962" i="4"/>
  <c r="T961" i="4"/>
  <c r="T1498" i="4"/>
  <c r="T1497" i="4"/>
  <c r="T1496" i="4"/>
  <c r="T1494" i="4"/>
  <c r="T1495" i="4"/>
  <c r="T1493" i="4"/>
  <c r="T1490" i="4"/>
  <c r="T1491" i="4"/>
  <c r="T1492" i="4"/>
  <c r="T1489" i="4"/>
  <c r="T1487" i="4"/>
  <c r="T1488" i="4"/>
  <c r="T311" i="4"/>
  <c r="T195" i="4"/>
  <c r="T310" i="4"/>
  <c r="T309" i="4"/>
  <c r="T308" i="4"/>
  <c r="T307" i="4"/>
  <c r="T306" i="4"/>
  <c r="T186" i="4"/>
  <c r="T960" i="4"/>
  <c r="T305" i="4"/>
  <c r="T304" i="4"/>
  <c r="T301" i="4"/>
  <c r="T302" i="4"/>
  <c r="T303" i="4"/>
  <c r="T300" i="4"/>
  <c r="T299" i="4"/>
  <c r="T297" i="4"/>
  <c r="T298" i="4"/>
  <c r="T296" i="4"/>
  <c r="T295" i="4"/>
  <c r="T294" i="4"/>
  <c r="T293" i="4"/>
  <c r="T194" i="4"/>
  <c r="T291" i="4"/>
  <c r="T292" i="4"/>
  <c r="T959" i="4"/>
  <c r="T290" i="4"/>
  <c r="T289" i="4"/>
  <c r="T288" i="4"/>
  <c r="T287" i="4"/>
  <c r="T958" i="4"/>
  <c r="T957" i="4"/>
  <c r="T286" i="4"/>
  <c r="T285" i="4"/>
  <c r="T955" i="4"/>
  <c r="T956" i="4"/>
  <c r="T953" i="4"/>
  <c r="T954" i="4"/>
  <c r="T284" i="4"/>
  <c r="T193" i="4"/>
  <c r="T283" i="4"/>
  <c r="T282" i="4"/>
  <c r="T952" i="4"/>
  <c r="T951" i="4"/>
  <c r="T950" i="4"/>
  <c r="T949" i="4"/>
  <c r="T948" i="4"/>
  <c r="T947" i="4"/>
  <c r="T946" i="4"/>
  <c r="T281" i="4"/>
  <c r="T945" i="4"/>
  <c r="T943" i="4"/>
  <c r="T944" i="4"/>
  <c r="T192" i="4"/>
  <c r="T279" i="4"/>
  <c r="T280" i="4"/>
  <c r="T277" i="4"/>
  <c r="T278" i="4"/>
  <c r="T276" i="4"/>
  <c r="T275" i="4"/>
  <c r="T274" i="4"/>
  <c r="T273" i="4"/>
  <c r="T271" i="4"/>
  <c r="T272" i="4"/>
  <c r="T270" i="4"/>
  <c r="T269" i="4"/>
  <c r="T942" i="4"/>
  <c r="T268" i="4"/>
  <c r="T266" i="4"/>
  <c r="T267" i="4"/>
  <c r="T265" i="4"/>
  <c r="T263" i="4"/>
  <c r="T264" i="4"/>
  <c r="T941" i="4"/>
  <c r="T940" i="4"/>
  <c r="T939" i="4"/>
  <c r="T938" i="4"/>
  <c r="T262" i="4"/>
  <c r="T261" i="4"/>
  <c r="T260" i="4"/>
  <c r="T259" i="4"/>
  <c r="T258" i="4"/>
  <c r="T257" i="4"/>
  <c r="T256" i="4"/>
  <c r="T255" i="4"/>
  <c r="T254" i="4"/>
  <c r="T253" i="4"/>
  <c r="T936" i="4"/>
  <c r="T937" i="4"/>
  <c r="T935" i="4"/>
  <c r="T1486" i="4"/>
  <c r="T934" i="4"/>
  <c r="T933" i="4"/>
  <c r="T932" i="4"/>
  <c r="T252" i="4"/>
  <c r="T251" i="4"/>
  <c r="T931" i="4"/>
  <c r="T1485" i="4"/>
  <c r="T1484" i="4"/>
  <c r="T930" i="4"/>
  <c r="T929" i="4"/>
  <c r="T1483" i="4"/>
  <c r="T1482" i="4"/>
  <c r="T1480" i="4"/>
  <c r="T1481" i="4"/>
  <c r="T928" i="4"/>
  <c r="T250" i="4"/>
  <c r="T249" i="4"/>
  <c r="T927" i="4"/>
  <c r="T926" i="4"/>
  <c r="T925" i="4"/>
  <c r="T924" i="4"/>
  <c r="T248" i="4"/>
  <c r="T923" i="4"/>
  <c r="T922" i="4"/>
  <c r="T921" i="4"/>
  <c r="T1479" i="4"/>
  <c r="T247" i="4"/>
  <c r="T246" i="4"/>
  <c r="T1478" i="4"/>
  <c r="T245" i="4"/>
  <c r="T244" i="4"/>
  <c r="T243" i="4"/>
  <c r="T920" i="4"/>
  <c r="T919" i="4"/>
  <c r="T1477" i="4"/>
  <c r="T918" i="4"/>
  <c r="T915" i="4"/>
  <c r="T916" i="4"/>
  <c r="T917" i="4"/>
  <c r="T914" i="4"/>
  <c r="T1476" i="4"/>
  <c r="T1475" i="4"/>
  <c r="T913" i="4"/>
  <c r="T912" i="4"/>
  <c r="T911" i="4"/>
  <c r="T910" i="4"/>
  <c r="T909" i="4"/>
  <c r="T907" i="4"/>
  <c r="T908" i="4"/>
  <c r="T905" i="4"/>
  <c r="T906" i="4"/>
  <c r="T904" i="4"/>
  <c r="T903" i="4"/>
  <c r="T902" i="4"/>
  <c r="T901" i="4"/>
  <c r="T900" i="4"/>
  <c r="T1474" i="4"/>
  <c r="T1473" i="4"/>
  <c r="T898" i="4"/>
  <c r="T899" i="4"/>
  <c r="T1472" i="4"/>
  <c r="T1471" i="4"/>
  <c r="T897" i="4"/>
  <c r="T1470" i="4"/>
  <c r="T895" i="4"/>
  <c r="T896" i="4"/>
  <c r="T1469" i="4"/>
  <c r="T1468" i="4"/>
  <c r="T894" i="4"/>
  <c r="T893" i="4"/>
  <c r="T242" i="4"/>
  <c r="T1467" i="4"/>
  <c r="T892" i="4"/>
  <c r="T891" i="4"/>
  <c r="T890" i="4"/>
  <c r="T888" i="4"/>
  <c r="T889" i="4"/>
  <c r="T887" i="4"/>
  <c r="T886" i="4"/>
  <c r="T885" i="4"/>
  <c r="T1466" i="4"/>
  <c r="T1465" i="4"/>
  <c r="T884" i="4"/>
  <c r="T883" i="4"/>
  <c r="T191" i="4"/>
  <c r="T882" i="4"/>
  <c r="T881" i="4"/>
  <c r="T880" i="4"/>
  <c r="T1464" i="4"/>
  <c r="T1463" i="4"/>
  <c r="T1462" i="4"/>
  <c r="T1461" i="4"/>
  <c r="T1460" i="4"/>
  <c r="T1459" i="4"/>
  <c r="T879" i="4"/>
  <c r="T1458" i="4"/>
  <c r="T878" i="4"/>
  <c r="T1456" i="4"/>
  <c r="T1457" i="4"/>
  <c r="T1455" i="4"/>
  <c r="T241" i="4"/>
  <c r="T877" i="4"/>
  <c r="T1454" i="4"/>
  <c r="T16" i="4"/>
  <c r="T1453" i="4"/>
  <c r="T876" i="4"/>
  <c r="T875" i="4"/>
  <c r="T874" i="4"/>
  <c r="T1452" i="4"/>
  <c r="T873" i="4"/>
  <c r="T872" i="4"/>
  <c r="T1451" i="4"/>
  <c r="T1449" i="4"/>
  <c r="T1450" i="4"/>
  <c r="T1448" i="4"/>
  <c r="T1447" i="4"/>
  <c r="T240" i="4"/>
  <c r="T871" i="4"/>
  <c r="T870" i="4"/>
  <c r="T869" i="4"/>
  <c r="T868" i="4"/>
  <c r="T1446" i="4"/>
  <c r="T1445" i="4"/>
  <c r="T866" i="4"/>
  <c r="T867" i="4"/>
  <c r="T864" i="4"/>
  <c r="T865" i="4"/>
  <c r="T239" i="4"/>
  <c r="T863" i="4"/>
  <c r="T861" i="4"/>
  <c r="T862" i="4"/>
  <c r="T859" i="4"/>
  <c r="T1444" i="4"/>
  <c r="T860" i="4"/>
  <c r="T858" i="4"/>
  <c r="T856" i="4"/>
  <c r="T857" i="4"/>
  <c r="T1443" i="4"/>
  <c r="T1442" i="4"/>
  <c r="T855" i="4"/>
  <c r="T1441" i="4"/>
  <c r="T854" i="4"/>
  <c r="T853" i="4"/>
  <c r="T238" i="4"/>
  <c r="T852" i="4"/>
  <c r="T851" i="4"/>
  <c r="T850" i="4"/>
  <c r="T237" i="4"/>
  <c r="T849" i="4"/>
  <c r="T848" i="4"/>
  <c r="T846" i="4"/>
  <c r="T847" i="4"/>
  <c r="T845" i="4"/>
  <c r="T844" i="4"/>
  <c r="T843" i="4"/>
  <c r="T842" i="4"/>
  <c r="T841" i="4"/>
  <c r="T840" i="4"/>
  <c r="T839" i="4"/>
  <c r="T1440" i="4"/>
  <c r="T838" i="4"/>
  <c r="T1439" i="4"/>
  <c r="T837" i="4"/>
  <c r="T836" i="4"/>
  <c r="T835" i="4"/>
  <c r="T834" i="4"/>
  <c r="T833" i="4"/>
  <c r="T832" i="4"/>
  <c r="T830" i="4"/>
  <c r="T831" i="4"/>
  <c r="T829" i="4"/>
  <c r="T828" i="4"/>
  <c r="T827" i="4"/>
  <c r="T826" i="4"/>
  <c r="T1438" i="4"/>
  <c r="T236" i="4"/>
  <c r="T1436" i="4"/>
  <c r="T825" i="4"/>
  <c r="T1437" i="4"/>
  <c r="T824" i="4"/>
  <c r="T823" i="4"/>
  <c r="T822" i="4"/>
  <c r="T1434" i="4"/>
  <c r="T1435" i="4"/>
  <c r="T821" i="4"/>
  <c r="T819" i="4"/>
  <c r="T820" i="4"/>
  <c r="T817" i="4"/>
  <c r="T818" i="4"/>
  <c r="T1433" i="4"/>
  <c r="T816" i="4"/>
  <c r="T1432" i="4"/>
  <c r="T815" i="4"/>
  <c r="T813" i="4"/>
  <c r="T814" i="4"/>
  <c r="T1430" i="4"/>
  <c r="T1431" i="4"/>
  <c r="T812" i="4"/>
  <c r="T1429" i="4"/>
  <c r="T1428" i="4"/>
  <c r="T811" i="4"/>
  <c r="T1427" i="4"/>
  <c r="T809" i="4"/>
  <c r="T810" i="4"/>
  <c r="T808" i="4"/>
  <c r="T806" i="4"/>
  <c r="T807" i="4"/>
  <c r="T1426" i="4"/>
  <c r="T805" i="4"/>
  <c r="T804" i="4"/>
  <c r="T803" i="4"/>
  <c r="T802" i="4"/>
  <c r="T801" i="4"/>
  <c r="T800" i="4"/>
  <c r="T799" i="4"/>
  <c r="T798" i="4"/>
  <c r="T797" i="4"/>
  <c r="T796" i="4"/>
  <c r="T795" i="4"/>
  <c r="T1425" i="4"/>
  <c r="T794" i="4"/>
  <c r="T5" i="4"/>
  <c r="T235" i="4"/>
  <c r="T793" i="4"/>
  <c r="T1424" i="4"/>
  <c r="T792" i="4"/>
  <c r="T791" i="4"/>
  <c r="T1423" i="4"/>
  <c r="T790" i="4"/>
  <c r="T789" i="4"/>
  <c r="T1422" i="4"/>
  <c r="T1420" i="4"/>
  <c r="T1421" i="4"/>
  <c r="T1419" i="4"/>
  <c r="T1418" i="4"/>
  <c r="T1417" i="4"/>
  <c r="T1416" i="4"/>
  <c r="T1415" i="4"/>
  <c r="T1414" i="4"/>
  <c r="T788" i="4"/>
  <c r="T787" i="4"/>
  <c r="T1413" i="4"/>
  <c r="T786" i="4"/>
  <c r="T785" i="4"/>
  <c r="T784" i="4"/>
  <c r="T783" i="4"/>
  <c r="T781" i="4"/>
  <c r="T782" i="4"/>
  <c r="T1411" i="4"/>
  <c r="T1412" i="4"/>
  <c r="T780" i="4"/>
  <c r="T779" i="4"/>
  <c r="T1410" i="4"/>
  <c r="T778" i="4"/>
  <c r="T777" i="4"/>
  <c r="T776" i="4"/>
  <c r="T774" i="4"/>
  <c r="T775" i="4"/>
  <c r="T234" i="4"/>
  <c r="T773" i="4"/>
  <c r="T772" i="4"/>
  <c r="T771" i="4"/>
  <c r="T770" i="4"/>
  <c r="T769" i="4"/>
  <c r="T768" i="4"/>
  <c r="T767" i="4"/>
  <c r="T766" i="4"/>
  <c r="T1409" i="4"/>
  <c r="T233" i="4"/>
  <c r="T765" i="4"/>
  <c r="T764" i="4"/>
  <c r="T1408" i="4"/>
  <c r="T763" i="4"/>
  <c r="T762" i="4"/>
  <c r="T761" i="4"/>
  <c r="T760" i="4"/>
  <c r="T759" i="4"/>
  <c r="T758" i="4"/>
  <c r="T757" i="4"/>
  <c r="T1407" i="4"/>
  <c r="T1406" i="4"/>
  <c r="T1405" i="4"/>
  <c r="T1404" i="4"/>
  <c r="T1403" i="4"/>
  <c r="T1401" i="4"/>
  <c r="T1402" i="4"/>
  <c r="T1399" i="4"/>
  <c r="T1400" i="4"/>
  <c r="T1398" i="4"/>
  <c r="T755" i="4"/>
  <c r="T756" i="4"/>
  <c r="T1397" i="4"/>
  <c r="T754" i="4"/>
  <c r="T753" i="4"/>
  <c r="T752" i="4"/>
  <c r="T751" i="4"/>
  <c r="T1396" i="4"/>
  <c r="T1395" i="4"/>
  <c r="T1394" i="4"/>
  <c r="T1392" i="4"/>
  <c r="T1393" i="4"/>
  <c r="T1391" i="4"/>
  <c r="T1390" i="4"/>
  <c r="T1389" i="4"/>
  <c r="T749" i="4"/>
  <c r="T750" i="4"/>
  <c r="T232" i="4"/>
  <c r="T1388" i="4"/>
  <c r="T1386" i="4"/>
  <c r="T1387" i="4"/>
  <c r="T1385" i="4"/>
  <c r="T1384" i="4"/>
  <c r="T1383" i="4"/>
  <c r="T1382" i="4"/>
  <c r="T1381" i="4"/>
  <c r="T1380" i="4"/>
  <c r="T1378" i="4"/>
  <c r="T1379" i="4"/>
  <c r="T748" i="4"/>
  <c r="T747" i="4"/>
  <c r="T231" i="4"/>
  <c r="T746" i="4"/>
  <c r="T745" i="4"/>
  <c r="T743" i="4"/>
  <c r="T744" i="4"/>
  <c r="T742" i="4"/>
  <c r="T6" i="4"/>
  <c r="T741" i="4"/>
  <c r="T1377" i="4"/>
  <c r="T740" i="4"/>
  <c r="T1376" i="4"/>
  <c r="T738" i="4"/>
  <c r="T739" i="4"/>
  <c r="T737" i="4"/>
  <c r="T736" i="4"/>
  <c r="T1375" i="4"/>
  <c r="T734" i="4"/>
  <c r="T735" i="4"/>
  <c r="T1374" i="4"/>
  <c r="T732" i="4"/>
  <c r="T733" i="4"/>
  <c r="T730" i="4"/>
  <c r="T731" i="4"/>
  <c r="T1373" i="4"/>
  <c r="T1371" i="4"/>
  <c r="T1372" i="4"/>
  <c r="T1370" i="4"/>
  <c r="T1369" i="4"/>
  <c r="T1368" i="4"/>
  <c r="T1367" i="4"/>
  <c r="T1366" i="4"/>
  <c r="T729" i="4"/>
  <c r="T728" i="4"/>
  <c r="T727" i="4"/>
  <c r="T726" i="4"/>
  <c r="T725" i="4"/>
  <c r="T724" i="4"/>
  <c r="T723" i="4"/>
  <c r="T722" i="4"/>
  <c r="T1365" i="4"/>
  <c r="T1364" i="4"/>
  <c r="T1363" i="4"/>
  <c r="T1362" i="4"/>
  <c r="T1361" i="4"/>
  <c r="T721" i="4"/>
  <c r="T1359" i="4"/>
  <c r="T1360" i="4"/>
  <c r="T1358" i="4"/>
  <c r="T720" i="4"/>
  <c r="T230" i="4"/>
  <c r="T718" i="4"/>
  <c r="T719" i="4"/>
  <c r="T1357" i="4"/>
  <c r="T1356" i="4"/>
  <c r="T1355" i="4"/>
  <c r="T1354" i="4"/>
  <c r="T1353" i="4"/>
  <c r="T1352" i="4"/>
  <c r="T1351" i="4"/>
  <c r="T1349" i="4"/>
  <c r="T1350" i="4"/>
  <c r="T1347" i="4"/>
  <c r="T1348" i="4"/>
  <c r="T229" i="4"/>
  <c r="T717" i="4"/>
  <c r="T1346" i="4"/>
  <c r="T716" i="4"/>
  <c r="T715" i="4"/>
  <c r="T714" i="4"/>
  <c r="T713" i="4"/>
  <c r="T712" i="4"/>
  <c r="T711" i="4"/>
  <c r="T1345" i="4"/>
  <c r="T710" i="4"/>
  <c r="T709" i="4"/>
  <c r="T708" i="4"/>
  <c r="T707" i="4"/>
  <c r="T706" i="4"/>
  <c r="T228" i="4"/>
  <c r="T227" i="4"/>
  <c r="T226" i="4"/>
  <c r="T224" i="4"/>
  <c r="T225" i="4"/>
  <c r="T705" i="4"/>
  <c r="T1344" i="4"/>
  <c r="T704" i="4"/>
  <c r="T223" i="4"/>
  <c r="T703" i="4"/>
  <c r="T1343" i="4"/>
  <c r="T702" i="4"/>
  <c r="T701" i="4"/>
  <c r="T700" i="4"/>
  <c r="T1342" i="4"/>
  <c r="T699" i="4"/>
  <c r="T698" i="4"/>
  <c r="T1341" i="4"/>
  <c r="T1340" i="4"/>
  <c r="T697" i="4"/>
  <c r="T1339" i="4"/>
  <c r="T1337" i="4"/>
  <c r="T1338" i="4"/>
  <c r="T1336" i="4"/>
  <c r="T696" i="4"/>
  <c r="T1335" i="4"/>
  <c r="T695" i="4"/>
  <c r="T1334" i="4"/>
  <c r="T694" i="4"/>
  <c r="T1331" i="4"/>
  <c r="T1332" i="4"/>
  <c r="T1333" i="4"/>
  <c r="T1329" i="4"/>
  <c r="T1330" i="4"/>
  <c r="T1328" i="4"/>
  <c r="T1327" i="4"/>
  <c r="T1326" i="4"/>
  <c r="T1325" i="4"/>
  <c r="T1324" i="4"/>
  <c r="T1323" i="4"/>
  <c r="T693" i="4"/>
  <c r="T692" i="4"/>
  <c r="T691" i="4"/>
  <c r="T1322" i="4"/>
  <c r="T690" i="4"/>
  <c r="T689" i="4"/>
  <c r="T687" i="4"/>
  <c r="T688" i="4"/>
  <c r="T1321" i="4"/>
  <c r="T686" i="4"/>
  <c r="T685" i="4"/>
  <c r="T684" i="4"/>
  <c r="T1320" i="4"/>
  <c r="T682" i="4"/>
  <c r="T683" i="4"/>
  <c r="T681" i="4"/>
  <c r="T680" i="4"/>
  <c r="T679" i="4"/>
  <c r="T677" i="4"/>
  <c r="T678" i="4"/>
  <c r="T674" i="4"/>
  <c r="T675" i="4"/>
  <c r="T676" i="4"/>
  <c r="T673" i="4"/>
  <c r="T672" i="4"/>
  <c r="T670" i="4"/>
  <c r="T671" i="4"/>
  <c r="T669" i="4"/>
  <c r="T1319" i="4"/>
  <c r="T1318" i="4"/>
  <c r="T668" i="4"/>
  <c r="T667" i="4"/>
  <c r="T666" i="4"/>
  <c r="T664" i="4"/>
  <c r="T665" i="4"/>
  <c r="T663" i="4"/>
  <c r="T1317" i="4"/>
  <c r="T1316" i="4"/>
  <c r="T1314" i="4"/>
  <c r="T1315" i="4"/>
  <c r="T662" i="4"/>
  <c r="T1311" i="4"/>
  <c r="T1312" i="4"/>
  <c r="T1313" i="4"/>
  <c r="T1309" i="4"/>
  <c r="T1310" i="4"/>
  <c r="T1308" i="4"/>
  <c r="T1307" i="4"/>
  <c r="T1305" i="4"/>
  <c r="T1306" i="4"/>
  <c r="T1304" i="4"/>
  <c r="T3" i="4"/>
  <c r="T222" i="4"/>
  <c r="T660" i="4"/>
  <c r="T661" i="4"/>
  <c r="T659" i="4"/>
  <c r="T658" i="4"/>
  <c r="T656" i="4"/>
  <c r="T657" i="4"/>
  <c r="T1303" i="4"/>
  <c r="T654" i="4"/>
  <c r="T655" i="4"/>
  <c r="T221" i="4"/>
  <c r="T653" i="4"/>
  <c r="T220" i="4"/>
  <c r="T652" i="4"/>
  <c r="T651" i="4"/>
  <c r="T1302" i="4"/>
  <c r="T650" i="4"/>
  <c r="T2" i="4"/>
  <c r="T649" i="4"/>
  <c r="T1301" i="4"/>
  <c r="T648" i="4"/>
  <c r="T647" i="4"/>
  <c r="T1300" i="4"/>
  <c r="T1298" i="4"/>
  <c r="T1299" i="4"/>
  <c r="T1297" i="4"/>
  <c r="T1296" i="4"/>
  <c r="T646" i="4"/>
  <c r="T644" i="4"/>
  <c r="T645" i="4"/>
  <c r="T643" i="4"/>
  <c r="T641" i="4"/>
  <c r="T642" i="4"/>
  <c r="T640" i="4"/>
  <c r="T1295" i="4"/>
  <c r="T1294" i="4"/>
  <c r="T185" i="4"/>
  <c r="T639" i="4"/>
  <c r="T638" i="4"/>
  <c r="T1293" i="4"/>
  <c r="T1292" i="4"/>
  <c r="T1290" i="4"/>
  <c r="T1291" i="4"/>
  <c r="T1289" i="4"/>
  <c r="T1288" i="4"/>
  <c r="T219" i="4"/>
  <c r="T1287" i="4"/>
  <c r="T1286" i="4"/>
  <c r="T637" i="4"/>
  <c r="T1285" i="4"/>
  <c r="T1284" i="4"/>
  <c r="T1283" i="4"/>
  <c r="T1282" i="4"/>
  <c r="T218" i="4"/>
  <c r="T1281" i="4"/>
  <c r="T217" i="4"/>
  <c r="T636" i="4"/>
  <c r="T635" i="4"/>
  <c r="T634" i="4"/>
  <c r="T633" i="4"/>
  <c r="T1279" i="4"/>
  <c r="T1280" i="4"/>
  <c r="T1278" i="4"/>
  <c r="T1277" i="4"/>
  <c r="T1276" i="4"/>
  <c r="T632" i="4"/>
  <c r="T631" i="4"/>
  <c r="T629" i="4"/>
  <c r="T216" i="4"/>
  <c r="T630" i="4"/>
  <c r="T215" i="4"/>
  <c r="T1275" i="4"/>
  <c r="T214" i="4"/>
  <c r="T628" i="4"/>
  <c r="T627" i="4"/>
  <c r="T1274" i="4"/>
  <c r="T213" i="4"/>
  <c r="T626" i="4"/>
  <c r="T1273" i="4"/>
  <c r="T625" i="4"/>
  <c r="T624" i="4"/>
  <c r="T623" i="4"/>
  <c r="T1272" i="4"/>
  <c r="T1271" i="4"/>
  <c r="T622" i="4"/>
  <c r="T621" i="4"/>
  <c r="T620" i="4"/>
  <c r="T619" i="4"/>
  <c r="T1270" i="4"/>
  <c r="T618" i="4"/>
  <c r="T212" i="4"/>
  <c r="T617" i="4"/>
  <c r="T1269" i="4"/>
  <c r="T616" i="4"/>
  <c r="T1268" i="4"/>
  <c r="T31" i="4"/>
  <c r="T615" i="4"/>
  <c r="T1267" i="4"/>
  <c r="T17" i="4"/>
  <c r="T614" i="4"/>
  <c r="T613" i="4"/>
  <c r="T1266" i="4"/>
  <c r="T610" i="4"/>
  <c r="T611" i="4"/>
  <c r="T612" i="4"/>
  <c r="T1264" i="4"/>
  <c r="T1265" i="4"/>
  <c r="T1263" i="4"/>
  <c r="T1262" i="4"/>
  <c r="T1261" i="4"/>
  <c r="T1259" i="4"/>
  <c r="T1260" i="4"/>
  <c r="T1258" i="4"/>
  <c r="T609" i="4"/>
  <c r="T608" i="4"/>
  <c r="T607" i="4"/>
  <c r="T606" i="4"/>
  <c r="T605" i="4"/>
  <c r="T1257" i="4"/>
  <c r="T1256" i="4"/>
  <c r="T1254" i="4"/>
  <c r="T1255" i="4"/>
  <c r="T211" i="4"/>
  <c r="T604" i="4"/>
  <c r="T1253" i="4"/>
  <c r="T1251" i="4"/>
  <c r="T1252" i="4"/>
  <c r="T1249" i="4"/>
  <c r="T1250" i="4"/>
  <c r="T1248" i="4"/>
  <c r="T1247" i="4"/>
  <c r="T1246" i="4"/>
  <c r="T603" i="4"/>
  <c r="T602" i="4"/>
  <c r="T1244" i="4"/>
  <c r="T1245" i="4"/>
  <c r="T601" i="4"/>
  <c r="T1243" i="4"/>
  <c r="T600" i="4"/>
  <c r="T190" i="4"/>
  <c r="T45" i="4"/>
  <c r="T86" i="4"/>
  <c r="T599" i="4"/>
  <c r="T597" i="4"/>
  <c r="T598" i="4"/>
  <c r="T1241" i="4"/>
  <c r="T1242" i="4"/>
  <c r="T1238" i="4"/>
  <c r="T1239" i="4"/>
  <c r="T1240" i="4"/>
  <c r="T1237" i="4"/>
  <c r="T1236" i="4"/>
  <c r="T1235" i="4"/>
  <c r="T1232" i="4"/>
  <c r="T1233" i="4"/>
  <c r="T1234" i="4"/>
  <c r="T1229" i="4"/>
  <c r="T1230" i="4"/>
  <c r="T1231" i="4"/>
  <c r="T1226" i="4"/>
  <c r="T1227" i="4"/>
  <c r="T1228" i="4"/>
  <c r="T1225" i="4"/>
  <c r="T165" i="4"/>
  <c r="T139" i="4"/>
  <c r="T128" i="4"/>
  <c r="T155" i="4"/>
  <c r="T138" i="4"/>
  <c r="T41" i="4"/>
  <c r="T100" i="4"/>
  <c r="T114" i="4"/>
  <c r="T76" i="4"/>
  <c r="T113" i="4"/>
  <c r="T143" i="4"/>
  <c r="T65" i="4"/>
  <c r="T169" i="4"/>
  <c r="T1224" i="4"/>
  <c r="T595" i="4"/>
  <c r="T596" i="4"/>
  <c r="T593" i="4"/>
  <c r="T594" i="4"/>
  <c r="T592" i="4"/>
  <c r="T590" i="4"/>
  <c r="T591" i="4"/>
  <c r="T589" i="4"/>
  <c r="T587" i="4"/>
  <c r="T588" i="4"/>
  <c r="T586" i="4"/>
  <c r="T585" i="4"/>
  <c r="T1223" i="4"/>
  <c r="T1222" i="4"/>
  <c r="T1221" i="4"/>
  <c r="T1220" i="4"/>
  <c r="T1219" i="4"/>
  <c r="T1218" i="4"/>
  <c r="T584" i="4"/>
  <c r="T210" i="4"/>
  <c r="T189" i="4"/>
  <c r="T1217" i="4"/>
  <c r="T1216" i="4"/>
  <c r="T1215" i="4"/>
  <c r="T583" i="4"/>
  <c r="T1214" i="4"/>
  <c r="T582" i="4"/>
  <c r="T1212" i="4"/>
  <c r="T1213" i="4"/>
  <c r="T1210" i="4"/>
  <c r="T1211" i="4"/>
  <c r="T1207" i="4"/>
  <c r="T1208" i="4"/>
  <c r="T1209" i="4"/>
  <c r="T1206" i="4"/>
  <c r="T1205" i="4"/>
  <c r="T1203" i="4"/>
  <c r="T1204" i="4"/>
  <c r="T581" i="4"/>
  <c r="T580" i="4"/>
  <c r="T579" i="4"/>
  <c r="T578" i="4"/>
  <c r="T576" i="4"/>
  <c r="T577" i="4"/>
  <c r="T575" i="4"/>
  <c r="T574" i="4"/>
  <c r="T572" i="4"/>
  <c r="T573" i="4"/>
  <c r="T571" i="4"/>
  <c r="T570" i="4"/>
  <c r="T569" i="4"/>
  <c r="T568" i="4"/>
  <c r="T567" i="4"/>
  <c r="T566" i="4"/>
  <c r="T565" i="4"/>
  <c r="T564" i="4"/>
  <c r="T563" i="4"/>
  <c r="T562" i="4"/>
  <c r="T561" i="4"/>
  <c r="T1202" i="4"/>
  <c r="T560" i="4"/>
  <c r="T559" i="4"/>
  <c r="T558" i="4"/>
  <c r="T1200" i="4"/>
  <c r="T557" i="4"/>
  <c r="T1201" i="4"/>
  <c r="T556" i="4"/>
  <c r="T554" i="4"/>
  <c r="T555" i="4"/>
  <c r="T553" i="4"/>
  <c r="T552" i="4"/>
  <c r="T551" i="4"/>
  <c r="T1199" i="4"/>
  <c r="T549" i="4"/>
  <c r="T550" i="4"/>
  <c r="T209" i="4"/>
  <c r="T548" i="4"/>
  <c r="T547" i="4"/>
  <c r="T208" i="4"/>
  <c r="T1198" i="4"/>
  <c r="T546" i="4"/>
  <c r="T545" i="4"/>
  <c r="T544" i="4"/>
  <c r="T1197" i="4"/>
  <c r="T543" i="4"/>
  <c r="T542" i="4"/>
  <c r="T1195" i="4"/>
  <c r="T1196" i="4"/>
  <c r="T1194" i="4"/>
  <c r="T1193" i="4"/>
  <c r="T1192" i="4"/>
  <c r="T541" i="4"/>
  <c r="T1191" i="4"/>
  <c r="T540" i="4"/>
  <c r="T539" i="4"/>
  <c r="T1190" i="4"/>
  <c r="T538" i="4"/>
  <c r="T537" i="4"/>
  <c r="T536" i="4"/>
  <c r="T535" i="4"/>
  <c r="T534" i="4"/>
  <c r="T532" i="4"/>
  <c r="T533" i="4"/>
  <c r="T1189" i="4"/>
  <c r="T1187" i="4"/>
  <c r="T1188" i="4"/>
  <c r="T530" i="4"/>
  <c r="T531" i="4"/>
  <c r="T1185" i="4"/>
  <c r="T1186" i="4"/>
  <c r="T528" i="4"/>
  <c r="T1184" i="4"/>
  <c r="T529" i="4"/>
  <c r="T527" i="4"/>
  <c r="T1183" i="4"/>
  <c r="T1182" i="4"/>
  <c r="T93" i="4"/>
  <c r="T526" i="4"/>
  <c r="T1181" i="4"/>
  <c r="T525" i="4"/>
  <c r="T523" i="4"/>
  <c r="T524" i="4"/>
  <c r="T522" i="4"/>
  <c r="T521" i="4"/>
  <c r="T518" i="4"/>
  <c r="T519" i="4"/>
  <c r="T520" i="4"/>
  <c r="T517" i="4"/>
  <c r="T516" i="4"/>
  <c r="T1180" i="4"/>
  <c r="T515" i="4"/>
  <c r="T514" i="4"/>
  <c r="T513" i="4"/>
  <c r="T511" i="4"/>
  <c r="T512" i="4"/>
  <c r="T510" i="4"/>
  <c r="T509" i="4"/>
  <c r="T508" i="4"/>
  <c r="T507" i="4"/>
  <c r="T506" i="4"/>
  <c r="T505" i="4"/>
  <c r="T1179" i="4"/>
  <c r="T503" i="4"/>
  <c r="T504" i="4"/>
  <c r="T500" i="4"/>
  <c r="T501" i="4"/>
  <c r="T502" i="4"/>
  <c r="T499" i="4"/>
  <c r="T498" i="4"/>
  <c r="T496" i="4"/>
  <c r="T497" i="4"/>
  <c r="T1178" i="4"/>
  <c r="T495" i="4"/>
  <c r="T494" i="4"/>
  <c r="T1177" i="4"/>
  <c r="T491" i="4"/>
  <c r="T492" i="4"/>
  <c r="T493" i="4"/>
  <c r="T490" i="4"/>
  <c r="T489" i="4"/>
  <c r="T1176" i="4"/>
  <c r="T1175" i="4"/>
  <c r="T1173" i="4"/>
  <c r="T1174" i="4"/>
  <c r="T75" i="4"/>
  <c r="T74" i="4"/>
  <c r="T99" i="4"/>
  <c r="T112" i="4"/>
  <c r="T84" i="4"/>
  <c r="T488" i="4"/>
  <c r="T1172" i="4"/>
  <c r="T487" i="4"/>
  <c r="T127" i="4"/>
  <c r="T160" i="4"/>
  <c r="T111" i="4"/>
  <c r="T486" i="4"/>
  <c r="T1171" i="4"/>
  <c r="T164" i="4"/>
  <c r="T132" i="4"/>
  <c r="T175" i="4"/>
  <c r="T485" i="4"/>
  <c r="T484" i="4"/>
  <c r="T483" i="4"/>
  <c r="T482" i="4"/>
  <c r="T481" i="4"/>
  <c r="T480" i="4"/>
  <c r="T479" i="4"/>
  <c r="T478" i="4"/>
  <c r="T476" i="4"/>
  <c r="T477" i="4"/>
  <c r="T474" i="4"/>
  <c r="T1170" i="4"/>
  <c r="T475" i="4"/>
  <c r="T473" i="4"/>
  <c r="T472" i="4"/>
  <c r="T471" i="4"/>
  <c r="T1169" i="4"/>
  <c r="T470" i="4"/>
  <c r="T469" i="4"/>
  <c r="T468" i="4"/>
  <c r="T467" i="4"/>
  <c r="T1168" i="4"/>
  <c r="T466" i="4"/>
  <c r="T465" i="4"/>
  <c r="T207" i="4"/>
  <c r="T464" i="4"/>
  <c r="T1167" i="4"/>
  <c r="T463" i="4"/>
  <c r="T462" i="4"/>
  <c r="T460" i="4"/>
  <c r="T461" i="4"/>
  <c r="T26" i="4"/>
  <c r="T40" i="4"/>
  <c r="T85" i="4"/>
  <c r="T70" i="4"/>
  <c r="T30" i="4"/>
  <c r="T459" i="4"/>
  <c r="T44" i="4"/>
  <c r="T1166" i="4"/>
  <c r="T458" i="4"/>
  <c r="T1164" i="4"/>
  <c r="T1165" i="4"/>
  <c r="T457" i="4"/>
  <c r="T455" i="4"/>
  <c r="T456" i="4"/>
  <c r="T454" i="4"/>
  <c r="T453" i="4"/>
  <c r="T98" i="4"/>
  <c r="T154" i="4"/>
  <c r="T1162" i="4"/>
  <c r="T1163" i="4"/>
  <c r="T452" i="4"/>
  <c r="T1161" i="4"/>
  <c r="T451" i="4"/>
  <c r="T450" i="4"/>
  <c r="T449" i="4"/>
  <c r="T1160" i="4"/>
  <c r="T448" i="4"/>
  <c r="T446" i="4"/>
  <c r="T447" i="4"/>
  <c r="T445" i="4"/>
  <c r="T444" i="4"/>
  <c r="T1158" i="4"/>
  <c r="T1159" i="4"/>
  <c r="T443" i="4"/>
  <c r="T442" i="4"/>
  <c r="T441" i="4"/>
  <c r="T440" i="4"/>
  <c r="T1156" i="4"/>
  <c r="T1157" i="4"/>
  <c r="T39" i="4"/>
  <c r="T52" i="4"/>
  <c r="T43" i="4"/>
  <c r="T34" i="4"/>
  <c r="T36" i="4"/>
  <c r="T110" i="4"/>
  <c r="T49" i="4"/>
  <c r="T48" i="4"/>
  <c r="T159" i="4"/>
  <c r="T33" i="4"/>
  <c r="T35" i="4"/>
  <c r="T439" i="4"/>
  <c r="T438" i="4"/>
  <c r="T437" i="4"/>
  <c r="T436" i="4"/>
  <c r="T435" i="4"/>
  <c r="T1155" i="4"/>
  <c r="T433" i="4"/>
  <c r="T434" i="4"/>
  <c r="T432" i="4"/>
  <c r="T431" i="4"/>
  <c r="T205" i="4"/>
  <c r="T206" i="4"/>
  <c r="T1154" i="4"/>
  <c r="T1153" i="4"/>
  <c r="T430" i="4"/>
  <c r="T92" i="4"/>
  <c r="T429" i="4"/>
  <c r="T427" i="4"/>
  <c r="T428" i="4"/>
  <c r="T426" i="4"/>
  <c r="T425" i="4"/>
  <c r="T42" i="4"/>
  <c r="T422" i="4"/>
  <c r="T423" i="4"/>
  <c r="T424" i="4"/>
  <c r="T421" i="4"/>
  <c r="T420" i="4"/>
  <c r="T1152" i="4"/>
  <c r="T1151" i="4"/>
  <c r="T1149" i="4"/>
  <c r="T1150" i="4"/>
  <c r="T1148" i="4"/>
  <c r="T1146" i="4"/>
  <c r="T1147" i="4"/>
  <c r="T419" i="4"/>
  <c r="T23" i="4"/>
  <c r="T418" i="4"/>
  <c r="T153" i="4"/>
  <c r="T38" i="4"/>
  <c r="T126" i="4"/>
  <c r="T142" i="4"/>
  <c r="T141" i="4"/>
  <c r="T97" i="4"/>
  <c r="T174" i="4"/>
  <c r="T102" i="4"/>
  <c r="T55" i="4"/>
  <c r="T125" i="4"/>
  <c r="T163" i="4"/>
  <c r="T51" i="4"/>
  <c r="T152" i="4"/>
  <c r="T179" i="4"/>
  <c r="T168" i="4"/>
  <c r="T158" i="4"/>
  <c r="T417" i="4"/>
  <c r="T1145" i="4"/>
  <c r="T416" i="4"/>
  <c r="T1144" i="4"/>
  <c r="T1143" i="4"/>
  <c r="T415" i="4"/>
  <c r="T60" i="4"/>
  <c r="T64" i="4"/>
  <c r="T151" i="4"/>
  <c r="T414" i="4"/>
  <c r="T1142" i="4"/>
  <c r="T1141" i="4"/>
  <c r="T1140" i="4"/>
  <c r="T1139" i="4"/>
  <c r="T25" i="4"/>
  <c r="T124" i="4"/>
  <c r="T123" i="4"/>
  <c r="T413" i="4"/>
  <c r="T412" i="4"/>
  <c r="T1138" i="4"/>
  <c r="T1137" i="4"/>
  <c r="T1136" i="4"/>
  <c r="T122" i="4"/>
  <c r="T1135" i="4"/>
  <c r="T1134" i="4"/>
  <c r="T121" i="4"/>
  <c r="T411" i="4"/>
  <c r="T410" i="4"/>
  <c r="T1133" i="4"/>
  <c r="T1132" i="4"/>
  <c r="T1131" i="4"/>
  <c r="T1130" i="4"/>
  <c r="T1129" i="4"/>
  <c r="T409" i="4"/>
  <c r="T96" i="4"/>
  <c r="T137" i="4"/>
  <c r="T408" i="4"/>
  <c r="T1127" i="4"/>
  <c r="T1128" i="4"/>
  <c r="T150" i="4"/>
  <c r="T1126" i="4"/>
  <c r="T1125" i="4"/>
  <c r="T407" i="4"/>
  <c r="T95" i="4"/>
  <c r="T173" i="4"/>
  <c r="T406" i="4"/>
  <c r="T1124" i="4"/>
  <c r="T405" i="4"/>
  <c r="T404" i="4"/>
  <c r="T1123" i="4"/>
  <c r="T1121" i="4"/>
  <c r="T1122" i="4"/>
  <c r="T1119" i="4"/>
  <c r="T1120" i="4"/>
  <c r="T1117" i="4"/>
  <c r="T1118" i="4"/>
  <c r="T1115" i="4"/>
  <c r="T1116" i="4"/>
  <c r="T1114" i="4"/>
  <c r="T1113" i="4"/>
  <c r="T1112" i="4"/>
  <c r="T9" i="4"/>
  <c r="T131" i="4"/>
  <c r="T14" i="4"/>
  <c r="T29" i="4"/>
  <c r="T83" i="4"/>
  <c r="T63" i="4"/>
  <c r="T109" i="4"/>
  <c r="T82" i="4"/>
  <c r="T91" i="4"/>
  <c r="T108" i="4"/>
  <c r="T32" i="4"/>
  <c r="T78" i="4"/>
  <c r="T69" i="4"/>
  <c r="T178" i="4"/>
  <c r="T136" i="4"/>
  <c r="T81" i="4"/>
  <c r="T149" i="4"/>
  <c r="T68" i="4"/>
  <c r="T28" i="4"/>
  <c r="T403" i="4"/>
  <c r="T172" i="4"/>
  <c r="T54" i="4"/>
  <c r="T120" i="4"/>
  <c r="T90" i="4"/>
  <c r="T73" i="4"/>
  <c r="T148" i="4"/>
  <c r="T1111" i="4"/>
  <c r="T1110" i="4"/>
  <c r="T1109" i="4"/>
  <c r="T162" i="4"/>
  <c r="T167" i="4"/>
  <c r="T72" i="4"/>
  <c r="T18" i="4"/>
  <c r="T402" i="4"/>
  <c r="T1108" i="4"/>
  <c r="T119" i="4"/>
  <c r="T147" i="4"/>
  <c r="T401" i="4"/>
  <c r="T1106" i="4"/>
  <c r="T1107" i="4"/>
  <c r="T1104" i="4"/>
  <c r="T1105" i="4"/>
  <c r="T1101" i="4"/>
  <c r="T1102" i="4"/>
  <c r="T1103" i="4"/>
  <c r="T1100" i="4"/>
  <c r="T203" i="4"/>
  <c r="T204" i="4"/>
  <c r="T135" i="4"/>
  <c r="T400" i="4"/>
  <c r="T399" i="4"/>
  <c r="T1099" i="4"/>
  <c r="T1098" i="4"/>
  <c r="T1097" i="4"/>
  <c r="T1096" i="4"/>
  <c r="T134" i="4"/>
  <c r="T184" i="4"/>
  <c r="T398" i="4"/>
  <c r="T397" i="4"/>
  <c r="T395" i="4"/>
  <c r="T396" i="4"/>
  <c r="T1094" i="4"/>
  <c r="T1095" i="4"/>
  <c r="T1091" i="4"/>
  <c r="T1092" i="4"/>
  <c r="T1093" i="4"/>
  <c r="T1089" i="4"/>
  <c r="T1090" i="4"/>
  <c r="T1088" i="4"/>
  <c r="T1086" i="4"/>
  <c r="T1087" i="4"/>
  <c r="T1085" i="4"/>
  <c r="T1084" i="4"/>
  <c r="T393" i="4"/>
  <c r="T394" i="4"/>
  <c r="T47" i="4"/>
  <c r="T392" i="4"/>
  <c r="T391" i="4"/>
  <c r="T390" i="4"/>
  <c r="T389" i="4"/>
  <c r="T388" i="4"/>
  <c r="T386" i="4"/>
  <c r="T387" i="4"/>
  <c r="T384" i="4"/>
  <c r="T385" i="4"/>
  <c r="T1083" i="4"/>
  <c r="T1082" i="4"/>
  <c r="T383" i="4"/>
  <c r="T382" i="4"/>
  <c r="T381" i="4"/>
  <c r="T1081" i="4"/>
  <c r="T380" i="4"/>
  <c r="T379" i="4"/>
  <c r="T1079" i="4"/>
  <c r="T1080" i="4"/>
  <c r="T378" i="4"/>
  <c r="T202" i="4"/>
  <c r="T377" i="4"/>
  <c r="T376" i="4"/>
  <c r="T375" i="4"/>
  <c r="T374" i="4"/>
  <c r="T373" i="4"/>
  <c r="T372" i="4"/>
  <c r="T371" i="4"/>
  <c r="T1078" i="4"/>
  <c r="T1077" i="4"/>
  <c r="T1075" i="4"/>
  <c r="T1076" i="4"/>
  <c r="T1073" i="4"/>
  <c r="T1074" i="4"/>
  <c r="T20" i="4"/>
  <c r="T1072" i="4"/>
  <c r="T1071" i="4"/>
  <c r="T1070" i="4"/>
  <c r="T1069" i="4"/>
  <c r="T1068" i="4"/>
  <c r="T1067" i="4"/>
  <c r="T1066" i="4"/>
  <c r="T201" i="4"/>
  <c r="T370" i="4"/>
  <c r="T1064" i="4"/>
  <c r="T1065" i="4"/>
  <c r="T369" i="4"/>
  <c r="T1062" i="4"/>
  <c r="T1063" i="4"/>
  <c r="T1061" i="4"/>
  <c r="T368" i="4"/>
  <c r="T365" i="4"/>
  <c r="T366" i="4"/>
  <c r="T367" i="4"/>
  <c r="T364" i="4"/>
  <c r="T1060" i="4"/>
  <c r="T1058" i="4"/>
  <c r="T1059" i="4"/>
  <c r="T1057" i="4"/>
  <c r="T363" i="4"/>
  <c r="T1056" i="4"/>
  <c r="T1055" i="4"/>
  <c r="T1054" i="4"/>
  <c r="T1052" i="4"/>
  <c r="T1053" i="4"/>
  <c r="T1051" i="4"/>
  <c r="T1049" i="4"/>
  <c r="T1050" i="4"/>
  <c r="T1048" i="4"/>
  <c r="T1047" i="4"/>
  <c r="T199" i="4"/>
  <c r="T200" i="4"/>
  <c r="T1046" i="4"/>
  <c r="T10" i="4"/>
  <c r="T8" i="4"/>
  <c r="T94" i="4"/>
  <c r="T361" i="4"/>
  <c r="T362" i="4"/>
  <c r="T59" i="4"/>
  <c r="T198" i="4"/>
  <c r="T146" i="4"/>
  <c r="T107" i="4"/>
  <c r="T67" i="4"/>
  <c r="T157" i="4"/>
  <c r="T106" i="4"/>
  <c r="T62" i="4"/>
  <c r="T1045" i="4"/>
  <c r="T89" i="4"/>
  <c r="T360" i="4"/>
  <c r="T358" i="4"/>
  <c r="T359" i="4"/>
  <c r="T118" i="4"/>
  <c r="T356" i="4"/>
  <c r="T357" i="4"/>
  <c r="T1044" i="4"/>
  <c r="T1043" i="4"/>
  <c r="T130" i="4"/>
  <c r="T1041" i="4"/>
  <c r="T1042" i="4"/>
  <c r="T1040" i="4"/>
  <c r="T1039" i="4"/>
  <c r="T1038" i="4"/>
  <c r="T1037" i="4"/>
  <c r="T1036" i="4"/>
  <c r="T101" i="4"/>
  <c r="T1035" i="4"/>
  <c r="T1034" i="4"/>
  <c r="T71" i="4"/>
  <c r="T355" i="4"/>
  <c r="T354" i="4"/>
  <c r="T353" i="4"/>
  <c r="T352" i="4"/>
  <c r="T1033" i="4"/>
  <c r="T351" i="4"/>
  <c r="T1032" i="4"/>
  <c r="T1030" i="4"/>
  <c r="T1031" i="4"/>
  <c r="T1029" i="4"/>
  <c r="T350" i="4"/>
  <c r="T1028" i="4"/>
  <c r="T349" i="4"/>
  <c r="T1027" i="4"/>
  <c r="T348" i="4"/>
  <c r="T1026" i="4"/>
  <c r="T347" i="4"/>
  <c r="T1024" i="4"/>
  <c r="T1025" i="4"/>
  <c r="T1023" i="4"/>
  <c r="T1021" i="4"/>
  <c r="T1022" i="4"/>
  <c r="T1020" i="4"/>
  <c r="T1019" i="4"/>
  <c r="T1018" i="4"/>
  <c r="T1017" i="4"/>
  <c r="T1016" i="4"/>
  <c r="T1015" i="4"/>
  <c r="T1014" i="4"/>
  <c r="T1013" i="4"/>
  <c r="T345" i="4"/>
  <c r="T346" i="4"/>
  <c r="T1012" i="4"/>
  <c r="T37" i="4"/>
  <c r="T344" i="4"/>
  <c r="T343" i="4"/>
  <c r="T1008" i="4"/>
  <c r="T1009" i="4"/>
  <c r="T1010" i="4"/>
  <c r="T1011" i="4"/>
  <c r="T1007" i="4"/>
  <c r="T1006" i="4"/>
  <c r="T1005" i="4"/>
  <c r="T1004" i="4"/>
  <c r="T1003" i="4"/>
  <c r="T1002" i="4"/>
  <c r="T1000" i="4"/>
  <c r="T1001" i="4"/>
  <c r="T999" i="4"/>
  <c r="T998" i="4"/>
  <c r="T997" i="4"/>
  <c r="T12" i="4"/>
  <c r="T342" i="4"/>
  <c r="T341" i="4"/>
  <c r="T340" i="4"/>
  <c r="T996" i="4"/>
  <c r="T994" i="4"/>
  <c r="T995" i="4"/>
  <c r="T993" i="4"/>
  <c r="T992" i="4"/>
  <c r="T15" i="4"/>
  <c r="T13" i="4"/>
  <c r="T80" i="4"/>
  <c r="T19" i="4"/>
  <c r="T57" i="4"/>
  <c r="T27" i="4"/>
  <c r="T11" i="4"/>
  <c r="T24" i="4"/>
  <c r="T53" i="4"/>
  <c r="T66" i="4"/>
  <c r="T88" i="4"/>
  <c r="T58" i="4"/>
  <c r="T339" i="4"/>
  <c r="T338" i="4"/>
  <c r="T337" i="4"/>
  <c r="T22" i="4"/>
  <c r="T336" i="4"/>
  <c r="T334" i="4"/>
  <c r="T335" i="4"/>
  <c r="T333" i="4"/>
  <c r="T332" i="4"/>
  <c r="T197" i="4"/>
  <c r="T330" i="4"/>
  <c r="T331" i="4"/>
  <c r="T328" i="4"/>
  <c r="T329" i="4"/>
  <c r="T327" i="4"/>
  <c r="T326" i="4"/>
  <c r="T325" i="4"/>
  <c r="T196" i="4"/>
  <c r="T324" i="4"/>
  <c r="T323" i="4"/>
  <c r="T321" i="4"/>
  <c r="T322" i="4"/>
  <c r="T320" i="4"/>
  <c r="T318" i="4"/>
  <c r="T319" i="4"/>
  <c r="T991" i="4"/>
  <c r="T990" i="4"/>
  <c r="T989" i="4"/>
  <c r="T987" i="4"/>
  <c r="T988" i="4"/>
  <c r="T985" i="4"/>
  <c r="T986" i="4"/>
  <c r="T984" i="4"/>
  <c r="T46" i="4"/>
  <c r="T56" i="4"/>
  <c r="T21" i="4"/>
  <c r="T61" i="4"/>
  <c r="T117" i="4"/>
  <c r="T183" i="4"/>
  <c r="T161" i="4"/>
  <c r="T182" i="4"/>
  <c r="T188" i="4"/>
  <c r="T181" i="4"/>
  <c r="T105" i="4"/>
  <c r="T145" i="4"/>
  <c r="T79" i="4"/>
  <c r="T50" i="4"/>
  <c r="T133" i="4"/>
  <c r="T171" i="4"/>
  <c r="T156" i="4"/>
  <c r="T140" i="4"/>
  <c r="T116" i="4"/>
  <c r="T115" i="4"/>
  <c r="T317" i="4"/>
  <c r="T180" i="4"/>
  <c r="T177" i="4"/>
  <c r="T104" i="4"/>
  <c r="T170" i="4"/>
  <c r="T316" i="4"/>
  <c r="T315" i="4"/>
  <c r="T983" i="4"/>
  <c r="T982" i="4"/>
  <c r="T981" i="4"/>
  <c r="T980" i="4"/>
  <c r="T187" i="4"/>
  <c r="T129" i="4"/>
  <c r="T103" i="4"/>
  <c r="T176" i="4"/>
  <c r="T87" i="4"/>
  <c r="T77" i="4"/>
  <c r="T979" i="4"/>
  <c r="T978" i="4"/>
  <c r="T144" i="4"/>
  <c r="T166" i="4"/>
  <c r="T314" i="4"/>
  <c r="T313" i="4"/>
  <c r="T977" i="4"/>
  <c r="T975" i="4"/>
  <c r="T976" i="4"/>
  <c r="T1523" i="4"/>
  <c r="O1522" i="4"/>
  <c r="P1522" i="4" s="1"/>
  <c r="O974" i="4"/>
  <c r="P974" i="4" s="1"/>
  <c r="O973" i="4"/>
  <c r="P973" i="4" s="1"/>
  <c r="O1521" i="4"/>
  <c r="P1521" i="4" s="1"/>
  <c r="O972" i="4"/>
  <c r="P972" i="4" s="1"/>
  <c r="O971" i="4"/>
  <c r="P971" i="4" s="1"/>
  <c r="O1520" i="4"/>
  <c r="P1520" i="4" s="1"/>
  <c r="O970" i="4"/>
  <c r="P970" i="4" s="1"/>
  <c r="O1519" i="4"/>
  <c r="P1519" i="4" s="1"/>
  <c r="O1518" i="4"/>
  <c r="P1518" i="4" s="1"/>
  <c r="O1517" i="4"/>
  <c r="P1517" i="4" s="1"/>
  <c r="O1515" i="4"/>
  <c r="P1515" i="4" s="1"/>
  <c r="O1516" i="4"/>
  <c r="P1516" i="4" s="1"/>
  <c r="O1514" i="4"/>
  <c r="P1514" i="4" s="1"/>
  <c r="O1513" i="4"/>
  <c r="P1513" i="4" s="1"/>
  <c r="O969" i="4"/>
  <c r="P969" i="4" s="1"/>
  <c r="O967" i="4"/>
  <c r="P967" i="4" s="1"/>
  <c r="O968" i="4"/>
  <c r="P968" i="4" s="1"/>
  <c r="O966" i="4"/>
  <c r="P966" i="4" s="1"/>
  <c r="O1512" i="4"/>
  <c r="P1512" i="4" s="1"/>
  <c r="O1511" i="4"/>
  <c r="P1511" i="4" s="1"/>
  <c r="O1510" i="4"/>
  <c r="P1510" i="4" s="1"/>
  <c r="O1509" i="4"/>
  <c r="P1509" i="4" s="1"/>
  <c r="O965" i="4"/>
  <c r="P965" i="4" s="1"/>
  <c r="O1507" i="4"/>
  <c r="P1507" i="4" s="1"/>
  <c r="O1508" i="4"/>
  <c r="P1508" i="4" s="1"/>
  <c r="O1504" i="4"/>
  <c r="P1504" i="4" s="1"/>
  <c r="O1505" i="4"/>
  <c r="P1505" i="4" s="1"/>
  <c r="O1506" i="4"/>
  <c r="P1506" i="4" s="1"/>
  <c r="O1503" i="4"/>
  <c r="P1503" i="4" s="1"/>
  <c r="O1502" i="4"/>
  <c r="P1502" i="4" s="1"/>
  <c r="O964" i="4"/>
  <c r="P964" i="4" s="1"/>
  <c r="O1501" i="4"/>
  <c r="P1501" i="4" s="1"/>
  <c r="O1499" i="4"/>
  <c r="P1499" i="4" s="1"/>
  <c r="O1500" i="4"/>
  <c r="P1500" i="4" s="1"/>
  <c r="O963" i="4"/>
  <c r="P963" i="4" s="1"/>
  <c r="O312" i="4"/>
  <c r="P312" i="4" s="1"/>
  <c r="O962" i="4"/>
  <c r="P962" i="4" s="1"/>
  <c r="O961" i="4"/>
  <c r="P961" i="4" s="1"/>
  <c r="O1498" i="4"/>
  <c r="P1498" i="4" s="1"/>
  <c r="O1497" i="4"/>
  <c r="P1497" i="4" s="1"/>
  <c r="O1496" i="4"/>
  <c r="P1496" i="4" s="1"/>
  <c r="O1494" i="4"/>
  <c r="P1494" i="4" s="1"/>
  <c r="O1495" i="4"/>
  <c r="P1495" i="4" s="1"/>
  <c r="O1493" i="4"/>
  <c r="P1493" i="4" s="1"/>
  <c r="O1490" i="4"/>
  <c r="P1490" i="4" s="1"/>
  <c r="O1491" i="4"/>
  <c r="P1491" i="4" s="1"/>
  <c r="O1492" i="4"/>
  <c r="P1492" i="4" s="1"/>
  <c r="O1489" i="4"/>
  <c r="P1489" i="4" s="1"/>
  <c r="O1487" i="4"/>
  <c r="P1487" i="4" s="1"/>
  <c r="O1488" i="4"/>
  <c r="P1488" i="4" s="1"/>
  <c r="O311" i="4"/>
  <c r="P311" i="4" s="1"/>
  <c r="O195" i="4"/>
  <c r="P195" i="4" s="1"/>
  <c r="O310" i="4"/>
  <c r="P310" i="4" s="1"/>
  <c r="O309" i="4"/>
  <c r="P309" i="4" s="1"/>
  <c r="O308" i="4"/>
  <c r="P308" i="4" s="1"/>
  <c r="O307" i="4"/>
  <c r="P307" i="4" s="1"/>
  <c r="O306" i="4"/>
  <c r="P306" i="4" s="1"/>
  <c r="O186" i="4"/>
  <c r="P186" i="4" s="1"/>
  <c r="O960" i="4"/>
  <c r="P960" i="4" s="1"/>
  <c r="O305" i="4"/>
  <c r="P305" i="4" s="1"/>
  <c r="O304" i="4"/>
  <c r="P304" i="4" s="1"/>
  <c r="O301" i="4"/>
  <c r="P301" i="4" s="1"/>
  <c r="O302" i="4"/>
  <c r="P302" i="4" s="1"/>
  <c r="O303" i="4"/>
  <c r="P303" i="4" s="1"/>
  <c r="O300" i="4"/>
  <c r="P300" i="4" s="1"/>
  <c r="O299" i="4"/>
  <c r="P299" i="4" s="1"/>
  <c r="O297" i="4"/>
  <c r="P297" i="4" s="1"/>
  <c r="O298" i="4"/>
  <c r="P298" i="4" s="1"/>
  <c r="O296" i="4"/>
  <c r="P296" i="4" s="1"/>
  <c r="O295" i="4"/>
  <c r="P295" i="4" s="1"/>
  <c r="O294" i="4"/>
  <c r="P294" i="4" s="1"/>
  <c r="O293" i="4"/>
  <c r="P293" i="4" s="1"/>
  <c r="O194" i="4"/>
  <c r="P194" i="4" s="1"/>
  <c r="O291" i="4"/>
  <c r="P291" i="4" s="1"/>
  <c r="O292" i="4"/>
  <c r="P292" i="4" s="1"/>
  <c r="O959" i="4"/>
  <c r="P959" i="4" s="1"/>
  <c r="O290" i="4"/>
  <c r="P290" i="4" s="1"/>
  <c r="O289" i="4"/>
  <c r="P289" i="4" s="1"/>
  <c r="O288" i="4"/>
  <c r="P288" i="4" s="1"/>
  <c r="O287" i="4"/>
  <c r="P287" i="4" s="1"/>
  <c r="O958" i="4"/>
  <c r="P958" i="4" s="1"/>
  <c r="O957" i="4"/>
  <c r="P957" i="4" s="1"/>
  <c r="O286" i="4"/>
  <c r="P286" i="4" s="1"/>
  <c r="O285" i="4"/>
  <c r="P285" i="4" s="1"/>
  <c r="O955" i="4"/>
  <c r="P955" i="4" s="1"/>
  <c r="O956" i="4"/>
  <c r="P956" i="4" s="1"/>
  <c r="O953" i="4"/>
  <c r="P953" i="4" s="1"/>
  <c r="O954" i="4"/>
  <c r="P954" i="4" s="1"/>
  <c r="O284" i="4"/>
  <c r="P284" i="4" s="1"/>
  <c r="O193" i="4"/>
  <c r="P193" i="4" s="1"/>
  <c r="O283" i="4"/>
  <c r="P283" i="4" s="1"/>
  <c r="O282" i="4"/>
  <c r="P282" i="4" s="1"/>
  <c r="O952" i="4"/>
  <c r="P952" i="4" s="1"/>
  <c r="O951" i="4"/>
  <c r="P951" i="4" s="1"/>
  <c r="O950" i="4"/>
  <c r="P950" i="4" s="1"/>
  <c r="O949" i="4"/>
  <c r="P949" i="4" s="1"/>
  <c r="O948" i="4"/>
  <c r="P948" i="4" s="1"/>
  <c r="O947" i="4"/>
  <c r="P947" i="4" s="1"/>
  <c r="O946" i="4"/>
  <c r="P946" i="4" s="1"/>
  <c r="O281" i="4"/>
  <c r="P281" i="4" s="1"/>
  <c r="O945" i="4"/>
  <c r="P945" i="4" s="1"/>
  <c r="O943" i="4"/>
  <c r="P943" i="4" s="1"/>
  <c r="O944" i="4"/>
  <c r="P944" i="4" s="1"/>
  <c r="O192" i="4"/>
  <c r="P192" i="4" s="1"/>
  <c r="O279" i="4"/>
  <c r="P279" i="4" s="1"/>
  <c r="O280" i="4"/>
  <c r="P280" i="4" s="1"/>
  <c r="O277" i="4"/>
  <c r="P277" i="4" s="1"/>
  <c r="O278" i="4"/>
  <c r="P278" i="4" s="1"/>
  <c r="O276" i="4"/>
  <c r="P276" i="4" s="1"/>
  <c r="O275" i="4"/>
  <c r="P275" i="4" s="1"/>
  <c r="O274" i="4"/>
  <c r="P274" i="4" s="1"/>
  <c r="O273" i="4"/>
  <c r="P273" i="4" s="1"/>
  <c r="O271" i="4"/>
  <c r="P271" i="4" s="1"/>
  <c r="O272" i="4"/>
  <c r="P272" i="4" s="1"/>
  <c r="O270" i="4"/>
  <c r="P270" i="4" s="1"/>
  <c r="O269" i="4"/>
  <c r="P269" i="4" s="1"/>
  <c r="O942" i="4"/>
  <c r="P942" i="4" s="1"/>
  <c r="O268" i="4"/>
  <c r="P268" i="4" s="1"/>
  <c r="O266" i="4"/>
  <c r="P266" i="4" s="1"/>
  <c r="O267" i="4"/>
  <c r="P267" i="4" s="1"/>
  <c r="O265" i="4"/>
  <c r="P265" i="4" s="1"/>
  <c r="O263" i="4"/>
  <c r="P263" i="4" s="1"/>
  <c r="O264" i="4"/>
  <c r="P264" i="4" s="1"/>
  <c r="O941" i="4"/>
  <c r="P941" i="4" s="1"/>
  <c r="O940" i="4"/>
  <c r="P940" i="4" s="1"/>
  <c r="O939" i="4"/>
  <c r="P939" i="4" s="1"/>
  <c r="O938" i="4"/>
  <c r="P938" i="4" s="1"/>
  <c r="O262" i="4"/>
  <c r="P262" i="4" s="1"/>
  <c r="O261" i="4"/>
  <c r="P261" i="4" s="1"/>
  <c r="O260" i="4"/>
  <c r="P260" i="4" s="1"/>
  <c r="O259" i="4"/>
  <c r="P259" i="4" s="1"/>
  <c r="O258" i="4"/>
  <c r="P258" i="4" s="1"/>
  <c r="O257" i="4"/>
  <c r="P257" i="4" s="1"/>
  <c r="O256" i="4"/>
  <c r="P256" i="4" s="1"/>
  <c r="O255" i="4"/>
  <c r="P255" i="4" s="1"/>
  <c r="O254" i="4"/>
  <c r="P254" i="4" s="1"/>
  <c r="O253" i="4"/>
  <c r="P253" i="4" s="1"/>
  <c r="O936" i="4"/>
  <c r="P936" i="4" s="1"/>
  <c r="O937" i="4"/>
  <c r="P937" i="4" s="1"/>
  <c r="O935" i="4"/>
  <c r="P935" i="4" s="1"/>
  <c r="O1486" i="4"/>
  <c r="P1486" i="4" s="1"/>
  <c r="O934" i="4"/>
  <c r="P934" i="4" s="1"/>
  <c r="O933" i="4"/>
  <c r="P933" i="4" s="1"/>
  <c r="O932" i="4"/>
  <c r="P932" i="4" s="1"/>
  <c r="O252" i="4"/>
  <c r="P252" i="4" s="1"/>
  <c r="O251" i="4"/>
  <c r="P251" i="4" s="1"/>
  <c r="O931" i="4"/>
  <c r="P931" i="4" s="1"/>
  <c r="O1485" i="4"/>
  <c r="P1485" i="4" s="1"/>
  <c r="O1484" i="4"/>
  <c r="P1484" i="4" s="1"/>
  <c r="O930" i="4"/>
  <c r="P930" i="4" s="1"/>
  <c r="O929" i="4"/>
  <c r="P929" i="4" s="1"/>
  <c r="O1483" i="4"/>
  <c r="P1483" i="4" s="1"/>
  <c r="O1482" i="4"/>
  <c r="P1482" i="4" s="1"/>
  <c r="O1480" i="4"/>
  <c r="P1480" i="4" s="1"/>
  <c r="O1481" i="4"/>
  <c r="P1481" i="4" s="1"/>
  <c r="O928" i="4"/>
  <c r="P928" i="4" s="1"/>
  <c r="O250" i="4"/>
  <c r="P250" i="4" s="1"/>
  <c r="O249" i="4"/>
  <c r="P249" i="4" s="1"/>
  <c r="O927" i="4"/>
  <c r="P927" i="4" s="1"/>
  <c r="O926" i="4"/>
  <c r="P926" i="4" s="1"/>
  <c r="O925" i="4"/>
  <c r="P925" i="4" s="1"/>
  <c r="O924" i="4"/>
  <c r="P924" i="4" s="1"/>
  <c r="O248" i="4"/>
  <c r="P248" i="4" s="1"/>
  <c r="O923" i="4"/>
  <c r="P923" i="4" s="1"/>
  <c r="O922" i="4"/>
  <c r="P922" i="4" s="1"/>
  <c r="O921" i="4"/>
  <c r="P921" i="4" s="1"/>
  <c r="O1479" i="4"/>
  <c r="P1479" i="4" s="1"/>
  <c r="O247" i="4"/>
  <c r="P247" i="4" s="1"/>
  <c r="O246" i="4"/>
  <c r="P246" i="4" s="1"/>
  <c r="O1478" i="4"/>
  <c r="P1478" i="4" s="1"/>
  <c r="O245" i="4"/>
  <c r="P245" i="4" s="1"/>
  <c r="O244" i="4"/>
  <c r="P244" i="4" s="1"/>
  <c r="O243" i="4"/>
  <c r="P243" i="4" s="1"/>
  <c r="O920" i="4"/>
  <c r="P920" i="4" s="1"/>
  <c r="O919" i="4"/>
  <c r="P919" i="4" s="1"/>
  <c r="O1477" i="4"/>
  <c r="P1477" i="4" s="1"/>
  <c r="O918" i="4"/>
  <c r="P918" i="4" s="1"/>
  <c r="O915" i="4"/>
  <c r="P915" i="4" s="1"/>
  <c r="O916" i="4"/>
  <c r="P916" i="4" s="1"/>
  <c r="O917" i="4"/>
  <c r="P917" i="4" s="1"/>
  <c r="O914" i="4"/>
  <c r="P914" i="4" s="1"/>
  <c r="O1476" i="4"/>
  <c r="P1476" i="4" s="1"/>
  <c r="O1475" i="4"/>
  <c r="P1475" i="4" s="1"/>
  <c r="O913" i="4"/>
  <c r="P913" i="4" s="1"/>
  <c r="O912" i="4"/>
  <c r="P912" i="4" s="1"/>
  <c r="O911" i="4"/>
  <c r="P911" i="4" s="1"/>
  <c r="O910" i="4"/>
  <c r="P910" i="4" s="1"/>
  <c r="O909" i="4"/>
  <c r="P909" i="4" s="1"/>
  <c r="O907" i="4"/>
  <c r="P907" i="4" s="1"/>
  <c r="O908" i="4"/>
  <c r="P908" i="4" s="1"/>
  <c r="O905" i="4"/>
  <c r="P905" i="4" s="1"/>
  <c r="O906" i="4"/>
  <c r="P906" i="4" s="1"/>
  <c r="O904" i="4"/>
  <c r="P904" i="4" s="1"/>
  <c r="O903" i="4"/>
  <c r="P903" i="4" s="1"/>
  <c r="O902" i="4"/>
  <c r="P902" i="4" s="1"/>
  <c r="O901" i="4"/>
  <c r="P901" i="4" s="1"/>
  <c r="O900" i="4"/>
  <c r="P900" i="4" s="1"/>
  <c r="O1474" i="4"/>
  <c r="P1474" i="4" s="1"/>
  <c r="O1473" i="4"/>
  <c r="P1473" i="4" s="1"/>
  <c r="O898" i="4"/>
  <c r="P898" i="4" s="1"/>
  <c r="O899" i="4"/>
  <c r="P899" i="4" s="1"/>
  <c r="O1472" i="4"/>
  <c r="P1472" i="4" s="1"/>
  <c r="O1471" i="4"/>
  <c r="P1471" i="4" s="1"/>
  <c r="O897" i="4"/>
  <c r="P897" i="4" s="1"/>
  <c r="O1470" i="4"/>
  <c r="P1470" i="4" s="1"/>
  <c r="O895" i="4"/>
  <c r="P895" i="4" s="1"/>
  <c r="O896" i="4"/>
  <c r="P896" i="4" s="1"/>
  <c r="O1469" i="4"/>
  <c r="P1469" i="4" s="1"/>
  <c r="O1468" i="4"/>
  <c r="P1468" i="4" s="1"/>
  <c r="O894" i="4"/>
  <c r="P894" i="4" s="1"/>
  <c r="O893" i="4"/>
  <c r="P893" i="4" s="1"/>
  <c r="O242" i="4"/>
  <c r="P242" i="4" s="1"/>
  <c r="O1467" i="4"/>
  <c r="P1467" i="4" s="1"/>
  <c r="O892" i="4"/>
  <c r="P892" i="4" s="1"/>
  <c r="O891" i="4"/>
  <c r="P891" i="4" s="1"/>
  <c r="O890" i="4"/>
  <c r="P890" i="4" s="1"/>
  <c r="O888" i="4"/>
  <c r="P888" i="4" s="1"/>
  <c r="O889" i="4"/>
  <c r="P889" i="4" s="1"/>
  <c r="O887" i="4"/>
  <c r="P887" i="4" s="1"/>
  <c r="O886" i="4"/>
  <c r="P886" i="4" s="1"/>
  <c r="O885" i="4"/>
  <c r="P885" i="4" s="1"/>
  <c r="O1466" i="4"/>
  <c r="P1466" i="4" s="1"/>
  <c r="O1465" i="4"/>
  <c r="P1465" i="4" s="1"/>
  <c r="O884" i="4"/>
  <c r="P884" i="4" s="1"/>
  <c r="O883" i="4"/>
  <c r="P883" i="4" s="1"/>
  <c r="O191" i="4"/>
  <c r="P191" i="4" s="1"/>
  <c r="O882" i="4"/>
  <c r="P882" i="4" s="1"/>
  <c r="O881" i="4"/>
  <c r="P881" i="4" s="1"/>
  <c r="O880" i="4"/>
  <c r="P880" i="4" s="1"/>
  <c r="O1464" i="4"/>
  <c r="P1464" i="4" s="1"/>
  <c r="O1463" i="4"/>
  <c r="P1463" i="4" s="1"/>
  <c r="O1462" i="4"/>
  <c r="P1462" i="4" s="1"/>
  <c r="O1461" i="4"/>
  <c r="P1461" i="4" s="1"/>
  <c r="O1460" i="4"/>
  <c r="P1460" i="4" s="1"/>
  <c r="O1459" i="4"/>
  <c r="P1459" i="4" s="1"/>
  <c r="O879" i="4"/>
  <c r="P879" i="4" s="1"/>
  <c r="O1458" i="4"/>
  <c r="P1458" i="4" s="1"/>
  <c r="O878" i="4"/>
  <c r="P878" i="4" s="1"/>
  <c r="O1456" i="4"/>
  <c r="P1456" i="4" s="1"/>
  <c r="O1457" i="4"/>
  <c r="P1457" i="4" s="1"/>
  <c r="O1455" i="4"/>
  <c r="P1455" i="4" s="1"/>
  <c r="O241" i="4"/>
  <c r="P241" i="4" s="1"/>
  <c r="O877" i="4"/>
  <c r="P877" i="4" s="1"/>
  <c r="O1454" i="4"/>
  <c r="P1454" i="4" s="1"/>
  <c r="O16" i="4"/>
  <c r="P16" i="4" s="1"/>
  <c r="O1453" i="4"/>
  <c r="P1453" i="4" s="1"/>
  <c r="O876" i="4"/>
  <c r="P876" i="4" s="1"/>
  <c r="O875" i="4"/>
  <c r="P875" i="4" s="1"/>
  <c r="O874" i="4"/>
  <c r="P874" i="4" s="1"/>
  <c r="O1452" i="4"/>
  <c r="P1452" i="4" s="1"/>
  <c r="O873" i="4"/>
  <c r="P873" i="4" s="1"/>
  <c r="O872" i="4"/>
  <c r="P872" i="4" s="1"/>
  <c r="O1451" i="4"/>
  <c r="P1451" i="4" s="1"/>
  <c r="O1449" i="4"/>
  <c r="P1449" i="4" s="1"/>
  <c r="O1450" i="4"/>
  <c r="P1450" i="4" s="1"/>
  <c r="O1448" i="4"/>
  <c r="P1448" i="4" s="1"/>
  <c r="O1447" i="4"/>
  <c r="P1447" i="4" s="1"/>
  <c r="O240" i="4"/>
  <c r="P240" i="4" s="1"/>
  <c r="O871" i="4"/>
  <c r="P871" i="4" s="1"/>
  <c r="O870" i="4"/>
  <c r="P870" i="4" s="1"/>
  <c r="O869" i="4"/>
  <c r="P869" i="4" s="1"/>
  <c r="O868" i="4"/>
  <c r="P868" i="4" s="1"/>
  <c r="O1446" i="4"/>
  <c r="P1446" i="4" s="1"/>
  <c r="O1445" i="4"/>
  <c r="P1445" i="4" s="1"/>
  <c r="O866" i="4"/>
  <c r="P866" i="4" s="1"/>
  <c r="O867" i="4"/>
  <c r="P867" i="4" s="1"/>
  <c r="O864" i="4"/>
  <c r="P864" i="4" s="1"/>
  <c r="O865" i="4"/>
  <c r="P865" i="4" s="1"/>
  <c r="O239" i="4"/>
  <c r="P239" i="4" s="1"/>
  <c r="O863" i="4"/>
  <c r="P863" i="4" s="1"/>
  <c r="O861" i="4"/>
  <c r="P861" i="4" s="1"/>
  <c r="O862" i="4"/>
  <c r="P862" i="4" s="1"/>
  <c r="O859" i="4"/>
  <c r="P859" i="4" s="1"/>
  <c r="O1444" i="4"/>
  <c r="P1444" i="4" s="1"/>
  <c r="O860" i="4"/>
  <c r="P860" i="4" s="1"/>
  <c r="O858" i="4"/>
  <c r="P858" i="4" s="1"/>
  <c r="O856" i="4"/>
  <c r="P856" i="4" s="1"/>
  <c r="O857" i="4"/>
  <c r="P857" i="4" s="1"/>
  <c r="O1443" i="4"/>
  <c r="P1443" i="4" s="1"/>
  <c r="O1442" i="4"/>
  <c r="P1442" i="4" s="1"/>
  <c r="O855" i="4"/>
  <c r="P855" i="4" s="1"/>
  <c r="O1441" i="4"/>
  <c r="P1441" i="4" s="1"/>
  <c r="O854" i="4"/>
  <c r="P854" i="4" s="1"/>
  <c r="O853" i="4"/>
  <c r="P853" i="4" s="1"/>
  <c r="O238" i="4"/>
  <c r="P238" i="4" s="1"/>
  <c r="O852" i="4"/>
  <c r="P852" i="4" s="1"/>
  <c r="O851" i="4"/>
  <c r="P851" i="4" s="1"/>
  <c r="O850" i="4"/>
  <c r="P850" i="4" s="1"/>
  <c r="O237" i="4"/>
  <c r="P237" i="4" s="1"/>
  <c r="O849" i="4"/>
  <c r="P849" i="4" s="1"/>
  <c r="O848" i="4"/>
  <c r="P848" i="4" s="1"/>
  <c r="O846" i="4"/>
  <c r="P846" i="4" s="1"/>
  <c r="O847" i="4"/>
  <c r="P847" i="4" s="1"/>
  <c r="O845" i="4"/>
  <c r="P845" i="4" s="1"/>
  <c r="O844" i="4"/>
  <c r="P844" i="4" s="1"/>
  <c r="O843" i="4"/>
  <c r="P843" i="4" s="1"/>
  <c r="O842" i="4"/>
  <c r="P842" i="4" s="1"/>
  <c r="O841" i="4"/>
  <c r="P841" i="4" s="1"/>
  <c r="O840" i="4"/>
  <c r="P840" i="4" s="1"/>
  <c r="O839" i="4"/>
  <c r="P839" i="4" s="1"/>
  <c r="O1440" i="4"/>
  <c r="P1440" i="4" s="1"/>
  <c r="O838" i="4"/>
  <c r="P838" i="4" s="1"/>
  <c r="O1439" i="4"/>
  <c r="P1439" i="4" s="1"/>
  <c r="O837" i="4"/>
  <c r="P837" i="4" s="1"/>
  <c r="O836" i="4"/>
  <c r="P836" i="4" s="1"/>
  <c r="O835" i="4"/>
  <c r="P835" i="4" s="1"/>
  <c r="O834" i="4"/>
  <c r="P834" i="4" s="1"/>
  <c r="O833" i="4"/>
  <c r="P833" i="4" s="1"/>
  <c r="O832" i="4"/>
  <c r="P832" i="4" s="1"/>
  <c r="O830" i="4"/>
  <c r="P830" i="4" s="1"/>
  <c r="O831" i="4"/>
  <c r="P831" i="4" s="1"/>
  <c r="O829" i="4"/>
  <c r="P829" i="4" s="1"/>
  <c r="O828" i="4"/>
  <c r="P828" i="4" s="1"/>
  <c r="O827" i="4"/>
  <c r="P827" i="4" s="1"/>
  <c r="O826" i="4"/>
  <c r="P826" i="4" s="1"/>
  <c r="O1438" i="4"/>
  <c r="P1438" i="4" s="1"/>
  <c r="O236" i="4"/>
  <c r="P236" i="4" s="1"/>
  <c r="O1436" i="4"/>
  <c r="P1436" i="4" s="1"/>
  <c r="O825" i="4"/>
  <c r="P825" i="4" s="1"/>
  <c r="O1437" i="4"/>
  <c r="P1437" i="4" s="1"/>
  <c r="O824" i="4"/>
  <c r="P824" i="4" s="1"/>
  <c r="O823" i="4"/>
  <c r="P823" i="4" s="1"/>
  <c r="O822" i="4"/>
  <c r="P822" i="4" s="1"/>
  <c r="O1434" i="4"/>
  <c r="P1434" i="4" s="1"/>
  <c r="O1435" i="4"/>
  <c r="P1435" i="4" s="1"/>
  <c r="O821" i="4"/>
  <c r="P821" i="4" s="1"/>
  <c r="O819" i="4"/>
  <c r="P819" i="4" s="1"/>
  <c r="O820" i="4"/>
  <c r="P820" i="4" s="1"/>
  <c r="O817" i="4"/>
  <c r="P817" i="4" s="1"/>
  <c r="O818" i="4"/>
  <c r="P818" i="4" s="1"/>
  <c r="O1433" i="4"/>
  <c r="P1433" i="4" s="1"/>
  <c r="O816" i="4"/>
  <c r="P816" i="4" s="1"/>
  <c r="O1432" i="4"/>
  <c r="P1432" i="4" s="1"/>
  <c r="O815" i="4"/>
  <c r="P815" i="4" s="1"/>
  <c r="O813" i="4"/>
  <c r="P813" i="4" s="1"/>
  <c r="O814" i="4"/>
  <c r="P814" i="4" s="1"/>
  <c r="O1430" i="4"/>
  <c r="P1430" i="4" s="1"/>
  <c r="O1431" i="4"/>
  <c r="P1431" i="4" s="1"/>
  <c r="O812" i="4"/>
  <c r="P812" i="4" s="1"/>
  <c r="O1429" i="4"/>
  <c r="P1429" i="4" s="1"/>
  <c r="O1428" i="4"/>
  <c r="P1428" i="4" s="1"/>
  <c r="O811" i="4"/>
  <c r="P811" i="4" s="1"/>
  <c r="O1427" i="4"/>
  <c r="P1427" i="4" s="1"/>
  <c r="O809" i="4"/>
  <c r="P809" i="4" s="1"/>
  <c r="O810" i="4"/>
  <c r="P810" i="4" s="1"/>
  <c r="O808" i="4"/>
  <c r="P808" i="4" s="1"/>
  <c r="O806" i="4"/>
  <c r="P806" i="4" s="1"/>
  <c r="O807" i="4"/>
  <c r="P807" i="4" s="1"/>
  <c r="O1426" i="4"/>
  <c r="P1426" i="4" s="1"/>
  <c r="O805" i="4"/>
  <c r="P805" i="4" s="1"/>
  <c r="O804" i="4"/>
  <c r="P804" i="4" s="1"/>
  <c r="O803" i="4"/>
  <c r="P803" i="4" s="1"/>
  <c r="O802" i="4"/>
  <c r="P802" i="4" s="1"/>
  <c r="O801" i="4"/>
  <c r="P801" i="4" s="1"/>
  <c r="O800" i="4"/>
  <c r="P800" i="4" s="1"/>
  <c r="O799" i="4"/>
  <c r="P799" i="4" s="1"/>
  <c r="O798" i="4"/>
  <c r="P798" i="4" s="1"/>
  <c r="O797" i="4"/>
  <c r="P797" i="4" s="1"/>
  <c r="O796" i="4"/>
  <c r="P796" i="4" s="1"/>
  <c r="O795" i="4"/>
  <c r="P795" i="4" s="1"/>
  <c r="O1425" i="4"/>
  <c r="P1425" i="4" s="1"/>
  <c r="O794" i="4"/>
  <c r="P794" i="4" s="1"/>
  <c r="O5" i="4"/>
  <c r="P5" i="4" s="1"/>
  <c r="O235" i="4"/>
  <c r="P235" i="4" s="1"/>
  <c r="O793" i="4"/>
  <c r="P793" i="4" s="1"/>
  <c r="O1424" i="4"/>
  <c r="P1424" i="4" s="1"/>
  <c r="O792" i="4"/>
  <c r="P792" i="4" s="1"/>
  <c r="O791" i="4"/>
  <c r="P791" i="4" s="1"/>
  <c r="O1423" i="4"/>
  <c r="P1423" i="4" s="1"/>
  <c r="O790" i="4"/>
  <c r="P790" i="4" s="1"/>
  <c r="O789" i="4"/>
  <c r="P789" i="4" s="1"/>
  <c r="O1422" i="4"/>
  <c r="P1422" i="4" s="1"/>
  <c r="O1420" i="4"/>
  <c r="P1420" i="4" s="1"/>
  <c r="O1421" i="4"/>
  <c r="P1421" i="4" s="1"/>
  <c r="O1419" i="4"/>
  <c r="P1419" i="4" s="1"/>
  <c r="O1418" i="4"/>
  <c r="P1418" i="4" s="1"/>
  <c r="O1417" i="4"/>
  <c r="P1417" i="4" s="1"/>
  <c r="O1416" i="4"/>
  <c r="P1416" i="4" s="1"/>
  <c r="O1415" i="4"/>
  <c r="P1415" i="4" s="1"/>
  <c r="O1414" i="4"/>
  <c r="P1414" i="4" s="1"/>
  <c r="O788" i="4"/>
  <c r="P788" i="4" s="1"/>
  <c r="O787" i="4"/>
  <c r="P787" i="4" s="1"/>
  <c r="O1413" i="4"/>
  <c r="P1413" i="4" s="1"/>
  <c r="O786" i="4"/>
  <c r="P786" i="4" s="1"/>
  <c r="O785" i="4"/>
  <c r="P785" i="4" s="1"/>
  <c r="O784" i="4"/>
  <c r="P784" i="4" s="1"/>
  <c r="O783" i="4"/>
  <c r="P783" i="4" s="1"/>
  <c r="O781" i="4"/>
  <c r="P781" i="4" s="1"/>
  <c r="O782" i="4"/>
  <c r="P782" i="4" s="1"/>
  <c r="O1411" i="4"/>
  <c r="P1411" i="4" s="1"/>
  <c r="O1412" i="4"/>
  <c r="P1412" i="4" s="1"/>
  <c r="O780" i="4"/>
  <c r="P780" i="4" s="1"/>
  <c r="O779" i="4"/>
  <c r="P779" i="4" s="1"/>
  <c r="O1410" i="4"/>
  <c r="P1410" i="4" s="1"/>
  <c r="O778" i="4"/>
  <c r="P778" i="4" s="1"/>
  <c r="O777" i="4"/>
  <c r="P777" i="4" s="1"/>
  <c r="O776" i="4"/>
  <c r="P776" i="4" s="1"/>
  <c r="O774" i="4"/>
  <c r="P774" i="4" s="1"/>
  <c r="O775" i="4"/>
  <c r="P775" i="4" s="1"/>
  <c r="O234" i="4"/>
  <c r="P234" i="4" s="1"/>
  <c r="O773" i="4"/>
  <c r="P773" i="4" s="1"/>
  <c r="O772" i="4"/>
  <c r="P772" i="4" s="1"/>
  <c r="O771" i="4"/>
  <c r="P771" i="4" s="1"/>
  <c r="O770" i="4"/>
  <c r="P770" i="4" s="1"/>
  <c r="O769" i="4"/>
  <c r="P769" i="4" s="1"/>
  <c r="O768" i="4"/>
  <c r="P768" i="4" s="1"/>
  <c r="O767" i="4"/>
  <c r="P767" i="4" s="1"/>
  <c r="O766" i="4"/>
  <c r="P766" i="4" s="1"/>
  <c r="O1409" i="4"/>
  <c r="P1409" i="4" s="1"/>
  <c r="O233" i="4"/>
  <c r="P233" i="4" s="1"/>
  <c r="O765" i="4"/>
  <c r="P765" i="4" s="1"/>
  <c r="O764" i="4"/>
  <c r="P764" i="4" s="1"/>
  <c r="O1408" i="4"/>
  <c r="P1408" i="4" s="1"/>
  <c r="O763" i="4"/>
  <c r="P763" i="4" s="1"/>
  <c r="O762" i="4"/>
  <c r="P762" i="4" s="1"/>
  <c r="O761" i="4"/>
  <c r="P761" i="4" s="1"/>
  <c r="O760" i="4"/>
  <c r="P760" i="4" s="1"/>
  <c r="O759" i="4"/>
  <c r="P759" i="4" s="1"/>
  <c r="O758" i="4"/>
  <c r="P758" i="4" s="1"/>
  <c r="O757" i="4"/>
  <c r="P757" i="4" s="1"/>
  <c r="O1407" i="4"/>
  <c r="P1407" i="4" s="1"/>
  <c r="O1406" i="4"/>
  <c r="P1406" i="4" s="1"/>
  <c r="O1405" i="4"/>
  <c r="P1405" i="4" s="1"/>
  <c r="O1404" i="4"/>
  <c r="P1404" i="4" s="1"/>
  <c r="O1403" i="4"/>
  <c r="P1403" i="4" s="1"/>
  <c r="O1401" i="4"/>
  <c r="P1401" i="4" s="1"/>
  <c r="O1402" i="4"/>
  <c r="P1402" i="4" s="1"/>
  <c r="O1399" i="4"/>
  <c r="P1399" i="4" s="1"/>
  <c r="O1400" i="4"/>
  <c r="P1400" i="4" s="1"/>
  <c r="O1398" i="4"/>
  <c r="P1398" i="4" s="1"/>
  <c r="O755" i="4"/>
  <c r="P755" i="4" s="1"/>
  <c r="O756" i="4"/>
  <c r="P756" i="4" s="1"/>
  <c r="O1397" i="4"/>
  <c r="P1397" i="4" s="1"/>
  <c r="O754" i="4"/>
  <c r="P754" i="4" s="1"/>
  <c r="O753" i="4"/>
  <c r="P753" i="4" s="1"/>
  <c r="O752" i="4"/>
  <c r="P752" i="4" s="1"/>
  <c r="O751" i="4"/>
  <c r="P751" i="4" s="1"/>
  <c r="O1396" i="4"/>
  <c r="P1396" i="4" s="1"/>
  <c r="O1395" i="4"/>
  <c r="P1395" i="4" s="1"/>
  <c r="O1394" i="4"/>
  <c r="P1394" i="4" s="1"/>
  <c r="O1392" i="4"/>
  <c r="P1392" i="4" s="1"/>
  <c r="O1393" i="4"/>
  <c r="P1393" i="4" s="1"/>
  <c r="O1391" i="4"/>
  <c r="P1391" i="4" s="1"/>
  <c r="O1390" i="4"/>
  <c r="P1390" i="4" s="1"/>
  <c r="O1389" i="4"/>
  <c r="P1389" i="4" s="1"/>
  <c r="O749" i="4"/>
  <c r="P749" i="4" s="1"/>
  <c r="O750" i="4"/>
  <c r="P750" i="4" s="1"/>
  <c r="O232" i="4"/>
  <c r="P232" i="4" s="1"/>
  <c r="O1388" i="4"/>
  <c r="P1388" i="4" s="1"/>
  <c r="O1386" i="4"/>
  <c r="P1386" i="4" s="1"/>
  <c r="O1387" i="4"/>
  <c r="P1387" i="4" s="1"/>
  <c r="O1385" i="4"/>
  <c r="P1385" i="4" s="1"/>
  <c r="O1384" i="4"/>
  <c r="P1384" i="4" s="1"/>
  <c r="O1383" i="4"/>
  <c r="P1383" i="4" s="1"/>
  <c r="O1382" i="4"/>
  <c r="P1382" i="4" s="1"/>
  <c r="O1381" i="4"/>
  <c r="P1381" i="4" s="1"/>
  <c r="O1380" i="4"/>
  <c r="P1380" i="4" s="1"/>
  <c r="O1378" i="4"/>
  <c r="P1378" i="4" s="1"/>
  <c r="O1379" i="4"/>
  <c r="P1379" i="4" s="1"/>
  <c r="O748" i="4"/>
  <c r="P748" i="4" s="1"/>
  <c r="O747" i="4"/>
  <c r="P747" i="4" s="1"/>
  <c r="O231" i="4"/>
  <c r="P231" i="4" s="1"/>
  <c r="O746" i="4"/>
  <c r="P746" i="4" s="1"/>
  <c r="O745" i="4"/>
  <c r="P745" i="4" s="1"/>
  <c r="O743" i="4"/>
  <c r="P743" i="4" s="1"/>
  <c r="O744" i="4"/>
  <c r="P744" i="4" s="1"/>
  <c r="O742" i="4"/>
  <c r="P742" i="4" s="1"/>
  <c r="O6" i="4"/>
  <c r="P6" i="4" s="1"/>
  <c r="O741" i="4"/>
  <c r="P741" i="4" s="1"/>
  <c r="O1377" i="4"/>
  <c r="P1377" i="4" s="1"/>
  <c r="O740" i="4"/>
  <c r="P740" i="4" s="1"/>
  <c r="O1376" i="4"/>
  <c r="P1376" i="4" s="1"/>
  <c r="O738" i="4"/>
  <c r="P738" i="4" s="1"/>
  <c r="O739" i="4"/>
  <c r="P739" i="4" s="1"/>
  <c r="O737" i="4"/>
  <c r="P737" i="4" s="1"/>
  <c r="O736" i="4"/>
  <c r="P736" i="4" s="1"/>
  <c r="O1375" i="4"/>
  <c r="P1375" i="4" s="1"/>
  <c r="O734" i="4"/>
  <c r="P734" i="4" s="1"/>
  <c r="O735" i="4"/>
  <c r="P735" i="4" s="1"/>
  <c r="O1374" i="4"/>
  <c r="P1374" i="4" s="1"/>
  <c r="O732" i="4"/>
  <c r="P732" i="4" s="1"/>
  <c r="O733" i="4"/>
  <c r="P733" i="4" s="1"/>
  <c r="O730" i="4"/>
  <c r="P730" i="4" s="1"/>
  <c r="O731" i="4"/>
  <c r="P731" i="4" s="1"/>
  <c r="O1373" i="4"/>
  <c r="P1373" i="4" s="1"/>
  <c r="O1371" i="4"/>
  <c r="P1371" i="4" s="1"/>
  <c r="O1372" i="4"/>
  <c r="P1372" i="4" s="1"/>
  <c r="O1370" i="4"/>
  <c r="P1370" i="4" s="1"/>
  <c r="O1369" i="4"/>
  <c r="P1369" i="4" s="1"/>
  <c r="O1368" i="4"/>
  <c r="P1368" i="4" s="1"/>
  <c r="O1367" i="4"/>
  <c r="P1367" i="4" s="1"/>
  <c r="O1366" i="4"/>
  <c r="P1366" i="4" s="1"/>
  <c r="O729" i="4"/>
  <c r="P729" i="4" s="1"/>
  <c r="O728" i="4"/>
  <c r="P728" i="4" s="1"/>
  <c r="O727" i="4"/>
  <c r="P727" i="4" s="1"/>
  <c r="O726" i="4"/>
  <c r="P726" i="4" s="1"/>
  <c r="O725" i="4"/>
  <c r="P725" i="4" s="1"/>
  <c r="O724" i="4"/>
  <c r="P724" i="4" s="1"/>
  <c r="O723" i="4"/>
  <c r="P723" i="4" s="1"/>
  <c r="O722" i="4"/>
  <c r="P722" i="4" s="1"/>
  <c r="O1365" i="4"/>
  <c r="P1365" i="4" s="1"/>
  <c r="O1364" i="4"/>
  <c r="P1364" i="4" s="1"/>
  <c r="O1363" i="4"/>
  <c r="P1363" i="4" s="1"/>
  <c r="O1362" i="4"/>
  <c r="P1362" i="4" s="1"/>
  <c r="O1361" i="4"/>
  <c r="P1361" i="4" s="1"/>
  <c r="O721" i="4"/>
  <c r="P721" i="4" s="1"/>
  <c r="O1359" i="4"/>
  <c r="P1359" i="4" s="1"/>
  <c r="O1360" i="4"/>
  <c r="P1360" i="4" s="1"/>
  <c r="O1358" i="4"/>
  <c r="P1358" i="4" s="1"/>
  <c r="O720" i="4"/>
  <c r="P720" i="4" s="1"/>
  <c r="O230" i="4"/>
  <c r="P230" i="4" s="1"/>
  <c r="O718" i="4"/>
  <c r="P718" i="4" s="1"/>
  <c r="O719" i="4"/>
  <c r="P719" i="4" s="1"/>
  <c r="O1357" i="4"/>
  <c r="P1357" i="4" s="1"/>
  <c r="O1356" i="4"/>
  <c r="P1356" i="4" s="1"/>
  <c r="O1355" i="4"/>
  <c r="P1355" i="4" s="1"/>
  <c r="O1354" i="4"/>
  <c r="P1354" i="4" s="1"/>
  <c r="O1353" i="4"/>
  <c r="P1353" i="4" s="1"/>
  <c r="O1352" i="4"/>
  <c r="P1352" i="4" s="1"/>
  <c r="O1351" i="4"/>
  <c r="P1351" i="4" s="1"/>
  <c r="O1349" i="4"/>
  <c r="P1349" i="4" s="1"/>
  <c r="O1350" i="4"/>
  <c r="P1350" i="4" s="1"/>
  <c r="O1347" i="4"/>
  <c r="P1347" i="4" s="1"/>
  <c r="O1348" i="4"/>
  <c r="P1348" i="4" s="1"/>
  <c r="O229" i="4"/>
  <c r="P229" i="4" s="1"/>
  <c r="O717" i="4"/>
  <c r="P717" i="4" s="1"/>
  <c r="O1346" i="4"/>
  <c r="P1346" i="4" s="1"/>
  <c r="O716" i="4"/>
  <c r="P716" i="4" s="1"/>
  <c r="O715" i="4"/>
  <c r="P715" i="4" s="1"/>
  <c r="O714" i="4"/>
  <c r="P714" i="4" s="1"/>
  <c r="O713" i="4"/>
  <c r="P713" i="4" s="1"/>
  <c r="O712" i="4"/>
  <c r="P712" i="4" s="1"/>
  <c r="O711" i="4"/>
  <c r="P711" i="4" s="1"/>
  <c r="O1345" i="4"/>
  <c r="P1345" i="4" s="1"/>
  <c r="O710" i="4"/>
  <c r="P710" i="4" s="1"/>
  <c r="O709" i="4"/>
  <c r="P709" i="4" s="1"/>
  <c r="O708" i="4"/>
  <c r="P708" i="4" s="1"/>
  <c r="O707" i="4"/>
  <c r="P707" i="4" s="1"/>
  <c r="O706" i="4"/>
  <c r="P706" i="4" s="1"/>
  <c r="O228" i="4"/>
  <c r="P228" i="4" s="1"/>
  <c r="O227" i="4"/>
  <c r="P227" i="4" s="1"/>
  <c r="O226" i="4"/>
  <c r="P226" i="4" s="1"/>
  <c r="O224" i="4"/>
  <c r="P224" i="4" s="1"/>
  <c r="O225" i="4"/>
  <c r="P225" i="4" s="1"/>
  <c r="O705" i="4"/>
  <c r="P705" i="4" s="1"/>
  <c r="O1344" i="4"/>
  <c r="P1344" i="4" s="1"/>
  <c r="O704" i="4"/>
  <c r="P704" i="4" s="1"/>
  <c r="O223" i="4"/>
  <c r="P223" i="4" s="1"/>
  <c r="O703" i="4"/>
  <c r="P703" i="4" s="1"/>
  <c r="O1343" i="4"/>
  <c r="P1343" i="4" s="1"/>
  <c r="O702" i="4"/>
  <c r="P702" i="4" s="1"/>
  <c r="O701" i="4"/>
  <c r="P701" i="4" s="1"/>
  <c r="O700" i="4"/>
  <c r="P700" i="4" s="1"/>
  <c r="O1342" i="4"/>
  <c r="P1342" i="4" s="1"/>
  <c r="O699" i="4"/>
  <c r="P699" i="4" s="1"/>
  <c r="O698" i="4"/>
  <c r="P698" i="4" s="1"/>
  <c r="O1341" i="4"/>
  <c r="P1341" i="4" s="1"/>
  <c r="O1340" i="4"/>
  <c r="P1340" i="4" s="1"/>
  <c r="O697" i="4"/>
  <c r="P697" i="4" s="1"/>
  <c r="O1339" i="4"/>
  <c r="P1339" i="4" s="1"/>
  <c r="O1337" i="4"/>
  <c r="P1337" i="4" s="1"/>
  <c r="O1338" i="4"/>
  <c r="P1338" i="4" s="1"/>
  <c r="O1336" i="4"/>
  <c r="P1336" i="4" s="1"/>
  <c r="O696" i="4"/>
  <c r="P696" i="4" s="1"/>
  <c r="O1335" i="4"/>
  <c r="P1335" i="4" s="1"/>
  <c r="O695" i="4"/>
  <c r="P695" i="4" s="1"/>
  <c r="O1334" i="4"/>
  <c r="P1334" i="4" s="1"/>
  <c r="O694" i="4"/>
  <c r="P694" i="4" s="1"/>
  <c r="O1331" i="4"/>
  <c r="P1331" i="4" s="1"/>
  <c r="O1332" i="4"/>
  <c r="P1332" i="4" s="1"/>
  <c r="O1333" i="4"/>
  <c r="P1333" i="4" s="1"/>
  <c r="O1329" i="4"/>
  <c r="P1329" i="4" s="1"/>
  <c r="O1330" i="4"/>
  <c r="P1330" i="4" s="1"/>
  <c r="O1328" i="4"/>
  <c r="P1328" i="4" s="1"/>
  <c r="O1327" i="4"/>
  <c r="P1327" i="4" s="1"/>
  <c r="O1326" i="4"/>
  <c r="P1326" i="4" s="1"/>
  <c r="O1325" i="4"/>
  <c r="P1325" i="4" s="1"/>
  <c r="O1324" i="4"/>
  <c r="P1324" i="4" s="1"/>
  <c r="O1323" i="4"/>
  <c r="P1323" i="4" s="1"/>
  <c r="O693" i="4"/>
  <c r="P693" i="4" s="1"/>
  <c r="O692" i="4"/>
  <c r="P692" i="4" s="1"/>
  <c r="O691" i="4"/>
  <c r="P691" i="4" s="1"/>
  <c r="O1322" i="4"/>
  <c r="P1322" i="4" s="1"/>
  <c r="O690" i="4"/>
  <c r="P690" i="4" s="1"/>
  <c r="O689" i="4"/>
  <c r="P689" i="4" s="1"/>
  <c r="O687" i="4"/>
  <c r="P687" i="4" s="1"/>
  <c r="O688" i="4"/>
  <c r="P688" i="4" s="1"/>
  <c r="O1321" i="4"/>
  <c r="P1321" i="4" s="1"/>
  <c r="O686" i="4"/>
  <c r="P686" i="4" s="1"/>
  <c r="O685" i="4"/>
  <c r="P685" i="4" s="1"/>
  <c r="O684" i="4"/>
  <c r="P684" i="4" s="1"/>
  <c r="O1320" i="4"/>
  <c r="P1320" i="4" s="1"/>
  <c r="O682" i="4"/>
  <c r="P682" i="4" s="1"/>
  <c r="O683" i="4"/>
  <c r="P683" i="4" s="1"/>
  <c r="O681" i="4"/>
  <c r="P681" i="4" s="1"/>
  <c r="O680" i="4"/>
  <c r="P680" i="4" s="1"/>
  <c r="O679" i="4"/>
  <c r="P679" i="4" s="1"/>
  <c r="O677" i="4"/>
  <c r="P677" i="4" s="1"/>
  <c r="O678" i="4"/>
  <c r="P678" i="4" s="1"/>
  <c r="O674" i="4"/>
  <c r="P674" i="4" s="1"/>
  <c r="O675" i="4"/>
  <c r="P675" i="4" s="1"/>
  <c r="O676" i="4"/>
  <c r="P676" i="4" s="1"/>
  <c r="O673" i="4"/>
  <c r="P673" i="4" s="1"/>
  <c r="O672" i="4"/>
  <c r="P672" i="4" s="1"/>
  <c r="O670" i="4"/>
  <c r="P670" i="4" s="1"/>
  <c r="O671" i="4"/>
  <c r="P671" i="4" s="1"/>
  <c r="O669" i="4"/>
  <c r="P669" i="4" s="1"/>
  <c r="O1319" i="4"/>
  <c r="P1319" i="4" s="1"/>
  <c r="O1318" i="4"/>
  <c r="P1318" i="4" s="1"/>
  <c r="O668" i="4"/>
  <c r="P668" i="4" s="1"/>
  <c r="O667" i="4"/>
  <c r="P667" i="4" s="1"/>
  <c r="O666" i="4"/>
  <c r="P666" i="4" s="1"/>
  <c r="O664" i="4"/>
  <c r="P664" i="4" s="1"/>
  <c r="O665" i="4"/>
  <c r="P665" i="4" s="1"/>
  <c r="O663" i="4"/>
  <c r="P663" i="4" s="1"/>
  <c r="O1317" i="4"/>
  <c r="P1317" i="4" s="1"/>
  <c r="O1316" i="4"/>
  <c r="P1316" i="4" s="1"/>
  <c r="O1314" i="4"/>
  <c r="P1314" i="4" s="1"/>
  <c r="O1315" i="4"/>
  <c r="P1315" i="4" s="1"/>
  <c r="O662" i="4"/>
  <c r="P662" i="4" s="1"/>
  <c r="O1311" i="4"/>
  <c r="P1311" i="4" s="1"/>
  <c r="O1312" i="4"/>
  <c r="P1312" i="4" s="1"/>
  <c r="O1313" i="4"/>
  <c r="P1313" i="4" s="1"/>
  <c r="O1309" i="4"/>
  <c r="P1309" i="4" s="1"/>
  <c r="O1310" i="4"/>
  <c r="P1310" i="4" s="1"/>
  <c r="O1308" i="4"/>
  <c r="P1308" i="4" s="1"/>
  <c r="O1307" i="4"/>
  <c r="P1307" i="4" s="1"/>
  <c r="O1305" i="4"/>
  <c r="P1305" i="4" s="1"/>
  <c r="O1306" i="4"/>
  <c r="P1306" i="4" s="1"/>
  <c r="O1304" i="4"/>
  <c r="P1304" i="4" s="1"/>
  <c r="O3" i="4"/>
  <c r="P3" i="4" s="1"/>
  <c r="O222" i="4"/>
  <c r="P222" i="4" s="1"/>
  <c r="O660" i="4"/>
  <c r="P660" i="4" s="1"/>
  <c r="O661" i="4"/>
  <c r="P661" i="4" s="1"/>
  <c r="O659" i="4"/>
  <c r="P659" i="4" s="1"/>
  <c r="O658" i="4"/>
  <c r="P658" i="4" s="1"/>
  <c r="O656" i="4"/>
  <c r="P656" i="4" s="1"/>
  <c r="O657" i="4"/>
  <c r="P657" i="4" s="1"/>
  <c r="O1303" i="4"/>
  <c r="P1303" i="4" s="1"/>
  <c r="O654" i="4"/>
  <c r="P654" i="4" s="1"/>
  <c r="O655" i="4"/>
  <c r="P655" i="4" s="1"/>
  <c r="O221" i="4"/>
  <c r="P221" i="4" s="1"/>
  <c r="O653" i="4"/>
  <c r="P653" i="4" s="1"/>
  <c r="O220" i="4"/>
  <c r="P220" i="4" s="1"/>
  <c r="O652" i="4"/>
  <c r="P652" i="4" s="1"/>
  <c r="O651" i="4"/>
  <c r="P651" i="4" s="1"/>
  <c r="O1302" i="4"/>
  <c r="P1302" i="4" s="1"/>
  <c r="O650" i="4"/>
  <c r="P650" i="4" s="1"/>
  <c r="O2" i="4"/>
  <c r="P2" i="4" s="1"/>
  <c r="O649" i="4"/>
  <c r="P649" i="4" s="1"/>
  <c r="O1301" i="4"/>
  <c r="P1301" i="4" s="1"/>
  <c r="O648" i="4"/>
  <c r="P648" i="4" s="1"/>
  <c r="O647" i="4"/>
  <c r="P647" i="4" s="1"/>
  <c r="O1300" i="4"/>
  <c r="P1300" i="4" s="1"/>
  <c r="O1298" i="4"/>
  <c r="P1298" i="4" s="1"/>
  <c r="O1299" i="4"/>
  <c r="P1299" i="4" s="1"/>
  <c r="O1297" i="4"/>
  <c r="P1297" i="4" s="1"/>
  <c r="O1296" i="4"/>
  <c r="P1296" i="4" s="1"/>
  <c r="O646" i="4"/>
  <c r="P646" i="4" s="1"/>
  <c r="O644" i="4"/>
  <c r="P644" i="4" s="1"/>
  <c r="O645" i="4"/>
  <c r="P645" i="4" s="1"/>
  <c r="O643" i="4"/>
  <c r="P643" i="4" s="1"/>
  <c r="O641" i="4"/>
  <c r="P641" i="4" s="1"/>
  <c r="O642" i="4"/>
  <c r="P642" i="4" s="1"/>
  <c r="O640" i="4"/>
  <c r="P640" i="4" s="1"/>
  <c r="O1295" i="4"/>
  <c r="P1295" i="4" s="1"/>
  <c r="O1294" i="4"/>
  <c r="P1294" i="4" s="1"/>
  <c r="O185" i="4"/>
  <c r="P185" i="4" s="1"/>
  <c r="O639" i="4"/>
  <c r="P639" i="4" s="1"/>
  <c r="O638" i="4"/>
  <c r="P638" i="4" s="1"/>
  <c r="O1293" i="4"/>
  <c r="P1293" i="4" s="1"/>
  <c r="O1292" i="4"/>
  <c r="P1292" i="4" s="1"/>
  <c r="O1290" i="4"/>
  <c r="P1290" i="4" s="1"/>
  <c r="O1291" i="4"/>
  <c r="P1291" i="4" s="1"/>
  <c r="O1289" i="4"/>
  <c r="P1289" i="4" s="1"/>
  <c r="O1288" i="4"/>
  <c r="P1288" i="4" s="1"/>
  <c r="O219" i="4"/>
  <c r="P219" i="4" s="1"/>
  <c r="O1287" i="4"/>
  <c r="P1287" i="4" s="1"/>
  <c r="O1286" i="4"/>
  <c r="P1286" i="4" s="1"/>
  <c r="O637" i="4"/>
  <c r="P637" i="4" s="1"/>
  <c r="O1285" i="4"/>
  <c r="P1285" i="4" s="1"/>
  <c r="O1284" i="4"/>
  <c r="P1284" i="4" s="1"/>
  <c r="O1283" i="4"/>
  <c r="P1283" i="4" s="1"/>
  <c r="O1282" i="4"/>
  <c r="P1282" i="4" s="1"/>
  <c r="O218" i="4"/>
  <c r="P218" i="4" s="1"/>
  <c r="O1281" i="4"/>
  <c r="P1281" i="4" s="1"/>
  <c r="O217" i="4"/>
  <c r="P217" i="4" s="1"/>
  <c r="O636" i="4"/>
  <c r="P636" i="4" s="1"/>
  <c r="O635" i="4"/>
  <c r="P635" i="4" s="1"/>
  <c r="O634" i="4"/>
  <c r="P634" i="4" s="1"/>
  <c r="O633" i="4"/>
  <c r="P633" i="4" s="1"/>
  <c r="O1279" i="4"/>
  <c r="P1279" i="4" s="1"/>
  <c r="O1280" i="4"/>
  <c r="P1280" i="4" s="1"/>
  <c r="O1278" i="4"/>
  <c r="P1278" i="4" s="1"/>
  <c r="O1277" i="4"/>
  <c r="P1277" i="4" s="1"/>
  <c r="O1276" i="4"/>
  <c r="P1276" i="4" s="1"/>
  <c r="O632" i="4"/>
  <c r="P632" i="4" s="1"/>
  <c r="O631" i="4"/>
  <c r="P631" i="4" s="1"/>
  <c r="O629" i="4"/>
  <c r="P629" i="4" s="1"/>
  <c r="O216" i="4"/>
  <c r="P216" i="4" s="1"/>
  <c r="O630" i="4"/>
  <c r="P630" i="4" s="1"/>
  <c r="O215" i="4"/>
  <c r="P215" i="4" s="1"/>
  <c r="O1275" i="4"/>
  <c r="P1275" i="4" s="1"/>
  <c r="O214" i="4"/>
  <c r="P214" i="4" s="1"/>
  <c r="O628" i="4"/>
  <c r="P628" i="4" s="1"/>
  <c r="O627" i="4"/>
  <c r="P627" i="4" s="1"/>
  <c r="O1274" i="4"/>
  <c r="P1274" i="4" s="1"/>
  <c r="O213" i="4"/>
  <c r="P213" i="4" s="1"/>
  <c r="O626" i="4"/>
  <c r="P626" i="4" s="1"/>
  <c r="O1273" i="4"/>
  <c r="P1273" i="4" s="1"/>
  <c r="O625" i="4"/>
  <c r="P625" i="4" s="1"/>
  <c r="O624" i="4"/>
  <c r="P624" i="4" s="1"/>
  <c r="O623" i="4"/>
  <c r="P623" i="4" s="1"/>
  <c r="O1272" i="4"/>
  <c r="P1272" i="4" s="1"/>
  <c r="O1271" i="4"/>
  <c r="P1271" i="4" s="1"/>
  <c r="O622" i="4"/>
  <c r="P622" i="4" s="1"/>
  <c r="O621" i="4"/>
  <c r="P621" i="4" s="1"/>
  <c r="O620" i="4"/>
  <c r="P620" i="4" s="1"/>
  <c r="O619" i="4"/>
  <c r="P619" i="4" s="1"/>
  <c r="O1270" i="4"/>
  <c r="P1270" i="4" s="1"/>
  <c r="O618" i="4"/>
  <c r="P618" i="4" s="1"/>
  <c r="O212" i="4"/>
  <c r="P212" i="4" s="1"/>
  <c r="O617" i="4"/>
  <c r="P617" i="4" s="1"/>
  <c r="O1269" i="4"/>
  <c r="P1269" i="4" s="1"/>
  <c r="O616" i="4"/>
  <c r="P616" i="4" s="1"/>
  <c r="O1268" i="4"/>
  <c r="P1268" i="4" s="1"/>
  <c r="O31" i="4"/>
  <c r="P31" i="4" s="1"/>
  <c r="O615" i="4"/>
  <c r="P615" i="4" s="1"/>
  <c r="O1267" i="4"/>
  <c r="P1267" i="4" s="1"/>
  <c r="O17" i="4"/>
  <c r="P17" i="4" s="1"/>
  <c r="O614" i="4"/>
  <c r="P614" i="4" s="1"/>
  <c r="O613" i="4"/>
  <c r="P613" i="4" s="1"/>
  <c r="O1266" i="4"/>
  <c r="P1266" i="4" s="1"/>
  <c r="O610" i="4"/>
  <c r="P610" i="4" s="1"/>
  <c r="O611" i="4"/>
  <c r="P611" i="4" s="1"/>
  <c r="O612" i="4"/>
  <c r="P612" i="4" s="1"/>
  <c r="O1264" i="4"/>
  <c r="P1264" i="4" s="1"/>
  <c r="O1265" i="4"/>
  <c r="P1265" i="4" s="1"/>
  <c r="O1263" i="4"/>
  <c r="P1263" i="4" s="1"/>
  <c r="O1262" i="4"/>
  <c r="P1262" i="4" s="1"/>
  <c r="O1261" i="4"/>
  <c r="P1261" i="4" s="1"/>
  <c r="O1259" i="4"/>
  <c r="P1259" i="4" s="1"/>
  <c r="O1260" i="4"/>
  <c r="P1260" i="4" s="1"/>
  <c r="O1258" i="4"/>
  <c r="P1258" i="4" s="1"/>
  <c r="O609" i="4"/>
  <c r="P609" i="4" s="1"/>
  <c r="O608" i="4"/>
  <c r="P608" i="4" s="1"/>
  <c r="O607" i="4"/>
  <c r="P607" i="4" s="1"/>
  <c r="O606" i="4"/>
  <c r="P606" i="4" s="1"/>
  <c r="O605" i="4"/>
  <c r="P605" i="4" s="1"/>
  <c r="O1257" i="4"/>
  <c r="P1257" i="4" s="1"/>
  <c r="O1256" i="4"/>
  <c r="P1256" i="4" s="1"/>
  <c r="O1254" i="4"/>
  <c r="P1254" i="4" s="1"/>
  <c r="O1255" i="4"/>
  <c r="P1255" i="4" s="1"/>
  <c r="O211" i="4"/>
  <c r="P211" i="4" s="1"/>
  <c r="O604" i="4"/>
  <c r="P604" i="4" s="1"/>
  <c r="O1253" i="4"/>
  <c r="P1253" i="4" s="1"/>
  <c r="O1251" i="4"/>
  <c r="P1251" i="4" s="1"/>
  <c r="O1252" i="4"/>
  <c r="P1252" i="4" s="1"/>
  <c r="O1249" i="4"/>
  <c r="P1249" i="4" s="1"/>
  <c r="O1250" i="4"/>
  <c r="P1250" i="4" s="1"/>
  <c r="O1248" i="4"/>
  <c r="P1248" i="4" s="1"/>
  <c r="O1247" i="4"/>
  <c r="P1247" i="4" s="1"/>
  <c r="O1246" i="4"/>
  <c r="P1246" i="4" s="1"/>
  <c r="O603" i="4"/>
  <c r="P603" i="4" s="1"/>
  <c r="O602" i="4"/>
  <c r="P602" i="4" s="1"/>
  <c r="O1244" i="4"/>
  <c r="P1244" i="4" s="1"/>
  <c r="O1245" i="4"/>
  <c r="P1245" i="4" s="1"/>
  <c r="O601" i="4"/>
  <c r="P601" i="4" s="1"/>
  <c r="O1243" i="4"/>
  <c r="P1243" i="4" s="1"/>
  <c r="O600" i="4"/>
  <c r="P600" i="4" s="1"/>
  <c r="O190" i="4"/>
  <c r="P190" i="4" s="1"/>
  <c r="O45" i="4"/>
  <c r="P45" i="4" s="1"/>
  <c r="O86" i="4"/>
  <c r="P86" i="4" s="1"/>
  <c r="O599" i="4"/>
  <c r="P599" i="4" s="1"/>
  <c r="O597" i="4"/>
  <c r="P597" i="4" s="1"/>
  <c r="O598" i="4"/>
  <c r="P598" i="4" s="1"/>
  <c r="O1241" i="4"/>
  <c r="P1241" i="4" s="1"/>
  <c r="O1242" i="4"/>
  <c r="P1242" i="4" s="1"/>
  <c r="O1238" i="4"/>
  <c r="P1238" i="4" s="1"/>
  <c r="O1239" i="4"/>
  <c r="P1239" i="4" s="1"/>
  <c r="O1240" i="4"/>
  <c r="P1240" i="4" s="1"/>
  <c r="O1237" i="4"/>
  <c r="P1237" i="4" s="1"/>
  <c r="O1236" i="4"/>
  <c r="P1236" i="4" s="1"/>
  <c r="O1235" i="4"/>
  <c r="P1235" i="4" s="1"/>
  <c r="O1232" i="4"/>
  <c r="P1232" i="4" s="1"/>
  <c r="O1233" i="4"/>
  <c r="P1233" i="4" s="1"/>
  <c r="O1234" i="4"/>
  <c r="P1234" i="4" s="1"/>
  <c r="O1229" i="4"/>
  <c r="P1229" i="4" s="1"/>
  <c r="O1230" i="4"/>
  <c r="P1230" i="4" s="1"/>
  <c r="O1231" i="4"/>
  <c r="P1231" i="4" s="1"/>
  <c r="O1226" i="4"/>
  <c r="P1226" i="4" s="1"/>
  <c r="O1227" i="4"/>
  <c r="P1227" i="4" s="1"/>
  <c r="O1228" i="4"/>
  <c r="P1228" i="4" s="1"/>
  <c r="O1225" i="4"/>
  <c r="P1225" i="4" s="1"/>
  <c r="O165" i="4"/>
  <c r="P165" i="4" s="1"/>
  <c r="O139" i="4"/>
  <c r="P139" i="4" s="1"/>
  <c r="O128" i="4"/>
  <c r="P128" i="4" s="1"/>
  <c r="O155" i="4"/>
  <c r="P155" i="4" s="1"/>
  <c r="O138" i="4"/>
  <c r="P138" i="4" s="1"/>
  <c r="O41" i="4"/>
  <c r="P41" i="4" s="1"/>
  <c r="O100" i="4"/>
  <c r="P100" i="4" s="1"/>
  <c r="O114" i="4"/>
  <c r="P114" i="4" s="1"/>
  <c r="O76" i="4"/>
  <c r="P76" i="4" s="1"/>
  <c r="O113" i="4"/>
  <c r="P113" i="4" s="1"/>
  <c r="O143" i="4"/>
  <c r="P143" i="4" s="1"/>
  <c r="O65" i="4"/>
  <c r="P65" i="4" s="1"/>
  <c r="O169" i="4"/>
  <c r="P169" i="4" s="1"/>
  <c r="O1224" i="4"/>
  <c r="P1224" i="4" s="1"/>
  <c r="O595" i="4"/>
  <c r="P595" i="4" s="1"/>
  <c r="O596" i="4"/>
  <c r="P596" i="4" s="1"/>
  <c r="O593" i="4"/>
  <c r="P593" i="4" s="1"/>
  <c r="O594" i="4"/>
  <c r="P594" i="4" s="1"/>
  <c r="O592" i="4"/>
  <c r="P592" i="4" s="1"/>
  <c r="O590" i="4"/>
  <c r="P590" i="4" s="1"/>
  <c r="O591" i="4"/>
  <c r="P591" i="4" s="1"/>
  <c r="O589" i="4"/>
  <c r="P589" i="4" s="1"/>
  <c r="O587" i="4"/>
  <c r="P587" i="4" s="1"/>
  <c r="O588" i="4"/>
  <c r="P588" i="4" s="1"/>
  <c r="O586" i="4"/>
  <c r="P586" i="4" s="1"/>
  <c r="O585" i="4"/>
  <c r="P585" i="4" s="1"/>
  <c r="O1223" i="4"/>
  <c r="P1223" i="4" s="1"/>
  <c r="O1222" i="4"/>
  <c r="P1222" i="4" s="1"/>
  <c r="O1221" i="4"/>
  <c r="P1221" i="4" s="1"/>
  <c r="O1220" i="4"/>
  <c r="P1220" i="4" s="1"/>
  <c r="O1219" i="4"/>
  <c r="P1219" i="4" s="1"/>
  <c r="O1218" i="4"/>
  <c r="P1218" i="4" s="1"/>
  <c r="O584" i="4"/>
  <c r="P584" i="4" s="1"/>
  <c r="O210" i="4"/>
  <c r="P210" i="4" s="1"/>
  <c r="O189" i="4"/>
  <c r="P189" i="4" s="1"/>
  <c r="O1217" i="4"/>
  <c r="P1217" i="4" s="1"/>
  <c r="O1216" i="4"/>
  <c r="P1216" i="4" s="1"/>
  <c r="O1215" i="4"/>
  <c r="P1215" i="4" s="1"/>
  <c r="O583" i="4"/>
  <c r="P583" i="4" s="1"/>
  <c r="O1214" i="4"/>
  <c r="P1214" i="4" s="1"/>
  <c r="O582" i="4"/>
  <c r="P582" i="4" s="1"/>
  <c r="O1212" i="4"/>
  <c r="P1212" i="4" s="1"/>
  <c r="O1213" i="4"/>
  <c r="P1213" i="4" s="1"/>
  <c r="O1210" i="4"/>
  <c r="P1210" i="4" s="1"/>
  <c r="O1211" i="4"/>
  <c r="P1211" i="4" s="1"/>
  <c r="O1207" i="4"/>
  <c r="P1207" i="4" s="1"/>
  <c r="O1208" i="4"/>
  <c r="P1208" i="4" s="1"/>
  <c r="O1209" i="4"/>
  <c r="P1209" i="4" s="1"/>
  <c r="O1206" i="4"/>
  <c r="P1206" i="4" s="1"/>
  <c r="O1205" i="4"/>
  <c r="P1205" i="4" s="1"/>
  <c r="O1203" i="4"/>
  <c r="P1203" i="4" s="1"/>
  <c r="O1204" i="4"/>
  <c r="P1204" i="4" s="1"/>
  <c r="O581" i="4"/>
  <c r="P581" i="4" s="1"/>
  <c r="O580" i="4"/>
  <c r="P580" i="4" s="1"/>
  <c r="O579" i="4"/>
  <c r="P579" i="4" s="1"/>
  <c r="O578" i="4"/>
  <c r="P578" i="4" s="1"/>
  <c r="O576" i="4"/>
  <c r="P576" i="4" s="1"/>
  <c r="O577" i="4"/>
  <c r="P577" i="4" s="1"/>
  <c r="O575" i="4"/>
  <c r="P575" i="4" s="1"/>
  <c r="O574" i="4"/>
  <c r="P574" i="4" s="1"/>
  <c r="O572" i="4"/>
  <c r="P572" i="4" s="1"/>
  <c r="O573" i="4"/>
  <c r="P573" i="4" s="1"/>
  <c r="O571" i="4"/>
  <c r="P571" i="4" s="1"/>
  <c r="O570" i="4"/>
  <c r="P570" i="4" s="1"/>
  <c r="O569" i="4"/>
  <c r="P569" i="4" s="1"/>
  <c r="O568" i="4"/>
  <c r="P568" i="4" s="1"/>
  <c r="O567" i="4"/>
  <c r="P567" i="4" s="1"/>
  <c r="O566" i="4"/>
  <c r="P566" i="4" s="1"/>
  <c r="O565" i="4"/>
  <c r="P565" i="4" s="1"/>
  <c r="O564" i="4"/>
  <c r="P564" i="4" s="1"/>
  <c r="O563" i="4"/>
  <c r="P563" i="4" s="1"/>
  <c r="O562" i="4"/>
  <c r="P562" i="4" s="1"/>
  <c r="O561" i="4"/>
  <c r="P561" i="4" s="1"/>
  <c r="O1202" i="4"/>
  <c r="P1202" i="4" s="1"/>
  <c r="O560" i="4"/>
  <c r="P560" i="4" s="1"/>
  <c r="O559" i="4"/>
  <c r="P559" i="4" s="1"/>
  <c r="O558" i="4"/>
  <c r="P558" i="4" s="1"/>
  <c r="O1200" i="4"/>
  <c r="P1200" i="4" s="1"/>
  <c r="O557" i="4"/>
  <c r="P557" i="4" s="1"/>
  <c r="O1201" i="4"/>
  <c r="P1201" i="4" s="1"/>
  <c r="O556" i="4"/>
  <c r="P556" i="4" s="1"/>
  <c r="O554" i="4"/>
  <c r="P554" i="4" s="1"/>
  <c r="O555" i="4"/>
  <c r="P555" i="4" s="1"/>
  <c r="O553" i="4"/>
  <c r="P553" i="4" s="1"/>
  <c r="O552" i="4"/>
  <c r="P552" i="4" s="1"/>
  <c r="O551" i="4"/>
  <c r="P551" i="4" s="1"/>
  <c r="O1199" i="4"/>
  <c r="P1199" i="4" s="1"/>
  <c r="O549" i="4"/>
  <c r="P549" i="4" s="1"/>
  <c r="O550" i="4"/>
  <c r="P550" i="4" s="1"/>
  <c r="O209" i="4"/>
  <c r="P209" i="4" s="1"/>
  <c r="O548" i="4"/>
  <c r="P548" i="4" s="1"/>
  <c r="O547" i="4"/>
  <c r="P547" i="4" s="1"/>
  <c r="O208" i="4"/>
  <c r="P208" i="4" s="1"/>
  <c r="O1198" i="4"/>
  <c r="P1198" i="4" s="1"/>
  <c r="O546" i="4"/>
  <c r="P546" i="4" s="1"/>
  <c r="O545" i="4"/>
  <c r="P545" i="4" s="1"/>
  <c r="O544" i="4"/>
  <c r="P544" i="4" s="1"/>
  <c r="O1197" i="4"/>
  <c r="P1197" i="4" s="1"/>
  <c r="O543" i="4"/>
  <c r="P543" i="4" s="1"/>
  <c r="O542" i="4"/>
  <c r="P542" i="4" s="1"/>
  <c r="O1195" i="4"/>
  <c r="P1195" i="4" s="1"/>
  <c r="O1196" i="4"/>
  <c r="P1196" i="4" s="1"/>
  <c r="O1194" i="4"/>
  <c r="P1194" i="4" s="1"/>
  <c r="O1193" i="4"/>
  <c r="P1193" i="4" s="1"/>
  <c r="O1192" i="4"/>
  <c r="P1192" i="4" s="1"/>
  <c r="O541" i="4"/>
  <c r="P541" i="4" s="1"/>
  <c r="O1191" i="4"/>
  <c r="P1191" i="4" s="1"/>
  <c r="O540" i="4"/>
  <c r="P540" i="4" s="1"/>
  <c r="O539" i="4"/>
  <c r="P539" i="4" s="1"/>
  <c r="O1190" i="4"/>
  <c r="P1190" i="4" s="1"/>
  <c r="O538" i="4"/>
  <c r="P538" i="4" s="1"/>
  <c r="O537" i="4"/>
  <c r="P537" i="4" s="1"/>
  <c r="O536" i="4"/>
  <c r="P536" i="4" s="1"/>
  <c r="O535" i="4"/>
  <c r="P535" i="4" s="1"/>
  <c r="O534" i="4"/>
  <c r="P534" i="4" s="1"/>
  <c r="O532" i="4"/>
  <c r="P532" i="4" s="1"/>
  <c r="O533" i="4"/>
  <c r="P533" i="4" s="1"/>
  <c r="O1189" i="4"/>
  <c r="P1189" i="4" s="1"/>
  <c r="O1187" i="4"/>
  <c r="P1187" i="4" s="1"/>
  <c r="O1188" i="4"/>
  <c r="P1188" i="4" s="1"/>
  <c r="O530" i="4"/>
  <c r="P530" i="4" s="1"/>
  <c r="O531" i="4"/>
  <c r="P531" i="4" s="1"/>
  <c r="O1185" i="4"/>
  <c r="P1185" i="4" s="1"/>
  <c r="O1186" i="4"/>
  <c r="P1186" i="4" s="1"/>
  <c r="O528" i="4"/>
  <c r="P528" i="4" s="1"/>
  <c r="O1184" i="4"/>
  <c r="P1184" i="4" s="1"/>
  <c r="O529" i="4"/>
  <c r="P529" i="4" s="1"/>
  <c r="O527" i="4"/>
  <c r="P527" i="4" s="1"/>
  <c r="O1183" i="4"/>
  <c r="P1183" i="4" s="1"/>
  <c r="O1182" i="4"/>
  <c r="P1182" i="4" s="1"/>
  <c r="O93" i="4"/>
  <c r="P93" i="4" s="1"/>
  <c r="O526" i="4"/>
  <c r="P526" i="4" s="1"/>
  <c r="O1181" i="4"/>
  <c r="P1181" i="4" s="1"/>
  <c r="O525" i="4"/>
  <c r="P525" i="4" s="1"/>
  <c r="O523" i="4"/>
  <c r="P523" i="4" s="1"/>
  <c r="O524" i="4"/>
  <c r="P524" i="4" s="1"/>
  <c r="O522" i="4"/>
  <c r="P522" i="4" s="1"/>
  <c r="O521" i="4"/>
  <c r="P521" i="4" s="1"/>
  <c r="O518" i="4"/>
  <c r="P518" i="4" s="1"/>
  <c r="O519" i="4"/>
  <c r="P519" i="4" s="1"/>
  <c r="O520" i="4"/>
  <c r="P520" i="4" s="1"/>
  <c r="O517" i="4"/>
  <c r="P517" i="4" s="1"/>
  <c r="O516" i="4"/>
  <c r="P516" i="4" s="1"/>
  <c r="O1180" i="4"/>
  <c r="P1180" i="4" s="1"/>
  <c r="O515" i="4"/>
  <c r="P515" i="4" s="1"/>
  <c r="O514" i="4"/>
  <c r="P514" i="4" s="1"/>
  <c r="O513" i="4"/>
  <c r="P513" i="4" s="1"/>
  <c r="O511" i="4"/>
  <c r="P511" i="4" s="1"/>
  <c r="O512" i="4"/>
  <c r="P512" i="4" s="1"/>
  <c r="O510" i="4"/>
  <c r="P510" i="4" s="1"/>
  <c r="O509" i="4"/>
  <c r="P509" i="4" s="1"/>
  <c r="O508" i="4"/>
  <c r="P508" i="4" s="1"/>
  <c r="O507" i="4"/>
  <c r="P507" i="4" s="1"/>
  <c r="O506" i="4"/>
  <c r="P506" i="4" s="1"/>
  <c r="O505" i="4"/>
  <c r="P505" i="4" s="1"/>
  <c r="O1179" i="4"/>
  <c r="P1179" i="4" s="1"/>
  <c r="O503" i="4"/>
  <c r="P503" i="4" s="1"/>
  <c r="O504" i="4"/>
  <c r="P504" i="4" s="1"/>
  <c r="O500" i="4"/>
  <c r="P500" i="4" s="1"/>
  <c r="O501" i="4"/>
  <c r="P501" i="4" s="1"/>
  <c r="O502" i="4"/>
  <c r="P502" i="4" s="1"/>
  <c r="O499" i="4"/>
  <c r="P499" i="4" s="1"/>
  <c r="O498" i="4"/>
  <c r="P498" i="4" s="1"/>
  <c r="O496" i="4"/>
  <c r="P496" i="4" s="1"/>
  <c r="O497" i="4"/>
  <c r="P497" i="4" s="1"/>
  <c r="O1178" i="4"/>
  <c r="P1178" i="4" s="1"/>
  <c r="O495" i="4"/>
  <c r="P495" i="4" s="1"/>
  <c r="O494" i="4"/>
  <c r="P494" i="4" s="1"/>
  <c r="O1177" i="4"/>
  <c r="P1177" i="4" s="1"/>
  <c r="O491" i="4"/>
  <c r="P491" i="4" s="1"/>
  <c r="O492" i="4"/>
  <c r="P492" i="4" s="1"/>
  <c r="O493" i="4"/>
  <c r="P493" i="4" s="1"/>
  <c r="O490" i="4"/>
  <c r="P490" i="4" s="1"/>
  <c r="O489" i="4"/>
  <c r="P489" i="4" s="1"/>
  <c r="O1176" i="4"/>
  <c r="P1176" i="4" s="1"/>
  <c r="O1175" i="4"/>
  <c r="P1175" i="4" s="1"/>
  <c r="O1173" i="4"/>
  <c r="P1173" i="4" s="1"/>
  <c r="O1174" i="4"/>
  <c r="P1174" i="4" s="1"/>
  <c r="O75" i="4"/>
  <c r="P75" i="4" s="1"/>
  <c r="O74" i="4"/>
  <c r="P74" i="4" s="1"/>
  <c r="O99" i="4"/>
  <c r="P99" i="4" s="1"/>
  <c r="O112" i="4"/>
  <c r="P112" i="4" s="1"/>
  <c r="O84" i="4"/>
  <c r="P84" i="4" s="1"/>
  <c r="O488" i="4"/>
  <c r="P488" i="4" s="1"/>
  <c r="O1172" i="4"/>
  <c r="P1172" i="4" s="1"/>
  <c r="O487" i="4"/>
  <c r="P487" i="4" s="1"/>
  <c r="O127" i="4"/>
  <c r="P127" i="4" s="1"/>
  <c r="O160" i="4"/>
  <c r="P160" i="4" s="1"/>
  <c r="O111" i="4"/>
  <c r="P111" i="4" s="1"/>
  <c r="O486" i="4"/>
  <c r="P486" i="4" s="1"/>
  <c r="O1171" i="4"/>
  <c r="P1171" i="4" s="1"/>
  <c r="O164" i="4"/>
  <c r="P164" i="4" s="1"/>
  <c r="O132" i="4"/>
  <c r="P132" i="4" s="1"/>
  <c r="O175" i="4"/>
  <c r="P175" i="4" s="1"/>
  <c r="O485" i="4"/>
  <c r="P485" i="4" s="1"/>
  <c r="O484" i="4"/>
  <c r="P484" i="4" s="1"/>
  <c r="O483" i="4"/>
  <c r="P483" i="4" s="1"/>
  <c r="O482" i="4"/>
  <c r="P482" i="4" s="1"/>
  <c r="O481" i="4"/>
  <c r="P481" i="4" s="1"/>
  <c r="O480" i="4"/>
  <c r="P480" i="4" s="1"/>
  <c r="O479" i="4"/>
  <c r="P479" i="4" s="1"/>
  <c r="O478" i="4"/>
  <c r="P478" i="4" s="1"/>
  <c r="O476" i="4"/>
  <c r="P476" i="4" s="1"/>
  <c r="O477" i="4"/>
  <c r="P477" i="4" s="1"/>
  <c r="O474" i="4"/>
  <c r="P474" i="4" s="1"/>
  <c r="O1170" i="4"/>
  <c r="P1170" i="4" s="1"/>
  <c r="O475" i="4"/>
  <c r="P475" i="4" s="1"/>
  <c r="O473" i="4"/>
  <c r="P473" i="4" s="1"/>
  <c r="O472" i="4"/>
  <c r="P472" i="4" s="1"/>
  <c r="O471" i="4"/>
  <c r="P471" i="4" s="1"/>
  <c r="O1169" i="4"/>
  <c r="P1169" i="4" s="1"/>
  <c r="O470" i="4"/>
  <c r="P470" i="4" s="1"/>
  <c r="O469" i="4"/>
  <c r="P469" i="4" s="1"/>
  <c r="O468" i="4"/>
  <c r="P468" i="4" s="1"/>
  <c r="O467" i="4"/>
  <c r="P467" i="4" s="1"/>
  <c r="O1168" i="4"/>
  <c r="P1168" i="4" s="1"/>
  <c r="O466" i="4"/>
  <c r="P466" i="4" s="1"/>
  <c r="O465" i="4"/>
  <c r="P465" i="4" s="1"/>
  <c r="O207" i="4"/>
  <c r="P207" i="4" s="1"/>
  <c r="O464" i="4"/>
  <c r="P464" i="4" s="1"/>
  <c r="O1167" i="4"/>
  <c r="P1167" i="4" s="1"/>
  <c r="O463" i="4"/>
  <c r="P463" i="4" s="1"/>
  <c r="O462" i="4"/>
  <c r="P462" i="4" s="1"/>
  <c r="O460" i="4"/>
  <c r="P460" i="4" s="1"/>
  <c r="O461" i="4"/>
  <c r="P461" i="4" s="1"/>
  <c r="O26" i="4"/>
  <c r="P26" i="4" s="1"/>
  <c r="O40" i="4"/>
  <c r="P40" i="4" s="1"/>
  <c r="O85" i="4"/>
  <c r="P85" i="4" s="1"/>
  <c r="O70" i="4"/>
  <c r="P70" i="4" s="1"/>
  <c r="O30" i="4"/>
  <c r="P30" i="4" s="1"/>
  <c r="O459" i="4"/>
  <c r="P459" i="4" s="1"/>
  <c r="O44" i="4"/>
  <c r="P44" i="4" s="1"/>
  <c r="O1166" i="4"/>
  <c r="P1166" i="4" s="1"/>
  <c r="O458" i="4"/>
  <c r="P458" i="4" s="1"/>
  <c r="O1164" i="4"/>
  <c r="P1164" i="4" s="1"/>
  <c r="O1165" i="4"/>
  <c r="P1165" i="4" s="1"/>
  <c r="O457" i="4"/>
  <c r="P457" i="4" s="1"/>
  <c r="O455" i="4"/>
  <c r="P455" i="4" s="1"/>
  <c r="O456" i="4"/>
  <c r="P456" i="4" s="1"/>
  <c r="O454" i="4"/>
  <c r="P454" i="4" s="1"/>
  <c r="O453" i="4"/>
  <c r="P453" i="4" s="1"/>
  <c r="O98" i="4"/>
  <c r="P98" i="4" s="1"/>
  <c r="O154" i="4"/>
  <c r="P154" i="4" s="1"/>
  <c r="O1162" i="4"/>
  <c r="P1162" i="4" s="1"/>
  <c r="O1163" i="4"/>
  <c r="P1163" i="4" s="1"/>
  <c r="O452" i="4"/>
  <c r="P452" i="4" s="1"/>
  <c r="O1161" i="4"/>
  <c r="P1161" i="4" s="1"/>
  <c r="O451" i="4"/>
  <c r="P451" i="4" s="1"/>
  <c r="O450" i="4"/>
  <c r="P450" i="4" s="1"/>
  <c r="O449" i="4"/>
  <c r="P449" i="4" s="1"/>
  <c r="O1160" i="4"/>
  <c r="P1160" i="4" s="1"/>
  <c r="O448" i="4"/>
  <c r="P448" i="4" s="1"/>
  <c r="O446" i="4"/>
  <c r="P446" i="4" s="1"/>
  <c r="O447" i="4"/>
  <c r="P447" i="4" s="1"/>
  <c r="O445" i="4"/>
  <c r="P445" i="4" s="1"/>
  <c r="O444" i="4"/>
  <c r="P444" i="4" s="1"/>
  <c r="O1158" i="4"/>
  <c r="P1158" i="4" s="1"/>
  <c r="O1159" i="4"/>
  <c r="P1159" i="4" s="1"/>
  <c r="O443" i="4"/>
  <c r="P443" i="4" s="1"/>
  <c r="O442" i="4"/>
  <c r="P442" i="4" s="1"/>
  <c r="O441" i="4"/>
  <c r="P441" i="4" s="1"/>
  <c r="O440" i="4"/>
  <c r="P440" i="4" s="1"/>
  <c r="O1156" i="4"/>
  <c r="P1156" i="4" s="1"/>
  <c r="O1157" i="4"/>
  <c r="P1157" i="4" s="1"/>
  <c r="O39" i="4"/>
  <c r="P39" i="4" s="1"/>
  <c r="O52" i="4"/>
  <c r="P52" i="4" s="1"/>
  <c r="O43" i="4"/>
  <c r="P43" i="4" s="1"/>
  <c r="O34" i="4"/>
  <c r="P34" i="4" s="1"/>
  <c r="O36" i="4"/>
  <c r="P36" i="4" s="1"/>
  <c r="O110" i="4"/>
  <c r="P110" i="4" s="1"/>
  <c r="O49" i="4"/>
  <c r="P49" i="4" s="1"/>
  <c r="O48" i="4"/>
  <c r="P48" i="4" s="1"/>
  <c r="O159" i="4"/>
  <c r="P159" i="4" s="1"/>
  <c r="O33" i="4"/>
  <c r="P33" i="4" s="1"/>
  <c r="O35" i="4"/>
  <c r="P35" i="4" s="1"/>
  <c r="O439" i="4"/>
  <c r="P439" i="4" s="1"/>
  <c r="O438" i="4"/>
  <c r="P438" i="4" s="1"/>
  <c r="O437" i="4"/>
  <c r="P437" i="4" s="1"/>
  <c r="O436" i="4"/>
  <c r="P436" i="4" s="1"/>
  <c r="O435" i="4"/>
  <c r="P435" i="4" s="1"/>
  <c r="O1155" i="4"/>
  <c r="P1155" i="4" s="1"/>
  <c r="O433" i="4"/>
  <c r="P433" i="4" s="1"/>
  <c r="O434" i="4"/>
  <c r="P434" i="4" s="1"/>
  <c r="O432" i="4"/>
  <c r="P432" i="4" s="1"/>
  <c r="O431" i="4"/>
  <c r="P431" i="4" s="1"/>
  <c r="O205" i="4"/>
  <c r="P205" i="4" s="1"/>
  <c r="O206" i="4"/>
  <c r="P206" i="4" s="1"/>
  <c r="O1154" i="4"/>
  <c r="P1154" i="4" s="1"/>
  <c r="O1153" i="4"/>
  <c r="P1153" i="4" s="1"/>
  <c r="O430" i="4"/>
  <c r="P430" i="4" s="1"/>
  <c r="O92" i="4"/>
  <c r="P92" i="4" s="1"/>
  <c r="O429" i="4"/>
  <c r="P429" i="4" s="1"/>
  <c r="O427" i="4"/>
  <c r="P427" i="4" s="1"/>
  <c r="O428" i="4"/>
  <c r="P428" i="4" s="1"/>
  <c r="O426" i="4"/>
  <c r="P426" i="4" s="1"/>
  <c r="O425" i="4"/>
  <c r="P425" i="4" s="1"/>
  <c r="O42" i="4"/>
  <c r="P42" i="4" s="1"/>
  <c r="O422" i="4"/>
  <c r="P422" i="4" s="1"/>
  <c r="O423" i="4"/>
  <c r="P423" i="4" s="1"/>
  <c r="O424" i="4"/>
  <c r="P424" i="4" s="1"/>
  <c r="O421" i="4"/>
  <c r="P421" i="4" s="1"/>
  <c r="O420" i="4"/>
  <c r="P420" i="4" s="1"/>
  <c r="O1152" i="4"/>
  <c r="P1152" i="4" s="1"/>
  <c r="O1151" i="4"/>
  <c r="P1151" i="4" s="1"/>
  <c r="O1149" i="4"/>
  <c r="P1149" i="4" s="1"/>
  <c r="O1150" i="4"/>
  <c r="P1150" i="4" s="1"/>
  <c r="O1148" i="4"/>
  <c r="P1148" i="4" s="1"/>
  <c r="O1146" i="4"/>
  <c r="P1146" i="4" s="1"/>
  <c r="O1147" i="4"/>
  <c r="P1147" i="4" s="1"/>
  <c r="O419" i="4"/>
  <c r="P419" i="4" s="1"/>
  <c r="O23" i="4"/>
  <c r="P23" i="4" s="1"/>
  <c r="O418" i="4"/>
  <c r="P418" i="4" s="1"/>
  <c r="O153" i="4"/>
  <c r="P153" i="4" s="1"/>
  <c r="O38" i="4"/>
  <c r="P38" i="4" s="1"/>
  <c r="O126" i="4"/>
  <c r="P126" i="4" s="1"/>
  <c r="O142" i="4"/>
  <c r="P142" i="4" s="1"/>
  <c r="O141" i="4"/>
  <c r="P141" i="4" s="1"/>
  <c r="O97" i="4"/>
  <c r="P97" i="4" s="1"/>
  <c r="O174" i="4"/>
  <c r="P174" i="4" s="1"/>
  <c r="O102" i="4"/>
  <c r="P102" i="4" s="1"/>
  <c r="O55" i="4"/>
  <c r="P55" i="4" s="1"/>
  <c r="O125" i="4"/>
  <c r="P125" i="4" s="1"/>
  <c r="O163" i="4"/>
  <c r="P163" i="4" s="1"/>
  <c r="O51" i="4"/>
  <c r="P51" i="4" s="1"/>
  <c r="O152" i="4"/>
  <c r="P152" i="4" s="1"/>
  <c r="O179" i="4"/>
  <c r="P179" i="4" s="1"/>
  <c r="O168" i="4"/>
  <c r="P168" i="4" s="1"/>
  <c r="O158" i="4"/>
  <c r="P158" i="4" s="1"/>
  <c r="O417" i="4"/>
  <c r="P417" i="4" s="1"/>
  <c r="O1145" i="4"/>
  <c r="P1145" i="4" s="1"/>
  <c r="O416" i="4"/>
  <c r="P416" i="4" s="1"/>
  <c r="O1144" i="4"/>
  <c r="P1144" i="4" s="1"/>
  <c r="O1143" i="4"/>
  <c r="P1143" i="4" s="1"/>
  <c r="O415" i="4"/>
  <c r="P415" i="4" s="1"/>
  <c r="O60" i="4"/>
  <c r="P60" i="4" s="1"/>
  <c r="O64" i="4"/>
  <c r="P64" i="4" s="1"/>
  <c r="O151" i="4"/>
  <c r="P151" i="4" s="1"/>
  <c r="O414" i="4"/>
  <c r="P414" i="4" s="1"/>
  <c r="O1142" i="4"/>
  <c r="P1142" i="4" s="1"/>
  <c r="O1141" i="4"/>
  <c r="P1141" i="4" s="1"/>
  <c r="O1140" i="4"/>
  <c r="P1140" i="4" s="1"/>
  <c r="O1139" i="4"/>
  <c r="P1139" i="4" s="1"/>
  <c r="O25" i="4"/>
  <c r="P25" i="4" s="1"/>
  <c r="O124" i="4"/>
  <c r="P124" i="4" s="1"/>
  <c r="O123" i="4"/>
  <c r="P123" i="4" s="1"/>
  <c r="O413" i="4"/>
  <c r="P413" i="4" s="1"/>
  <c r="O412" i="4"/>
  <c r="P412" i="4" s="1"/>
  <c r="O1138" i="4"/>
  <c r="P1138" i="4" s="1"/>
  <c r="O1137" i="4"/>
  <c r="P1137" i="4" s="1"/>
  <c r="O1136" i="4"/>
  <c r="P1136" i="4" s="1"/>
  <c r="O122" i="4"/>
  <c r="P122" i="4" s="1"/>
  <c r="O1135" i="4"/>
  <c r="P1135" i="4" s="1"/>
  <c r="O1134" i="4"/>
  <c r="P1134" i="4" s="1"/>
  <c r="O121" i="4"/>
  <c r="P121" i="4" s="1"/>
  <c r="O411" i="4"/>
  <c r="P411" i="4" s="1"/>
  <c r="O410" i="4"/>
  <c r="P410" i="4" s="1"/>
  <c r="O1133" i="4"/>
  <c r="P1133" i="4" s="1"/>
  <c r="O1132" i="4"/>
  <c r="P1132" i="4" s="1"/>
  <c r="O1131" i="4"/>
  <c r="P1131" i="4" s="1"/>
  <c r="O1130" i="4"/>
  <c r="P1130" i="4" s="1"/>
  <c r="O1129" i="4"/>
  <c r="P1129" i="4" s="1"/>
  <c r="O409" i="4"/>
  <c r="P409" i="4" s="1"/>
  <c r="O96" i="4"/>
  <c r="P96" i="4" s="1"/>
  <c r="O137" i="4"/>
  <c r="P137" i="4" s="1"/>
  <c r="O408" i="4"/>
  <c r="P408" i="4" s="1"/>
  <c r="O1127" i="4"/>
  <c r="P1127" i="4" s="1"/>
  <c r="O1128" i="4"/>
  <c r="P1128" i="4" s="1"/>
  <c r="O150" i="4"/>
  <c r="P150" i="4" s="1"/>
  <c r="O1126" i="4"/>
  <c r="P1126" i="4" s="1"/>
  <c r="O1125" i="4"/>
  <c r="P1125" i="4" s="1"/>
  <c r="O407" i="4"/>
  <c r="P407" i="4" s="1"/>
  <c r="O95" i="4"/>
  <c r="P95" i="4" s="1"/>
  <c r="O173" i="4"/>
  <c r="P173" i="4" s="1"/>
  <c r="O406" i="4"/>
  <c r="P406" i="4" s="1"/>
  <c r="O1124" i="4"/>
  <c r="P1124" i="4" s="1"/>
  <c r="O405" i="4"/>
  <c r="P405" i="4" s="1"/>
  <c r="O404" i="4"/>
  <c r="P404" i="4" s="1"/>
  <c r="O1123" i="4"/>
  <c r="P1123" i="4" s="1"/>
  <c r="O1121" i="4"/>
  <c r="P1121" i="4" s="1"/>
  <c r="O1122" i="4"/>
  <c r="P1122" i="4" s="1"/>
  <c r="O1119" i="4"/>
  <c r="P1119" i="4" s="1"/>
  <c r="O1120" i="4"/>
  <c r="P1120" i="4" s="1"/>
  <c r="O1117" i="4"/>
  <c r="P1117" i="4" s="1"/>
  <c r="O1118" i="4"/>
  <c r="P1118" i="4" s="1"/>
  <c r="O1115" i="4"/>
  <c r="P1115" i="4" s="1"/>
  <c r="O1116" i="4"/>
  <c r="P1116" i="4" s="1"/>
  <c r="O1114" i="4"/>
  <c r="P1114" i="4" s="1"/>
  <c r="O1113" i="4"/>
  <c r="P1113" i="4" s="1"/>
  <c r="O1112" i="4"/>
  <c r="P1112" i="4" s="1"/>
  <c r="O9" i="4"/>
  <c r="P9" i="4" s="1"/>
  <c r="O131" i="4"/>
  <c r="P131" i="4" s="1"/>
  <c r="O14" i="4"/>
  <c r="P14" i="4" s="1"/>
  <c r="O29" i="4"/>
  <c r="P29" i="4" s="1"/>
  <c r="O83" i="4"/>
  <c r="P83" i="4" s="1"/>
  <c r="O63" i="4"/>
  <c r="P63" i="4" s="1"/>
  <c r="O109" i="4"/>
  <c r="P109" i="4" s="1"/>
  <c r="O82" i="4"/>
  <c r="P82" i="4" s="1"/>
  <c r="O91" i="4"/>
  <c r="P91" i="4" s="1"/>
  <c r="O108" i="4"/>
  <c r="P108" i="4" s="1"/>
  <c r="O32" i="4"/>
  <c r="P32" i="4" s="1"/>
  <c r="O78" i="4"/>
  <c r="P78" i="4" s="1"/>
  <c r="O7" i="4"/>
  <c r="P7" i="4" s="1"/>
  <c r="O69" i="4"/>
  <c r="P69" i="4" s="1"/>
  <c r="O178" i="4"/>
  <c r="P178" i="4" s="1"/>
  <c r="O136" i="4"/>
  <c r="P136" i="4" s="1"/>
  <c r="O81" i="4"/>
  <c r="P81" i="4" s="1"/>
  <c r="O149" i="4"/>
  <c r="P149" i="4" s="1"/>
  <c r="O68" i="4"/>
  <c r="P68" i="4" s="1"/>
  <c r="O28" i="4"/>
  <c r="P28" i="4" s="1"/>
  <c r="O403" i="4"/>
  <c r="P403" i="4" s="1"/>
  <c r="O172" i="4"/>
  <c r="P172" i="4" s="1"/>
  <c r="O54" i="4"/>
  <c r="P54" i="4" s="1"/>
  <c r="O120" i="4"/>
  <c r="P120" i="4" s="1"/>
  <c r="O90" i="4"/>
  <c r="P90" i="4" s="1"/>
  <c r="O73" i="4"/>
  <c r="P73" i="4" s="1"/>
  <c r="O148" i="4"/>
  <c r="P148" i="4" s="1"/>
  <c r="O1111" i="4"/>
  <c r="P1111" i="4" s="1"/>
  <c r="O1110" i="4"/>
  <c r="P1110" i="4" s="1"/>
  <c r="O1109" i="4"/>
  <c r="P1109" i="4" s="1"/>
  <c r="O162" i="4"/>
  <c r="P162" i="4" s="1"/>
  <c r="O167" i="4"/>
  <c r="P167" i="4" s="1"/>
  <c r="O72" i="4"/>
  <c r="P72" i="4" s="1"/>
  <c r="O18" i="4"/>
  <c r="P18" i="4" s="1"/>
  <c r="O402" i="4"/>
  <c r="P402" i="4" s="1"/>
  <c r="O1108" i="4"/>
  <c r="P1108" i="4" s="1"/>
  <c r="O119" i="4"/>
  <c r="P119" i="4" s="1"/>
  <c r="O147" i="4"/>
  <c r="P147" i="4" s="1"/>
  <c r="O401" i="4"/>
  <c r="P401" i="4" s="1"/>
  <c r="O1106" i="4"/>
  <c r="P1106" i="4" s="1"/>
  <c r="O1107" i="4"/>
  <c r="P1107" i="4" s="1"/>
  <c r="O1104" i="4"/>
  <c r="P1104" i="4" s="1"/>
  <c r="O1105" i="4"/>
  <c r="P1105" i="4" s="1"/>
  <c r="O1101" i="4"/>
  <c r="P1101" i="4" s="1"/>
  <c r="O1102" i="4"/>
  <c r="P1102" i="4" s="1"/>
  <c r="O1103" i="4"/>
  <c r="P1103" i="4" s="1"/>
  <c r="O1100" i="4"/>
  <c r="P1100" i="4" s="1"/>
  <c r="O203" i="4"/>
  <c r="P203" i="4" s="1"/>
  <c r="O204" i="4"/>
  <c r="P204" i="4" s="1"/>
  <c r="O135" i="4"/>
  <c r="P135" i="4" s="1"/>
  <c r="O400" i="4"/>
  <c r="P400" i="4" s="1"/>
  <c r="O399" i="4"/>
  <c r="P399" i="4" s="1"/>
  <c r="O1099" i="4"/>
  <c r="P1099" i="4" s="1"/>
  <c r="O1098" i="4"/>
  <c r="P1098" i="4" s="1"/>
  <c r="O1097" i="4"/>
  <c r="P1097" i="4" s="1"/>
  <c r="O1096" i="4"/>
  <c r="P1096" i="4" s="1"/>
  <c r="O134" i="4"/>
  <c r="P134" i="4" s="1"/>
  <c r="O184" i="4"/>
  <c r="P184" i="4" s="1"/>
  <c r="O398" i="4"/>
  <c r="P398" i="4" s="1"/>
  <c r="O397" i="4"/>
  <c r="P397" i="4" s="1"/>
  <c r="O395" i="4"/>
  <c r="P395" i="4" s="1"/>
  <c r="O396" i="4"/>
  <c r="P396" i="4" s="1"/>
  <c r="O1094" i="4"/>
  <c r="P1094" i="4" s="1"/>
  <c r="O1095" i="4"/>
  <c r="P1095" i="4" s="1"/>
  <c r="O1091" i="4"/>
  <c r="P1091" i="4" s="1"/>
  <c r="O1092" i="4"/>
  <c r="P1092" i="4" s="1"/>
  <c r="O1093" i="4"/>
  <c r="P1093" i="4" s="1"/>
  <c r="O1089" i="4"/>
  <c r="P1089" i="4" s="1"/>
  <c r="O1090" i="4"/>
  <c r="P1090" i="4" s="1"/>
  <c r="O1088" i="4"/>
  <c r="P1088" i="4" s="1"/>
  <c r="O1086" i="4"/>
  <c r="P1086" i="4" s="1"/>
  <c r="O1087" i="4"/>
  <c r="P1087" i="4" s="1"/>
  <c r="O1085" i="4"/>
  <c r="P1085" i="4" s="1"/>
  <c r="O1084" i="4"/>
  <c r="P1084" i="4" s="1"/>
  <c r="O393" i="4"/>
  <c r="P393" i="4" s="1"/>
  <c r="O394" i="4"/>
  <c r="P394" i="4" s="1"/>
  <c r="O47" i="4"/>
  <c r="P47" i="4" s="1"/>
  <c r="O392" i="4"/>
  <c r="P392" i="4" s="1"/>
  <c r="O391" i="4"/>
  <c r="P391" i="4" s="1"/>
  <c r="O390" i="4"/>
  <c r="P390" i="4" s="1"/>
  <c r="O389" i="4"/>
  <c r="P389" i="4" s="1"/>
  <c r="O388" i="4"/>
  <c r="P388" i="4" s="1"/>
  <c r="O386" i="4"/>
  <c r="P386" i="4" s="1"/>
  <c r="O387" i="4"/>
  <c r="P387" i="4" s="1"/>
  <c r="O384" i="4"/>
  <c r="P384" i="4" s="1"/>
  <c r="O385" i="4"/>
  <c r="P385" i="4" s="1"/>
  <c r="O1083" i="4"/>
  <c r="P1083" i="4" s="1"/>
  <c r="O1082" i="4"/>
  <c r="P1082" i="4" s="1"/>
  <c r="O383" i="4"/>
  <c r="P383" i="4" s="1"/>
  <c r="O382" i="4"/>
  <c r="P382" i="4" s="1"/>
  <c r="O381" i="4"/>
  <c r="P381" i="4" s="1"/>
  <c r="O1081" i="4"/>
  <c r="P1081" i="4" s="1"/>
  <c r="O380" i="4"/>
  <c r="P380" i="4" s="1"/>
  <c r="O379" i="4"/>
  <c r="P379" i="4" s="1"/>
  <c r="O1079" i="4"/>
  <c r="P1079" i="4" s="1"/>
  <c r="O1080" i="4"/>
  <c r="P1080" i="4" s="1"/>
  <c r="O378" i="4"/>
  <c r="P378" i="4" s="1"/>
  <c r="O202" i="4"/>
  <c r="P202" i="4" s="1"/>
  <c r="O377" i="4"/>
  <c r="P377" i="4" s="1"/>
  <c r="O376" i="4"/>
  <c r="P376" i="4" s="1"/>
  <c r="O375" i="4"/>
  <c r="P375" i="4" s="1"/>
  <c r="O374" i="4"/>
  <c r="P374" i="4" s="1"/>
  <c r="O373" i="4"/>
  <c r="P373" i="4" s="1"/>
  <c r="O372" i="4"/>
  <c r="P372" i="4" s="1"/>
  <c r="O371" i="4"/>
  <c r="P371" i="4" s="1"/>
  <c r="O1078" i="4"/>
  <c r="P1078" i="4" s="1"/>
  <c r="O1077" i="4"/>
  <c r="P1077" i="4" s="1"/>
  <c r="O1075" i="4"/>
  <c r="P1075" i="4" s="1"/>
  <c r="O1076" i="4"/>
  <c r="P1076" i="4" s="1"/>
  <c r="O1073" i="4"/>
  <c r="P1073" i="4" s="1"/>
  <c r="O1074" i="4"/>
  <c r="P1074" i="4" s="1"/>
  <c r="O20" i="4"/>
  <c r="P20" i="4" s="1"/>
  <c r="O1072" i="4"/>
  <c r="P1072" i="4" s="1"/>
  <c r="O1071" i="4"/>
  <c r="P1071" i="4" s="1"/>
  <c r="O1070" i="4"/>
  <c r="P1070" i="4" s="1"/>
  <c r="O1069" i="4"/>
  <c r="P1069" i="4" s="1"/>
  <c r="O1068" i="4"/>
  <c r="P1068" i="4" s="1"/>
  <c r="O1067" i="4"/>
  <c r="P1067" i="4" s="1"/>
  <c r="O1066" i="4"/>
  <c r="P1066" i="4" s="1"/>
  <c r="O201" i="4"/>
  <c r="P201" i="4" s="1"/>
  <c r="O370" i="4"/>
  <c r="P370" i="4" s="1"/>
  <c r="O1064" i="4"/>
  <c r="P1064" i="4" s="1"/>
  <c r="O1065" i="4"/>
  <c r="P1065" i="4" s="1"/>
  <c r="O369" i="4"/>
  <c r="P369" i="4" s="1"/>
  <c r="O1062" i="4"/>
  <c r="P1062" i="4" s="1"/>
  <c r="O1063" i="4"/>
  <c r="P1063" i="4" s="1"/>
  <c r="O1061" i="4"/>
  <c r="P1061" i="4" s="1"/>
  <c r="O368" i="4"/>
  <c r="P368" i="4" s="1"/>
  <c r="O365" i="4"/>
  <c r="P365" i="4" s="1"/>
  <c r="O366" i="4"/>
  <c r="P366" i="4" s="1"/>
  <c r="O367" i="4"/>
  <c r="P367" i="4" s="1"/>
  <c r="O364" i="4"/>
  <c r="P364" i="4" s="1"/>
  <c r="O1060" i="4"/>
  <c r="P1060" i="4" s="1"/>
  <c r="O1058" i="4"/>
  <c r="P1058" i="4" s="1"/>
  <c r="O1059" i="4"/>
  <c r="P1059" i="4" s="1"/>
  <c r="O1057" i="4"/>
  <c r="P1057" i="4" s="1"/>
  <c r="O363" i="4"/>
  <c r="P363" i="4" s="1"/>
  <c r="O1056" i="4"/>
  <c r="P1056" i="4" s="1"/>
  <c r="O1055" i="4"/>
  <c r="P1055" i="4" s="1"/>
  <c r="O1054" i="4"/>
  <c r="P1054" i="4" s="1"/>
  <c r="O1052" i="4"/>
  <c r="P1052" i="4" s="1"/>
  <c r="O1053" i="4"/>
  <c r="P1053" i="4" s="1"/>
  <c r="O1051" i="4"/>
  <c r="P1051" i="4" s="1"/>
  <c r="O1049" i="4"/>
  <c r="P1049" i="4" s="1"/>
  <c r="O1050" i="4"/>
  <c r="P1050" i="4" s="1"/>
  <c r="O1048" i="4"/>
  <c r="P1048" i="4" s="1"/>
  <c r="O1047" i="4"/>
  <c r="P1047" i="4" s="1"/>
  <c r="O199" i="4"/>
  <c r="P199" i="4" s="1"/>
  <c r="O200" i="4"/>
  <c r="P200" i="4" s="1"/>
  <c r="O1046" i="4"/>
  <c r="P1046" i="4" s="1"/>
  <c r="O10" i="4"/>
  <c r="P10" i="4" s="1"/>
  <c r="O8" i="4"/>
  <c r="P8" i="4" s="1"/>
  <c r="O4" i="4"/>
  <c r="P4" i="4" s="1"/>
  <c r="O94" i="4"/>
  <c r="P94" i="4" s="1"/>
  <c r="O361" i="4"/>
  <c r="P361" i="4" s="1"/>
  <c r="O362" i="4"/>
  <c r="P362" i="4" s="1"/>
  <c r="O59" i="4"/>
  <c r="P59" i="4" s="1"/>
  <c r="O198" i="4"/>
  <c r="P198" i="4" s="1"/>
  <c r="O146" i="4"/>
  <c r="P146" i="4" s="1"/>
  <c r="O107" i="4"/>
  <c r="P107" i="4" s="1"/>
  <c r="O67" i="4"/>
  <c r="P67" i="4" s="1"/>
  <c r="O157" i="4"/>
  <c r="P157" i="4" s="1"/>
  <c r="O106" i="4"/>
  <c r="P106" i="4" s="1"/>
  <c r="O62" i="4"/>
  <c r="P62" i="4" s="1"/>
  <c r="O1045" i="4"/>
  <c r="P1045" i="4" s="1"/>
  <c r="O89" i="4"/>
  <c r="P89" i="4" s="1"/>
  <c r="O360" i="4"/>
  <c r="P360" i="4" s="1"/>
  <c r="O358" i="4"/>
  <c r="P358" i="4" s="1"/>
  <c r="O359" i="4"/>
  <c r="P359" i="4" s="1"/>
  <c r="O118" i="4"/>
  <c r="P118" i="4" s="1"/>
  <c r="O356" i="4"/>
  <c r="P356" i="4" s="1"/>
  <c r="O357" i="4"/>
  <c r="P357" i="4" s="1"/>
  <c r="O1044" i="4"/>
  <c r="P1044" i="4" s="1"/>
  <c r="O1043" i="4"/>
  <c r="P1043" i="4" s="1"/>
  <c r="O130" i="4"/>
  <c r="P130" i="4" s="1"/>
  <c r="O1041" i="4"/>
  <c r="P1041" i="4" s="1"/>
  <c r="O1042" i="4"/>
  <c r="P1042" i="4" s="1"/>
  <c r="O1040" i="4"/>
  <c r="P1040" i="4" s="1"/>
  <c r="O1039" i="4"/>
  <c r="P1039" i="4" s="1"/>
  <c r="O1038" i="4"/>
  <c r="P1038" i="4" s="1"/>
  <c r="O1037" i="4"/>
  <c r="P1037" i="4" s="1"/>
  <c r="O1036" i="4"/>
  <c r="P1036" i="4" s="1"/>
  <c r="O101" i="4"/>
  <c r="P101" i="4" s="1"/>
  <c r="O1035" i="4"/>
  <c r="P1035" i="4" s="1"/>
  <c r="O1034" i="4"/>
  <c r="P1034" i="4" s="1"/>
  <c r="O71" i="4"/>
  <c r="P71" i="4" s="1"/>
  <c r="O355" i="4"/>
  <c r="P355" i="4" s="1"/>
  <c r="O354" i="4"/>
  <c r="P354" i="4" s="1"/>
  <c r="O353" i="4"/>
  <c r="P353" i="4" s="1"/>
  <c r="O352" i="4"/>
  <c r="P352" i="4" s="1"/>
  <c r="O1033" i="4"/>
  <c r="P1033" i="4" s="1"/>
  <c r="O351" i="4"/>
  <c r="P351" i="4" s="1"/>
  <c r="O1032" i="4"/>
  <c r="P1032" i="4" s="1"/>
  <c r="O1030" i="4"/>
  <c r="P1030" i="4" s="1"/>
  <c r="O1031" i="4"/>
  <c r="P1031" i="4" s="1"/>
  <c r="O1029" i="4"/>
  <c r="P1029" i="4" s="1"/>
  <c r="O350" i="4"/>
  <c r="P350" i="4" s="1"/>
  <c r="O1028" i="4"/>
  <c r="P1028" i="4" s="1"/>
  <c r="O349" i="4"/>
  <c r="P349" i="4" s="1"/>
  <c r="O1027" i="4"/>
  <c r="P1027" i="4" s="1"/>
  <c r="O348" i="4"/>
  <c r="P348" i="4" s="1"/>
  <c r="O1026" i="4"/>
  <c r="P1026" i="4" s="1"/>
  <c r="O347" i="4"/>
  <c r="P347" i="4" s="1"/>
  <c r="O1024" i="4"/>
  <c r="P1024" i="4" s="1"/>
  <c r="O1025" i="4"/>
  <c r="P1025" i="4" s="1"/>
  <c r="O1023" i="4"/>
  <c r="P1023" i="4" s="1"/>
  <c r="O1021" i="4"/>
  <c r="P1021" i="4" s="1"/>
  <c r="O1022" i="4"/>
  <c r="P1022" i="4" s="1"/>
  <c r="O1020" i="4"/>
  <c r="P1020" i="4" s="1"/>
  <c r="O1019" i="4"/>
  <c r="P1019" i="4" s="1"/>
  <c r="O1018" i="4"/>
  <c r="P1018" i="4" s="1"/>
  <c r="O1017" i="4"/>
  <c r="P1017" i="4" s="1"/>
  <c r="O1016" i="4"/>
  <c r="P1016" i="4" s="1"/>
  <c r="O1015" i="4"/>
  <c r="P1015" i="4" s="1"/>
  <c r="O1014" i="4"/>
  <c r="P1014" i="4" s="1"/>
  <c r="O1013" i="4"/>
  <c r="P1013" i="4" s="1"/>
  <c r="O345" i="4"/>
  <c r="P345" i="4" s="1"/>
  <c r="O346" i="4"/>
  <c r="P346" i="4" s="1"/>
  <c r="O1012" i="4"/>
  <c r="P1012" i="4" s="1"/>
  <c r="O37" i="4"/>
  <c r="P37" i="4" s="1"/>
  <c r="O344" i="4"/>
  <c r="P344" i="4" s="1"/>
  <c r="O343" i="4"/>
  <c r="P343" i="4" s="1"/>
  <c r="O1008" i="4"/>
  <c r="P1008" i="4" s="1"/>
  <c r="O1009" i="4"/>
  <c r="P1009" i="4" s="1"/>
  <c r="O1010" i="4"/>
  <c r="P1010" i="4" s="1"/>
  <c r="O1011" i="4"/>
  <c r="P1011" i="4" s="1"/>
  <c r="O1007" i="4"/>
  <c r="P1007" i="4" s="1"/>
  <c r="O1006" i="4"/>
  <c r="P1006" i="4" s="1"/>
  <c r="O1005" i="4"/>
  <c r="P1005" i="4" s="1"/>
  <c r="O1004" i="4"/>
  <c r="P1004" i="4" s="1"/>
  <c r="O1003" i="4"/>
  <c r="P1003" i="4" s="1"/>
  <c r="O1002" i="4"/>
  <c r="P1002" i="4" s="1"/>
  <c r="O1000" i="4"/>
  <c r="P1000" i="4" s="1"/>
  <c r="O1001" i="4"/>
  <c r="P1001" i="4" s="1"/>
  <c r="O999" i="4"/>
  <c r="P999" i="4" s="1"/>
  <c r="O998" i="4"/>
  <c r="P998" i="4" s="1"/>
  <c r="O997" i="4"/>
  <c r="P997" i="4" s="1"/>
  <c r="O12" i="4"/>
  <c r="P12" i="4" s="1"/>
  <c r="O342" i="4"/>
  <c r="P342" i="4" s="1"/>
  <c r="O341" i="4"/>
  <c r="P341" i="4" s="1"/>
  <c r="O340" i="4"/>
  <c r="P340" i="4" s="1"/>
  <c r="O996" i="4"/>
  <c r="P996" i="4" s="1"/>
  <c r="O994" i="4"/>
  <c r="P994" i="4" s="1"/>
  <c r="O995" i="4"/>
  <c r="P995" i="4" s="1"/>
  <c r="O993" i="4"/>
  <c r="P993" i="4" s="1"/>
  <c r="O992" i="4"/>
  <c r="P992" i="4" s="1"/>
  <c r="O15" i="4"/>
  <c r="P15" i="4" s="1"/>
  <c r="O13" i="4"/>
  <c r="P13" i="4" s="1"/>
  <c r="O80" i="4"/>
  <c r="P80" i="4" s="1"/>
  <c r="O19" i="4"/>
  <c r="P19" i="4" s="1"/>
  <c r="O57" i="4"/>
  <c r="P57" i="4" s="1"/>
  <c r="O27" i="4"/>
  <c r="P27" i="4" s="1"/>
  <c r="O11" i="4"/>
  <c r="P11" i="4" s="1"/>
  <c r="O24" i="4"/>
  <c r="P24" i="4" s="1"/>
  <c r="O53" i="4"/>
  <c r="P53" i="4" s="1"/>
  <c r="O66" i="4"/>
  <c r="P66" i="4" s="1"/>
  <c r="O88" i="4"/>
  <c r="P88" i="4" s="1"/>
  <c r="O58" i="4"/>
  <c r="P58" i="4" s="1"/>
  <c r="O339" i="4"/>
  <c r="P339" i="4" s="1"/>
  <c r="O338" i="4"/>
  <c r="P338" i="4" s="1"/>
  <c r="O337" i="4"/>
  <c r="P337" i="4" s="1"/>
  <c r="O22" i="4"/>
  <c r="P22" i="4" s="1"/>
  <c r="O336" i="4"/>
  <c r="P336" i="4" s="1"/>
  <c r="O334" i="4"/>
  <c r="P334" i="4" s="1"/>
  <c r="O335" i="4"/>
  <c r="P335" i="4" s="1"/>
  <c r="O333" i="4"/>
  <c r="P333" i="4" s="1"/>
  <c r="O332" i="4"/>
  <c r="P332" i="4" s="1"/>
  <c r="O197" i="4"/>
  <c r="P197" i="4" s="1"/>
  <c r="O330" i="4"/>
  <c r="P330" i="4" s="1"/>
  <c r="O331" i="4"/>
  <c r="P331" i="4" s="1"/>
  <c r="O328" i="4"/>
  <c r="P328" i="4" s="1"/>
  <c r="O329" i="4"/>
  <c r="P329" i="4" s="1"/>
  <c r="O327" i="4"/>
  <c r="P327" i="4" s="1"/>
  <c r="O326" i="4"/>
  <c r="P326" i="4" s="1"/>
  <c r="O325" i="4"/>
  <c r="P325" i="4" s="1"/>
  <c r="O196" i="4"/>
  <c r="P196" i="4" s="1"/>
  <c r="O324" i="4"/>
  <c r="P324" i="4" s="1"/>
  <c r="O323" i="4"/>
  <c r="P323" i="4" s="1"/>
  <c r="O321" i="4"/>
  <c r="P321" i="4" s="1"/>
  <c r="O322" i="4"/>
  <c r="P322" i="4" s="1"/>
  <c r="O320" i="4"/>
  <c r="P320" i="4" s="1"/>
  <c r="O318" i="4"/>
  <c r="P318" i="4" s="1"/>
  <c r="O319" i="4"/>
  <c r="P319" i="4" s="1"/>
  <c r="O991" i="4"/>
  <c r="P991" i="4" s="1"/>
  <c r="O990" i="4"/>
  <c r="P990" i="4" s="1"/>
  <c r="O989" i="4"/>
  <c r="P989" i="4" s="1"/>
  <c r="O987" i="4"/>
  <c r="P987" i="4" s="1"/>
  <c r="O988" i="4"/>
  <c r="P988" i="4" s="1"/>
  <c r="O985" i="4"/>
  <c r="P985" i="4" s="1"/>
  <c r="O986" i="4"/>
  <c r="P986" i="4" s="1"/>
  <c r="O984" i="4"/>
  <c r="P984" i="4" s="1"/>
  <c r="O46" i="4"/>
  <c r="P46" i="4" s="1"/>
  <c r="O56" i="4"/>
  <c r="P56" i="4" s="1"/>
  <c r="O21" i="4"/>
  <c r="P21" i="4" s="1"/>
  <c r="O61" i="4"/>
  <c r="P61" i="4" s="1"/>
  <c r="O117" i="4"/>
  <c r="P117" i="4" s="1"/>
  <c r="O183" i="4"/>
  <c r="P183" i="4" s="1"/>
  <c r="O161" i="4"/>
  <c r="P161" i="4" s="1"/>
  <c r="O182" i="4"/>
  <c r="P182" i="4" s="1"/>
  <c r="O188" i="4"/>
  <c r="P188" i="4" s="1"/>
  <c r="O181" i="4"/>
  <c r="P181" i="4" s="1"/>
  <c r="O105" i="4"/>
  <c r="P105" i="4" s="1"/>
  <c r="O145" i="4"/>
  <c r="P145" i="4" s="1"/>
  <c r="O79" i="4"/>
  <c r="P79" i="4" s="1"/>
  <c r="O50" i="4"/>
  <c r="P50" i="4" s="1"/>
  <c r="O133" i="4"/>
  <c r="P133" i="4" s="1"/>
  <c r="O171" i="4"/>
  <c r="P171" i="4" s="1"/>
  <c r="O156" i="4"/>
  <c r="P156" i="4" s="1"/>
  <c r="O140" i="4"/>
  <c r="P140" i="4" s="1"/>
  <c r="O116" i="4"/>
  <c r="P116" i="4" s="1"/>
  <c r="O115" i="4"/>
  <c r="P115" i="4" s="1"/>
  <c r="O317" i="4"/>
  <c r="P317" i="4" s="1"/>
  <c r="O180" i="4"/>
  <c r="P180" i="4" s="1"/>
  <c r="O177" i="4"/>
  <c r="P177" i="4" s="1"/>
  <c r="O104" i="4"/>
  <c r="P104" i="4" s="1"/>
  <c r="O170" i="4"/>
  <c r="P170" i="4" s="1"/>
  <c r="O316" i="4"/>
  <c r="P316" i="4" s="1"/>
  <c r="O315" i="4"/>
  <c r="P315" i="4" s="1"/>
  <c r="O983" i="4"/>
  <c r="P983" i="4" s="1"/>
  <c r="O982" i="4"/>
  <c r="P982" i="4" s="1"/>
  <c r="O981" i="4"/>
  <c r="P981" i="4" s="1"/>
  <c r="O980" i="4"/>
  <c r="P980" i="4" s="1"/>
  <c r="O187" i="4"/>
  <c r="P187" i="4" s="1"/>
  <c r="O129" i="4"/>
  <c r="P129" i="4" s="1"/>
  <c r="O103" i="4"/>
  <c r="P103" i="4" s="1"/>
  <c r="O176" i="4"/>
  <c r="P176" i="4" s="1"/>
  <c r="O87" i="4"/>
  <c r="P87" i="4" s="1"/>
  <c r="O77" i="4"/>
  <c r="P77" i="4" s="1"/>
  <c r="O979" i="4"/>
  <c r="P979" i="4" s="1"/>
  <c r="O978" i="4"/>
  <c r="P978" i="4" s="1"/>
  <c r="O144" i="4"/>
  <c r="P144" i="4" s="1"/>
  <c r="O166" i="4"/>
  <c r="P166" i="4" s="1"/>
  <c r="O314" i="4"/>
  <c r="P314" i="4" s="1"/>
  <c r="O313" i="4"/>
  <c r="P313" i="4" s="1"/>
  <c r="O977" i="4"/>
  <c r="P977" i="4" s="1"/>
  <c r="O975" i="4"/>
  <c r="P975" i="4" s="1"/>
  <c r="O976" i="4"/>
  <c r="P976" i="4" s="1"/>
  <c r="O1523" i="4"/>
  <c r="P1523" i="4" s="1"/>
  <c r="H1522" i="4"/>
  <c r="I1522" i="4" s="1"/>
  <c r="H974" i="4"/>
  <c r="I974" i="4" s="1"/>
  <c r="H973" i="4"/>
  <c r="I973" i="4" s="1"/>
  <c r="H1521" i="4"/>
  <c r="I1521" i="4" s="1"/>
  <c r="H972" i="4"/>
  <c r="I972" i="4" s="1"/>
  <c r="H971" i="4"/>
  <c r="I971" i="4" s="1"/>
  <c r="H1520" i="4"/>
  <c r="I1520" i="4" s="1"/>
  <c r="H970" i="4"/>
  <c r="I970" i="4" s="1"/>
  <c r="H1519" i="4"/>
  <c r="I1519" i="4" s="1"/>
  <c r="H1518" i="4"/>
  <c r="I1518" i="4" s="1"/>
  <c r="H1517" i="4"/>
  <c r="I1517" i="4" s="1"/>
  <c r="H1515" i="4"/>
  <c r="I1515" i="4" s="1"/>
  <c r="H1516" i="4"/>
  <c r="I1516" i="4" s="1"/>
  <c r="H1514" i="4"/>
  <c r="I1514" i="4" s="1"/>
  <c r="H1513" i="4"/>
  <c r="I1513" i="4" s="1"/>
  <c r="H969" i="4"/>
  <c r="I969" i="4" s="1"/>
  <c r="H967" i="4"/>
  <c r="I967" i="4" s="1"/>
  <c r="H968" i="4"/>
  <c r="I968" i="4" s="1"/>
  <c r="H966" i="4"/>
  <c r="I966" i="4" s="1"/>
  <c r="H1512" i="4"/>
  <c r="I1512" i="4" s="1"/>
  <c r="H1511" i="4"/>
  <c r="I1511" i="4" s="1"/>
  <c r="H1510" i="4"/>
  <c r="I1510" i="4" s="1"/>
  <c r="H1509" i="4"/>
  <c r="I1509" i="4" s="1"/>
  <c r="H965" i="4"/>
  <c r="I965" i="4" s="1"/>
  <c r="H1507" i="4"/>
  <c r="I1507" i="4" s="1"/>
  <c r="H1508" i="4"/>
  <c r="I1508" i="4" s="1"/>
  <c r="H1504" i="4"/>
  <c r="I1504" i="4" s="1"/>
  <c r="H1505" i="4"/>
  <c r="I1505" i="4" s="1"/>
  <c r="H1506" i="4"/>
  <c r="I1506" i="4" s="1"/>
  <c r="H1503" i="4"/>
  <c r="I1503" i="4" s="1"/>
  <c r="H1502" i="4"/>
  <c r="I1502" i="4" s="1"/>
  <c r="H964" i="4"/>
  <c r="I964" i="4" s="1"/>
  <c r="H1501" i="4"/>
  <c r="I1501" i="4" s="1"/>
  <c r="H1499" i="4"/>
  <c r="I1499" i="4" s="1"/>
  <c r="H1500" i="4"/>
  <c r="I1500" i="4" s="1"/>
  <c r="H963" i="4"/>
  <c r="I963" i="4" s="1"/>
  <c r="H312" i="4"/>
  <c r="I312" i="4" s="1"/>
  <c r="H962" i="4"/>
  <c r="I962" i="4" s="1"/>
  <c r="H961" i="4"/>
  <c r="I961" i="4" s="1"/>
  <c r="H1498" i="4"/>
  <c r="I1498" i="4" s="1"/>
  <c r="H1497" i="4"/>
  <c r="I1497" i="4" s="1"/>
  <c r="H1496" i="4"/>
  <c r="I1496" i="4" s="1"/>
  <c r="H1494" i="4"/>
  <c r="I1494" i="4" s="1"/>
  <c r="H1495" i="4"/>
  <c r="I1495" i="4" s="1"/>
  <c r="H1493" i="4"/>
  <c r="I1493" i="4" s="1"/>
  <c r="H1490" i="4"/>
  <c r="I1490" i="4" s="1"/>
  <c r="H1491" i="4"/>
  <c r="I1491" i="4" s="1"/>
  <c r="H1492" i="4"/>
  <c r="I1492" i="4" s="1"/>
  <c r="H1489" i="4"/>
  <c r="I1489" i="4" s="1"/>
  <c r="H1487" i="4"/>
  <c r="I1487" i="4" s="1"/>
  <c r="H1488" i="4"/>
  <c r="I1488" i="4" s="1"/>
  <c r="H311" i="4"/>
  <c r="I311" i="4" s="1"/>
  <c r="H195" i="4"/>
  <c r="I195" i="4" s="1"/>
  <c r="H310" i="4"/>
  <c r="I310" i="4" s="1"/>
  <c r="H309" i="4"/>
  <c r="I309" i="4" s="1"/>
  <c r="H308" i="4"/>
  <c r="I308" i="4" s="1"/>
  <c r="H307" i="4"/>
  <c r="I307" i="4" s="1"/>
  <c r="H306" i="4"/>
  <c r="I306" i="4" s="1"/>
  <c r="H186" i="4"/>
  <c r="I186" i="4" s="1"/>
  <c r="H960" i="4"/>
  <c r="I960" i="4" s="1"/>
  <c r="H305" i="4"/>
  <c r="I305" i="4" s="1"/>
  <c r="H304" i="4"/>
  <c r="I304" i="4" s="1"/>
  <c r="H301" i="4"/>
  <c r="I301" i="4" s="1"/>
  <c r="H302" i="4"/>
  <c r="I302" i="4" s="1"/>
  <c r="H303" i="4"/>
  <c r="I303" i="4" s="1"/>
  <c r="H300" i="4"/>
  <c r="I300" i="4" s="1"/>
  <c r="H299" i="4"/>
  <c r="I299" i="4" s="1"/>
  <c r="H297" i="4"/>
  <c r="I297" i="4" s="1"/>
  <c r="H298" i="4"/>
  <c r="I298" i="4" s="1"/>
  <c r="H296" i="4"/>
  <c r="I296" i="4" s="1"/>
  <c r="H295" i="4"/>
  <c r="I295" i="4" s="1"/>
  <c r="H294" i="4"/>
  <c r="I294" i="4" s="1"/>
  <c r="H293" i="4"/>
  <c r="I293" i="4" s="1"/>
  <c r="H194" i="4"/>
  <c r="I194" i="4" s="1"/>
  <c r="H291" i="4"/>
  <c r="I291" i="4" s="1"/>
  <c r="H292" i="4"/>
  <c r="I292" i="4" s="1"/>
  <c r="H959" i="4"/>
  <c r="I959" i="4" s="1"/>
  <c r="H290" i="4"/>
  <c r="I290" i="4" s="1"/>
  <c r="H289" i="4"/>
  <c r="I289" i="4" s="1"/>
  <c r="H288" i="4"/>
  <c r="I288" i="4" s="1"/>
  <c r="H287" i="4"/>
  <c r="I287" i="4" s="1"/>
  <c r="H958" i="4"/>
  <c r="I958" i="4" s="1"/>
  <c r="H957" i="4"/>
  <c r="I957" i="4" s="1"/>
  <c r="H286" i="4"/>
  <c r="I286" i="4" s="1"/>
  <c r="H285" i="4"/>
  <c r="I285" i="4" s="1"/>
  <c r="H955" i="4"/>
  <c r="I955" i="4" s="1"/>
  <c r="H956" i="4"/>
  <c r="I956" i="4" s="1"/>
  <c r="H953" i="4"/>
  <c r="I953" i="4" s="1"/>
  <c r="H954" i="4"/>
  <c r="I954" i="4" s="1"/>
  <c r="H284" i="4"/>
  <c r="I284" i="4" s="1"/>
  <c r="H193" i="4"/>
  <c r="I193" i="4" s="1"/>
  <c r="H283" i="4"/>
  <c r="I283" i="4" s="1"/>
  <c r="H282" i="4"/>
  <c r="I282" i="4" s="1"/>
  <c r="H952" i="4"/>
  <c r="I952" i="4" s="1"/>
  <c r="H951" i="4"/>
  <c r="I951" i="4" s="1"/>
  <c r="H950" i="4"/>
  <c r="I950" i="4" s="1"/>
  <c r="H949" i="4"/>
  <c r="I949" i="4" s="1"/>
  <c r="H948" i="4"/>
  <c r="I948" i="4" s="1"/>
  <c r="H947" i="4"/>
  <c r="I947" i="4" s="1"/>
  <c r="H946" i="4"/>
  <c r="I946" i="4" s="1"/>
  <c r="H281" i="4"/>
  <c r="I281" i="4" s="1"/>
  <c r="H945" i="4"/>
  <c r="I945" i="4" s="1"/>
  <c r="H943" i="4"/>
  <c r="I943" i="4" s="1"/>
  <c r="H944" i="4"/>
  <c r="I944" i="4" s="1"/>
  <c r="H192" i="4"/>
  <c r="I192" i="4" s="1"/>
  <c r="H279" i="4"/>
  <c r="I279" i="4" s="1"/>
  <c r="H280" i="4"/>
  <c r="I280" i="4" s="1"/>
  <c r="H277" i="4"/>
  <c r="I277" i="4" s="1"/>
  <c r="H278" i="4"/>
  <c r="I278" i="4" s="1"/>
  <c r="H276" i="4"/>
  <c r="I276" i="4" s="1"/>
  <c r="H275" i="4"/>
  <c r="I275" i="4" s="1"/>
  <c r="H274" i="4"/>
  <c r="I274" i="4" s="1"/>
  <c r="H273" i="4"/>
  <c r="I273" i="4" s="1"/>
  <c r="H271" i="4"/>
  <c r="I271" i="4" s="1"/>
  <c r="H272" i="4"/>
  <c r="I272" i="4" s="1"/>
  <c r="H270" i="4"/>
  <c r="I270" i="4" s="1"/>
  <c r="H269" i="4"/>
  <c r="I269" i="4" s="1"/>
  <c r="H942" i="4"/>
  <c r="I942" i="4" s="1"/>
  <c r="H268" i="4"/>
  <c r="I268" i="4" s="1"/>
  <c r="H266" i="4"/>
  <c r="I266" i="4" s="1"/>
  <c r="H267" i="4"/>
  <c r="I267" i="4" s="1"/>
  <c r="H265" i="4"/>
  <c r="I265" i="4" s="1"/>
  <c r="H263" i="4"/>
  <c r="I263" i="4" s="1"/>
  <c r="H264" i="4"/>
  <c r="I264" i="4" s="1"/>
  <c r="H941" i="4"/>
  <c r="I941" i="4" s="1"/>
  <c r="H940" i="4"/>
  <c r="I940" i="4" s="1"/>
  <c r="H939" i="4"/>
  <c r="I939" i="4" s="1"/>
  <c r="H938" i="4"/>
  <c r="I938" i="4" s="1"/>
  <c r="H262" i="4"/>
  <c r="I262" i="4" s="1"/>
  <c r="H261" i="4"/>
  <c r="I261" i="4" s="1"/>
  <c r="H260" i="4"/>
  <c r="I260" i="4" s="1"/>
  <c r="H259" i="4"/>
  <c r="I259" i="4" s="1"/>
  <c r="H258" i="4"/>
  <c r="I258" i="4" s="1"/>
  <c r="H257" i="4"/>
  <c r="I257" i="4" s="1"/>
  <c r="H256" i="4"/>
  <c r="I256" i="4" s="1"/>
  <c r="H255" i="4"/>
  <c r="I255" i="4" s="1"/>
  <c r="H254" i="4"/>
  <c r="I254" i="4" s="1"/>
  <c r="H253" i="4"/>
  <c r="I253" i="4" s="1"/>
  <c r="H936" i="4"/>
  <c r="I936" i="4" s="1"/>
  <c r="H937" i="4"/>
  <c r="I937" i="4" s="1"/>
  <c r="H935" i="4"/>
  <c r="I935" i="4" s="1"/>
  <c r="H1486" i="4"/>
  <c r="I1486" i="4" s="1"/>
  <c r="H934" i="4"/>
  <c r="I934" i="4" s="1"/>
  <c r="H933" i="4"/>
  <c r="I933" i="4" s="1"/>
  <c r="H932" i="4"/>
  <c r="I932" i="4" s="1"/>
  <c r="H252" i="4"/>
  <c r="I252" i="4" s="1"/>
  <c r="H251" i="4"/>
  <c r="I251" i="4" s="1"/>
  <c r="H931" i="4"/>
  <c r="I931" i="4" s="1"/>
  <c r="H1485" i="4"/>
  <c r="I1485" i="4" s="1"/>
  <c r="H1484" i="4"/>
  <c r="I1484" i="4" s="1"/>
  <c r="H930" i="4"/>
  <c r="I930" i="4" s="1"/>
  <c r="H929" i="4"/>
  <c r="I929" i="4" s="1"/>
  <c r="H1483" i="4"/>
  <c r="I1483" i="4" s="1"/>
  <c r="H1482" i="4"/>
  <c r="I1482" i="4" s="1"/>
  <c r="H1480" i="4"/>
  <c r="I1480" i="4" s="1"/>
  <c r="H1481" i="4"/>
  <c r="I1481" i="4" s="1"/>
  <c r="H928" i="4"/>
  <c r="I928" i="4" s="1"/>
  <c r="H250" i="4"/>
  <c r="I250" i="4" s="1"/>
  <c r="H249" i="4"/>
  <c r="I249" i="4" s="1"/>
  <c r="H927" i="4"/>
  <c r="I927" i="4" s="1"/>
  <c r="H926" i="4"/>
  <c r="I926" i="4" s="1"/>
  <c r="H925" i="4"/>
  <c r="I925" i="4" s="1"/>
  <c r="H924" i="4"/>
  <c r="I924" i="4" s="1"/>
  <c r="H248" i="4"/>
  <c r="I248" i="4" s="1"/>
  <c r="H923" i="4"/>
  <c r="I923" i="4" s="1"/>
  <c r="H922" i="4"/>
  <c r="I922" i="4" s="1"/>
  <c r="H921" i="4"/>
  <c r="I921" i="4" s="1"/>
  <c r="H1479" i="4"/>
  <c r="I1479" i="4" s="1"/>
  <c r="H247" i="4"/>
  <c r="I247" i="4" s="1"/>
  <c r="H246" i="4"/>
  <c r="I246" i="4" s="1"/>
  <c r="H1478" i="4"/>
  <c r="I1478" i="4" s="1"/>
  <c r="H245" i="4"/>
  <c r="I245" i="4" s="1"/>
  <c r="H244" i="4"/>
  <c r="I244" i="4" s="1"/>
  <c r="H243" i="4"/>
  <c r="I243" i="4" s="1"/>
  <c r="H920" i="4"/>
  <c r="I920" i="4" s="1"/>
  <c r="H919" i="4"/>
  <c r="I919" i="4" s="1"/>
  <c r="H1477" i="4"/>
  <c r="I1477" i="4" s="1"/>
  <c r="H918" i="4"/>
  <c r="I918" i="4" s="1"/>
  <c r="H915" i="4"/>
  <c r="I915" i="4" s="1"/>
  <c r="H916" i="4"/>
  <c r="I916" i="4" s="1"/>
  <c r="H917" i="4"/>
  <c r="I917" i="4" s="1"/>
  <c r="H914" i="4"/>
  <c r="I914" i="4" s="1"/>
  <c r="H1476" i="4"/>
  <c r="I1476" i="4" s="1"/>
  <c r="H1475" i="4"/>
  <c r="I1475" i="4" s="1"/>
  <c r="H913" i="4"/>
  <c r="I913" i="4" s="1"/>
  <c r="H912" i="4"/>
  <c r="I912" i="4" s="1"/>
  <c r="H911" i="4"/>
  <c r="I911" i="4" s="1"/>
  <c r="H910" i="4"/>
  <c r="I910" i="4" s="1"/>
  <c r="H909" i="4"/>
  <c r="I909" i="4" s="1"/>
  <c r="H907" i="4"/>
  <c r="I907" i="4" s="1"/>
  <c r="H908" i="4"/>
  <c r="I908" i="4" s="1"/>
  <c r="H905" i="4"/>
  <c r="I905" i="4" s="1"/>
  <c r="H906" i="4"/>
  <c r="I906" i="4" s="1"/>
  <c r="H904" i="4"/>
  <c r="I904" i="4" s="1"/>
  <c r="H903" i="4"/>
  <c r="I903" i="4" s="1"/>
  <c r="H902" i="4"/>
  <c r="I902" i="4" s="1"/>
  <c r="H901" i="4"/>
  <c r="I901" i="4" s="1"/>
  <c r="H900" i="4"/>
  <c r="I900" i="4" s="1"/>
  <c r="H1474" i="4"/>
  <c r="I1474" i="4" s="1"/>
  <c r="H1473" i="4"/>
  <c r="I1473" i="4" s="1"/>
  <c r="H898" i="4"/>
  <c r="I898" i="4" s="1"/>
  <c r="H899" i="4"/>
  <c r="I899" i="4" s="1"/>
  <c r="H1472" i="4"/>
  <c r="I1472" i="4" s="1"/>
  <c r="H1471" i="4"/>
  <c r="I1471" i="4" s="1"/>
  <c r="H897" i="4"/>
  <c r="I897" i="4" s="1"/>
  <c r="H1470" i="4"/>
  <c r="I1470" i="4" s="1"/>
  <c r="H895" i="4"/>
  <c r="I895" i="4" s="1"/>
  <c r="H896" i="4"/>
  <c r="I896" i="4" s="1"/>
  <c r="H1469" i="4"/>
  <c r="I1469" i="4" s="1"/>
  <c r="H1468" i="4"/>
  <c r="I1468" i="4" s="1"/>
  <c r="H894" i="4"/>
  <c r="I894" i="4" s="1"/>
  <c r="H893" i="4"/>
  <c r="I893" i="4" s="1"/>
  <c r="H242" i="4"/>
  <c r="I242" i="4" s="1"/>
  <c r="H1467" i="4"/>
  <c r="I1467" i="4" s="1"/>
  <c r="H892" i="4"/>
  <c r="I892" i="4" s="1"/>
  <c r="H891" i="4"/>
  <c r="I891" i="4" s="1"/>
  <c r="H890" i="4"/>
  <c r="I890" i="4" s="1"/>
  <c r="H888" i="4"/>
  <c r="I888" i="4" s="1"/>
  <c r="H889" i="4"/>
  <c r="I889" i="4" s="1"/>
  <c r="H887" i="4"/>
  <c r="I887" i="4" s="1"/>
  <c r="H886" i="4"/>
  <c r="I886" i="4" s="1"/>
  <c r="H885" i="4"/>
  <c r="I885" i="4" s="1"/>
  <c r="H1466" i="4"/>
  <c r="I1466" i="4" s="1"/>
  <c r="H1465" i="4"/>
  <c r="I1465" i="4" s="1"/>
  <c r="H884" i="4"/>
  <c r="I884" i="4" s="1"/>
  <c r="H883" i="4"/>
  <c r="I883" i="4" s="1"/>
  <c r="H191" i="4"/>
  <c r="I191" i="4" s="1"/>
  <c r="H882" i="4"/>
  <c r="I882" i="4" s="1"/>
  <c r="H881" i="4"/>
  <c r="I881" i="4" s="1"/>
  <c r="H880" i="4"/>
  <c r="I880" i="4" s="1"/>
  <c r="H1464" i="4"/>
  <c r="I1464" i="4" s="1"/>
  <c r="H1463" i="4"/>
  <c r="I1463" i="4" s="1"/>
  <c r="H1462" i="4"/>
  <c r="I1462" i="4" s="1"/>
  <c r="H1461" i="4"/>
  <c r="I1461" i="4" s="1"/>
  <c r="H1460" i="4"/>
  <c r="I1460" i="4" s="1"/>
  <c r="H1459" i="4"/>
  <c r="I1459" i="4" s="1"/>
  <c r="H879" i="4"/>
  <c r="I879" i="4" s="1"/>
  <c r="H1458" i="4"/>
  <c r="I1458" i="4" s="1"/>
  <c r="H878" i="4"/>
  <c r="I878" i="4" s="1"/>
  <c r="H1456" i="4"/>
  <c r="I1456" i="4" s="1"/>
  <c r="H1457" i="4"/>
  <c r="I1457" i="4" s="1"/>
  <c r="H1455" i="4"/>
  <c r="I1455" i="4" s="1"/>
  <c r="H241" i="4"/>
  <c r="I241" i="4" s="1"/>
  <c r="H877" i="4"/>
  <c r="I877" i="4" s="1"/>
  <c r="H1454" i="4"/>
  <c r="I1454" i="4" s="1"/>
  <c r="H16" i="4"/>
  <c r="I16" i="4" s="1"/>
  <c r="H1453" i="4"/>
  <c r="I1453" i="4" s="1"/>
  <c r="H876" i="4"/>
  <c r="I876" i="4" s="1"/>
  <c r="H875" i="4"/>
  <c r="I875" i="4" s="1"/>
  <c r="H874" i="4"/>
  <c r="I874" i="4" s="1"/>
  <c r="H1452" i="4"/>
  <c r="I1452" i="4" s="1"/>
  <c r="H873" i="4"/>
  <c r="I873" i="4" s="1"/>
  <c r="H872" i="4"/>
  <c r="I872" i="4" s="1"/>
  <c r="H1451" i="4"/>
  <c r="I1451" i="4" s="1"/>
  <c r="H1449" i="4"/>
  <c r="I1449" i="4" s="1"/>
  <c r="H1450" i="4"/>
  <c r="I1450" i="4" s="1"/>
  <c r="H1448" i="4"/>
  <c r="I1448" i="4" s="1"/>
  <c r="H1447" i="4"/>
  <c r="I1447" i="4" s="1"/>
  <c r="H240" i="4"/>
  <c r="I240" i="4" s="1"/>
  <c r="H871" i="4"/>
  <c r="I871" i="4" s="1"/>
  <c r="H870" i="4"/>
  <c r="I870" i="4" s="1"/>
  <c r="H869" i="4"/>
  <c r="I869" i="4" s="1"/>
  <c r="H868" i="4"/>
  <c r="I868" i="4" s="1"/>
  <c r="H1446" i="4"/>
  <c r="I1446" i="4" s="1"/>
  <c r="H1445" i="4"/>
  <c r="I1445" i="4" s="1"/>
  <c r="H866" i="4"/>
  <c r="I866" i="4" s="1"/>
  <c r="H867" i="4"/>
  <c r="I867" i="4" s="1"/>
  <c r="H864" i="4"/>
  <c r="I864" i="4" s="1"/>
  <c r="H865" i="4"/>
  <c r="I865" i="4" s="1"/>
  <c r="H239" i="4"/>
  <c r="I239" i="4" s="1"/>
  <c r="H863" i="4"/>
  <c r="I863" i="4" s="1"/>
  <c r="H861" i="4"/>
  <c r="I861" i="4" s="1"/>
  <c r="H862" i="4"/>
  <c r="I862" i="4" s="1"/>
  <c r="H859" i="4"/>
  <c r="I859" i="4" s="1"/>
  <c r="H1444" i="4"/>
  <c r="I1444" i="4" s="1"/>
  <c r="H860" i="4"/>
  <c r="I860" i="4" s="1"/>
  <c r="H858" i="4"/>
  <c r="I858" i="4" s="1"/>
  <c r="H856" i="4"/>
  <c r="I856" i="4" s="1"/>
  <c r="H857" i="4"/>
  <c r="I857" i="4" s="1"/>
  <c r="H1443" i="4"/>
  <c r="I1443" i="4" s="1"/>
  <c r="H1442" i="4"/>
  <c r="I1442" i="4" s="1"/>
  <c r="H855" i="4"/>
  <c r="I855" i="4" s="1"/>
  <c r="H1441" i="4"/>
  <c r="I1441" i="4" s="1"/>
  <c r="H854" i="4"/>
  <c r="I854" i="4" s="1"/>
  <c r="H853" i="4"/>
  <c r="I853" i="4" s="1"/>
  <c r="H238" i="4"/>
  <c r="I238" i="4" s="1"/>
  <c r="H852" i="4"/>
  <c r="I852" i="4" s="1"/>
  <c r="H851" i="4"/>
  <c r="I851" i="4" s="1"/>
  <c r="H850" i="4"/>
  <c r="I850" i="4" s="1"/>
  <c r="H237" i="4"/>
  <c r="I237" i="4" s="1"/>
  <c r="H849" i="4"/>
  <c r="I849" i="4" s="1"/>
  <c r="H848" i="4"/>
  <c r="I848" i="4" s="1"/>
  <c r="H846" i="4"/>
  <c r="I846" i="4" s="1"/>
  <c r="H847" i="4"/>
  <c r="I847" i="4" s="1"/>
  <c r="H845" i="4"/>
  <c r="I845" i="4" s="1"/>
  <c r="H844" i="4"/>
  <c r="I844" i="4" s="1"/>
  <c r="H843" i="4"/>
  <c r="I843" i="4" s="1"/>
  <c r="H842" i="4"/>
  <c r="I842" i="4" s="1"/>
  <c r="H841" i="4"/>
  <c r="I841" i="4" s="1"/>
  <c r="H840" i="4"/>
  <c r="I840" i="4" s="1"/>
  <c r="H839" i="4"/>
  <c r="I839" i="4" s="1"/>
  <c r="H1440" i="4"/>
  <c r="I1440" i="4" s="1"/>
  <c r="H838" i="4"/>
  <c r="I838" i="4" s="1"/>
  <c r="H1439" i="4"/>
  <c r="I1439" i="4" s="1"/>
  <c r="H837" i="4"/>
  <c r="I837" i="4" s="1"/>
  <c r="H836" i="4"/>
  <c r="I836" i="4" s="1"/>
  <c r="H835" i="4"/>
  <c r="I835" i="4" s="1"/>
  <c r="H834" i="4"/>
  <c r="I834" i="4" s="1"/>
  <c r="H833" i="4"/>
  <c r="I833" i="4" s="1"/>
  <c r="H832" i="4"/>
  <c r="I832" i="4" s="1"/>
  <c r="H830" i="4"/>
  <c r="I830" i="4" s="1"/>
  <c r="H831" i="4"/>
  <c r="I831" i="4" s="1"/>
  <c r="H829" i="4"/>
  <c r="I829" i="4" s="1"/>
  <c r="H828" i="4"/>
  <c r="I828" i="4" s="1"/>
  <c r="H827" i="4"/>
  <c r="I827" i="4" s="1"/>
  <c r="H826" i="4"/>
  <c r="I826" i="4" s="1"/>
  <c r="H1438" i="4"/>
  <c r="I1438" i="4" s="1"/>
  <c r="H236" i="4"/>
  <c r="I236" i="4" s="1"/>
  <c r="H1436" i="4"/>
  <c r="I1436" i="4" s="1"/>
  <c r="H825" i="4"/>
  <c r="I825" i="4" s="1"/>
  <c r="H1437" i="4"/>
  <c r="I1437" i="4" s="1"/>
  <c r="H824" i="4"/>
  <c r="I824" i="4" s="1"/>
  <c r="H823" i="4"/>
  <c r="I823" i="4" s="1"/>
  <c r="H822" i="4"/>
  <c r="I822" i="4" s="1"/>
  <c r="H1434" i="4"/>
  <c r="I1434" i="4" s="1"/>
  <c r="H1435" i="4"/>
  <c r="I1435" i="4" s="1"/>
  <c r="H821" i="4"/>
  <c r="I821" i="4" s="1"/>
  <c r="H819" i="4"/>
  <c r="I819" i="4" s="1"/>
  <c r="H820" i="4"/>
  <c r="I820" i="4" s="1"/>
  <c r="H817" i="4"/>
  <c r="I817" i="4" s="1"/>
  <c r="H818" i="4"/>
  <c r="I818" i="4" s="1"/>
  <c r="H1433" i="4"/>
  <c r="I1433" i="4" s="1"/>
  <c r="H816" i="4"/>
  <c r="I816" i="4" s="1"/>
  <c r="H1432" i="4"/>
  <c r="I1432" i="4" s="1"/>
  <c r="H815" i="4"/>
  <c r="I815" i="4" s="1"/>
  <c r="H813" i="4"/>
  <c r="I813" i="4" s="1"/>
  <c r="H814" i="4"/>
  <c r="I814" i="4" s="1"/>
  <c r="H1430" i="4"/>
  <c r="I1430" i="4" s="1"/>
  <c r="H1431" i="4"/>
  <c r="I1431" i="4" s="1"/>
  <c r="H812" i="4"/>
  <c r="I812" i="4" s="1"/>
  <c r="H1429" i="4"/>
  <c r="I1429" i="4" s="1"/>
  <c r="H1428" i="4"/>
  <c r="I1428" i="4" s="1"/>
  <c r="H811" i="4"/>
  <c r="I811" i="4" s="1"/>
  <c r="H1427" i="4"/>
  <c r="I1427" i="4" s="1"/>
  <c r="H809" i="4"/>
  <c r="I809" i="4" s="1"/>
  <c r="H810" i="4"/>
  <c r="I810" i="4" s="1"/>
  <c r="H808" i="4"/>
  <c r="I808" i="4" s="1"/>
  <c r="H806" i="4"/>
  <c r="I806" i="4" s="1"/>
  <c r="H807" i="4"/>
  <c r="I807" i="4" s="1"/>
  <c r="H1426" i="4"/>
  <c r="I1426" i="4" s="1"/>
  <c r="H805" i="4"/>
  <c r="I805" i="4" s="1"/>
  <c r="H804" i="4"/>
  <c r="I804" i="4" s="1"/>
  <c r="H803" i="4"/>
  <c r="I803" i="4" s="1"/>
  <c r="H802" i="4"/>
  <c r="I802" i="4" s="1"/>
  <c r="H801" i="4"/>
  <c r="I801" i="4" s="1"/>
  <c r="H800" i="4"/>
  <c r="I800" i="4" s="1"/>
  <c r="H799" i="4"/>
  <c r="I799" i="4" s="1"/>
  <c r="H798" i="4"/>
  <c r="I798" i="4" s="1"/>
  <c r="H797" i="4"/>
  <c r="I797" i="4" s="1"/>
  <c r="H796" i="4"/>
  <c r="I796" i="4" s="1"/>
  <c r="H795" i="4"/>
  <c r="I795" i="4" s="1"/>
  <c r="H1425" i="4"/>
  <c r="I1425" i="4" s="1"/>
  <c r="H794" i="4"/>
  <c r="I794" i="4" s="1"/>
  <c r="H5" i="4"/>
  <c r="I5" i="4" s="1"/>
  <c r="H235" i="4"/>
  <c r="I235" i="4" s="1"/>
  <c r="H793" i="4"/>
  <c r="I793" i="4" s="1"/>
  <c r="H1424" i="4"/>
  <c r="I1424" i="4" s="1"/>
  <c r="H792" i="4"/>
  <c r="I792" i="4" s="1"/>
  <c r="H791" i="4"/>
  <c r="I791" i="4" s="1"/>
  <c r="H1423" i="4"/>
  <c r="I1423" i="4" s="1"/>
  <c r="H790" i="4"/>
  <c r="I790" i="4" s="1"/>
  <c r="H789" i="4"/>
  <c r="I789" i="4" s="1"/>
  <c r="H1422" i="4"/>
  <c r="I1422" i="4" s="1"/>
  <c r="H1420" i="4"/>
  <c r="I1420" i="4" s="1"/>
  <c r="H1421" i="4"/>
  <c r="I1421" i="4" s="1"/>
  <c r="H1419" i="4"/>
  <c r="I1419" i="4" s="1"/>
  <c r="H1418" i="4"/>
  <c r="I1418" i="4" s="1"/>
  <c r="H1417" i="4"/>
  <c r="I1417" i="4" s="1"/>
  <c r="H1416" i="4"/>
  <c r="I1416" i="4" s="1"/>
  <c r="H1415" i="4"/>
  <c r="I1415" i="4" s="1"/>
  <c r="H1414" i="4"/>
  <c r="I1414" i="4" s="1"/>
  <c r="H788" i="4"/>
  <c r="I788" i="4" s="1"/>
  <c r="H787" i="4"/>
  <c r="I787" i="4" s="1"/>
  <c r="H1413" i="4"/>
  <c r="I1413" i="4" s="1"/>
  <c r="H786" i="4"/>
  <c r="I786" i="4" s="1"/>
  <c r="H785" i="4"/>
  <c r="I785" i="4" s="1"/>
  <c r="H784" i="4"/>
  <c r="I784" i="4" s="1"/>
  <c r="H783" i="4"/>
  <c r="I783" i="4" s="1"/>
  <c r="H781" i="4"/>
  <c r="I781" i="4" s="1"/>
  <c r="H782" i="4"/>
  <c r="I782" i="4" s="1"/>
  <c r="H1411" i="4"/>
  <c r="I1411" i="4" s="1"/>
  <c r="H1412" i="4"/>
  <c r="I1412" i="4" s="1"/>
  <c r="H780" i="4"/>
  <c r="I780" i="4" s="1"/>
  <c r="H779" i="4"/>
  <c r="I779" i="4" s="1"/>
  <c r="H1410" i="4"/>
  <c r="I1410" i="4" s="1"/>
  <c r="H778" i="4"/>
  <c r="I778" i="4" s="1"/>
  <c r="H777" i="4"/>
  <c r="I777" i="4" s="1"/>
  <c r="H776" i="4"/>
  <c r="I776" i="4" s="1"/>
  <c r="H774" i="4"/>
  <c r="I774" i="4" s="1"/>
  <c r="H775" i="4"/>
  <c r="I775" i="4" s="1"/>
  <c r="H234" i="4"/>
  <c r="I234" i="4" s="1"/>
  <c r="H773" i="4"/>
  <c r="I773" i="4" s="1"/>
  <c r="H772" i="4"/>
  <c r="I772" i="4" s="1"/>
  <c r="H771" i="4"/>
  <c r="I771" i="4" s="1"/>
  <c r="H770" i="4"/>
  <c r="I770" i="4" s="1"/>
  <c r="H769" i="4"/>
  <c r="I769" i="4" s="1"/>
  <c r="H768" i="4"/>
  <c r="I768" i="4" s="1"/>
  <c r="H767" i="4"/>
  <c r="I767" i="4" s="1"/>
  <c r="H766" i="4"/>
  <c r="I766" i="4" s="1"/>
  <c r="H1409" i="4"/>
  <c r="I1409" i="4" s="1"/>
  <c r="H233" i="4"/>
  <c r="I233" i="4" s="1"/>
  <c r="H765" i="4"/>
  <c r="I765" i="4" s="1"/>
  <c r="H764" i="4"/>
  <c r="I764" i="4" s="1"/>
  <c r="H1408" i="4"/>
  <c r="I1408" i="4" s="1"/>
  <c r="H763" i="4"/>
  <c r="I763" i="4" s="1"/>
  <c r="H762" i="4"/>
  <c r="I762" i="4" s="1"/>
  <c r="H761" i="4"/>
  <c r="I761" i="4" s="1"/>
  <c r="H760" i="4"/>
  <c r="I760" i="4" s="1"/>
  <c r="H759" i="4"/>
  <c r="I759" i="4" s="1"/>
  <c r="H758" i="4"/>
  <c r="I758" i="4" s="1"/>
  <c r="H757" i="4"/>
  <c r="I757" i="4" s="1"/>
  <c r="H1407" i="4"/>
  <c r="I1407" i="4" s="1"/>
  <c r="H1406" i="4"/>
  <c r="I1406" i="4" s="1"/>
  <c r="H1405" i="4"/>
  <c r="I1405" i="4" s="1"/>
  <c r="H1404" i="4"/>
  <c r="I1404" i="4" s="1"/>
  <c r="H1403" i="4"/>
  <c r="I1403" i="4" s="1"/>
  <c r="H1401" i="4"/>
  <c r="I1401" i="4" s="1"/>
  <c r="H1402" i="4"/>
  <c r="I1402" i="4" s="1"/>
  <c r="H1399" i="4"/>
  <c r="I1399" i="4" s="1"/>
  <c r="H1400" i="4"/>
  <c r="I1400" i="4" s="1"/>
  <c r="H1398" i="4"/>
  <c r="I1398" i="4" s="1"/>
  <c r="H755" i="4"/>
  <c r="I755" i="4" s="1"/>
  <c r="H756" i="4"/>
  <c r="I756" i="4" s="1"/>
  <c r="H1397" i="4"/>
  <c r="I1397" i="4" s="1"/>
  <c r="H754" i="4"/>
  <c r="I754" i="4" s="1"/>
  <c r="H753" i="4"/>
  <c r="I753" i="4" s="1"/>
  <c r="H752" i="4"/>
  <c r="I752" i="4" s="1"/>
  <c r="H751" i="4"/>
  <c r="I751" i="4" s="1"/>
  <c r="H1396" i="4"/>
  <c r="I1396" i="4" s="1"/>
  <c r="H1395" i="4"/>
  <c r="I1395" i="4" s="1"/>
  <c r="H1394" i="4"/>
  <c r="I1394" i="4" s="1"/>
  <c r="H1392" i="4"/>
  <c r="I1392" i="4" s="1"/>
  <c r="H1393" i="4"/>
  <c r="I1393" i="4" s="1"/>
  <c r="H1391" i="4"/>
  <c r="I1391" i="4" s="1"/>
  <c r="H1390" i="4"/>
  <c r="I1390" i="4" s="1"/>
  <c r="H1389" i="4"/>
  <c r="I1389" i="4" s="1"/>
  <c r="H749" i="4"/>
  <c r="I749" i="4" s="1"/>
  <c r="H750" i="4"/>
  <c r="I750" i="4" s="1"/>
  <c r="H232" i="4"/>
  <c r="I232" i="4" s="1"/>
  <c r="H1388" i="4"/>
  <c r="I1388" i="4" s="1"/>
  <c r="H1386" i="4"/>
  <c r="I1386" i="4" s="1"/>
  <c r="H1387" i="4"/>
  <c r="I1387" i="4" s="1"/>
  <c r="H1385" i="4"/>
  <c r="I1385" i="4" s="1"/>
  <c r="H1384" i="4"/>
  <c r="I1384" i="4" s="1"/>
  <c r="H1383" i="4"/>
  <c r="I1383" i="4" s="1"/>
  <c r="H1382" i="4"/>
  <c r="I1382" i="4" s="1"/>
  <c r="H1381" i="4"/>
  <c r="I1381" i="4" s="1"/>
  <c r="H1380" i="4"/>
  <c r="I1380" i="4" s="1"/>
  <c r="H1378" i="4"/>
  <c r="I1378" i="4" s="1"/>
  <c r="H1379" i="4"/>
  <c r="I1379" i="4" s="1"/>
  <c r="H748" i="4"/>
  <c r="I748" i="4" s="1"/>
  <c r="H747" i="4"/>
  <c r="I747" i="4" s="1"/>
  <c r="H231" i="4"/>
  <c r="I231" i="4" s="1"/>
  <c r="H746" i="4"/>
  <c r="I746" i="4" s="1"/>
  <c r="H745" i="4"/>
  <c r="I745" i="4" s="1"/>
  <c r="H743" i="4"/>
  <c r="I743" i="4" s="1"/>
  <c r="H744" i="4"/>
  <c r="I744" i="4" s="1"/>
  <c r="H742" i="4"/>
  <c r="I742" i="4" s="1"/>
  <c r="H6" i="4"/>
  <c r="I6" i="4" s="1"/>
  <c r="H741" i="4"/>
  <c r="I741" i="4" s="1"/>
  <c r="H1377" i="4"/>
  <c r="I1377" i="4" s="1"/>
  <c r="H740" i="4"/>
  <c r="I740" i="4" s="1"/>
  <c r="H1376" i="4"/>
  <c r="I1376" i="4" s="1"/>
  <c r="H738" i="4"/>
  <c r="I738" i="4" s="1"/>
  <c r="H739" i="4"/>
  <c r="I739" i="4" s="1"/>
  <c r="H737" i="4"/>
  <c r="I737" i="4" s="1"/>
  <c r="H736" i="4"/>
  <c r="I736" i="4" s="1"/>
  <c r="H1375" i="4"/>
  <c r="I1375" i="4" s="1"/>
  <c r="H734" i="4"/>
  <c r="I734" i="4" s="1"/>
  <c r="H735" i="4"/>
  <c r="I735" i="4" s="1"/>
  <c r="H1374" i="4"/>
  <c r="I1374" i="4" s="1"/>
  <c r="H732" i="4"/>
  <c r="I732" i="4" s="1"/>
  <c r="H733" i="4"/>
  <c r="I733" i="4" s="1"/>
  <c r="H730" i="4"/>
  <c r="I730" i="4" s="1"/>
  <c r="H731" i="4"/>
  <c r="I731" i="4" s="1"/>
  <c r="H1373" i="4"/>
  <c r="I1373" i="4" s="1"/>
  <c r="H1371" i="4"/>
  <c r="I1371" i="4" s="1"/>
  <c r="H1372" i="4"/>
  <c r="I1372" i="4" s="1"/>
  <c r="H1370" i="4"/>
  <c r="I1370" i="4" s="1"/>
  <c r="H1369" i="4"/>
  <c r="I1369" i="4" s="1"/>
  <c r="H1368" i="4"/>
  <c r="I1368" i="4" s="1"/>
  <c r="H1367" i="4"/>
  <c r="I1367" i="4" s="1"/>
  <c r="H1366" i="4"/>
  <c r="I1366" i="4" s="1"/>
  <c r="H729" i="4"/>
  <c r="I729" i="4" s="1"/>
  <c r="H728" i="4"/>
  <c r="I728" i="4" s="1"/>
  <c r="H727" i="4"/>
  <c r="I727" i="4" s="1"/>
  <c r="H726" i="4"/>
  <c r="I726" i="4" s="1"/>
  <c r="H725" i="4"/>
  <c r="I725" i="4" s="1"/>
  <c r="H724" i="4"/>
  <c r="I724" i="4" s="1"/>
  <c r="H723" i="4"/>
  <c r="I723" i="4" s="1"/>
  <c r="H722" i="4"/>
  <c r="I722" i="4" s="1"/>
  <c r="H1365" i="4"/>
  <c r="I1365" i="4" s="1"/>
  <c r="H1364" i="4"/>
  <c r="I1364" i="4" s="1"/>
  <c r="H1363" i="4"/>
  <c r="I1363" i="4" s="1"/>
  <c r="H1362" i="4"/>
  <c r="I1362" i="4" s="1"/>
  <c r="H1361" i="4"/>
  <c r="I1361" i="4" s="1"/>
  <c r="H721" i="4"/>
  <c r="I721" i="4" s="1"/>
  <c r="H1359" i="4"/>
  <c r="I1359" i="4" s="1"/>
  <c r="H1360" i="4"/>
  <c r="I1360" i="4" s="1"/>
  <c r="H1358" i="4"/>
  <c r="I1358" i="4" s="1"/>
  <c r="H720" i="4"/>
  <c r="I720" i="4" s="1"/>
  <c r="H718" i="4"/>
  <c r="I718" i="4" s="1"/>
  <c r="H719" i="4"/>
  <c r="I719" i="4" s="1"/>
  <c r="H1357" i="4"/>
  <c r="I1357" i="4" s="1"/>
  <c r="H1356" i="4"/>
  <c r="I1356" i="4" s="1"/>
  <c r="H1355" i="4"/>
  <c r="I1355" i="4" s="1"/>
  <c r="H1354" i="4"/>
  <c r="I1354" i="4" s="1"/>
  <c r="H1353" i="4"/>
  <c r="I1353" i="4" s="1"/>
  <c r="H1352" i="4"/>
  <c r="I1352" i="4" s="1"/>
  <c r="H1351" i="4"/>
  <c r="I1351" i="4" s="1"/>
  <c r="H1349" i="4"/>
  <c r="I1349" i="4" s="1"/>
  <c r="H1350" i="4"/>
  <c r="I1350" i="4" s="1"/>
  <c r="H1347" i="4"/>
  <c r="I1347" i="4" s="1"/>
  <c r="H1348" i="4"/>
  <c r="I1348" i="4" s="1"/>
  <c r="H717" i="4"/>
  <c r="I717" i="4" s="1"/>
  <c r="H1346" i="4"/>
  <c r="I1346" i="4" s="1"/>
  <c r="H716" i="4"/>
  <c r="I716" i="4" s="1"/>
  <c r="H715" i="4"/>
  <c r="I715" i="4" s="1"/>
  <c r="H714" i="4"/>
  <c r="I714" i="4" s="1"/>
  <c r="H713" i="4"/>
  <c r="I713" i="4" s="1"/>
  <c r="H712" i="4"/>
  <c r="I712" i="4" s="1"/>
  <c r="H711" i="4"/>
  <c r="I711" i="4" s="1"/>
  <c r="H1345" i="4"/>
  <c r="I1345" i="4" s="1"/>
  <c r="H710" i="4"/>
  <c r="I710" i="4" s="1"/>
  <c r="H709" i="4"/>
  <c r="I709" i="4" s="1"/>
  <c r="H708" i="4"/>
  <c r="I708" i="4" s="1"/>
  <c r="H707" i="4"/>
  <c r="I707" i="4" s="1"/>
  <c r="H706" i="4"/>
  <c r="I706" i="4" s="1"/>
  <c r="H224" i="4"/>
  <c r="I224" i="4" s="1"/>
  <c r="H225" i="4"/>
  <c r="I225" i="4" s="1"/>
  <c r="H705" i="4"/>
  <c r="I705" i="4" s="1"/>
  <c r="H1344" i="4"/>
  <c r="I1344" i="4" s="1"/>
  <c r="H704" i="4"/>
  <c r="I704" i="4" s="1"/>
  <c r="H223" i="4"/>
  <c r="I223" i="4" s="1"/>
  <c r="H703" i="4"/>
  <c r="I703" i="4" s="1"/>
  <c r="H1343" i="4"/>
  <c r="I1343" i="4" s="1"/>
  <c r="H702" i="4"/>
  <c r="I702" i="4" s="1"/>
  <c r="H701" i="4"/>
  <c r="I701" i="4" s="1"/>
  <c r="H700" i="4"/>
  <c r="I700" i="4" s="1"/>
  <c r="H1342" i="4"/>
  <c r="I1342" i="4" s="1"/>
  <c r="H699" i="4"/>
  <c r="I699" i="4" s="1"/>
  <c r="H698" i="4"/>
  <c r="I698" i="4" s="1"/>
  <c r="H1341" i="4"/>
  <c r="I1341" i="4" s="1"/>
  <c r="H1340" i="4"/>
  <c r="I1340" i="4" s="1"/>
  <c r="H697" i="4"/>
  <c r="I697" i="4" s="1"/>
  <c r="H1339" i="4"/>
  <c r="I1339" i="4" s="1"/>
  <c r="H1337" i="4"/>
  <c r="I1337" i="4" s="1"/>
  <c r="H1338" i="4"/>
  <c r="I1338" i="4" s="1"/>
  <c r="H1336" i="4"/>
  <c r="I1336" i="4" s="1"/>
  <c r="H696" i="4"/>
  <c r="I696" i="4" s="1"/>
  <c r="H1335" i="4"/>
  <c r="I1335" i="4" s="1"/>
  <c r="H695" i="4"/>
  <c r="I695" i="4" s="1"/>
  <c r="H1334" i="4"/>
  <c r="I1334" i="4" s="1"/>
  <c r="H694" i="4"/>
  <c r="I694" i="4" s="1"/>
  <c r="H1331" i="4"/>
  <c r="I1331" i="4" s="1"/>
  <c r="H1332" i="4"/>
  <c r="I1332" i="4" s="1"/>
  <c r="H1333" i="4"/>
  <c r="I1333" i="4" s="1"/>
  <c r="H1329" i="4"/>
  <c r="I1329" i="4" s="1"/>
  <c r="H1330" i="4"/>
  <c r="I1330" i="4" s="1"/>
  <c r="H1328" i="4"/>
  <c r="I1328" i="4" s="1"/>
  <c r="H1327" i="4"/>
  <c r="I1327" i="4" s="1"/>
  <c r="H1326" i="4"/>
  <c r="I1326" i="4" s="1"/>
  <c r="H1325" i="4"/>
  <c r="I1325" i="4" s="1"/>
  <c r="H1324" i="4"/>
  <c r="I1324" i="4" s="1"/>
  <c r="H1323" i="4"/>
  <c r="I1323" i="4" s="1"/>
  <c r="H693" i="4"/>
  <c r="I693" i="4" s="1"/>
  <c r="H692" i="4"/>
  <c r="I692" i="4" s="1"/>
  <c r="H691" i="4"/>
  <c r="I691" i="4" s="1"/>
  <c r="H1322" i="4"/>
  <c r="I1322" i="4" s="1"/>
  <c r="H690" i="4"/>
  <c r="I690" i="4" s="1"/>
  <c r="H689" i="4"/>
  <c r="I689" i="4" s="1"/>
  <c r="H687" i="4"/>
  <c r="I687" i="4" s="1"/>
  <c r="H688" i="4"/>
  <c r="I688" i="4" s="1"/>
  <c r="H1321" i="4"/>
  <c r="I1321" i="4" s="1"/>
  <c r="H686" i="4"/>
  <c r="I686" i="4" s="1"/>
  <c r="H685" i="4"/>
  <c r="I685" i="4" s="1"/>
  <c r="H684" i="4"/>
  <c r="I684" i="4" s="1"/>
  <c r="H1320" i="4"/>
  <c r="I1320" i="4" s="1"/>
  <c r="H682" i="4"/>
  <c r="I682" i="4" s="1"/>
  <c r="H683" i="4"/>
  <c r="I683" i="4" s="1"/>
  <c r="H681" i="4"/>
  <c r="I681" i="4" s="1"/>
  <c r="H680" i="4"/>
  <c r="I680" i="4" s="1"/>
  <c r="H679" i="4"/>
  <c r="I679" i="4" s="1"/>
  <c r="H677" i="4"/>
  <c r="I677" i="4" s="1"/>
  <c r="H678" i="4"/>
  <c r="I678" i="4" s="1"/>
  <c r="H674" i="4"/>
  <c r="I674" i="4" s="1"/>
  <c r="H675" i="4"/>
  <c r="I675" i="4" s="1"/>
  <c r="H676" i="4"/>
  <c r="I676" i="4" s="1"/>
  <c r="H673" i="4"/>
  <c r="I673" i="4" s="1"/>
  <c r="H672" i="4"/>
  <c r="I672" i="4" s="1"/>
  <c r="H670" i="4"/>
  <c r="I670" i="4" s="1"/>
  <c r="H671" i="4"/>
  <c r="I671" i="4" s="1"/>
  <c r="H669" i="4"/>
  <c r="I669" i="4" s="1"/>
  <c r="H1319" i="4"/>
  <c r="I1319" i="4" s="1"/>
  <c r="H1318" i="4"/>
  <c r="I1318" i="4" s="1"/>
  <c r="H668" i="4"/>
  <c r="I668" i="4" s="1"/>
  <c r="H667" i="4"/>
  <c r="I667" i="4" s="1"/>
  <c r="H666" i="4"/>
  <c r="I666" i="4" s="1"/>
  <c r="H664" i="4"/>
  <c r="I664" i="4" s="1"/>
  <c r="H665" i="4"/>
  <c r="I665" i="4" s="1"/>
  <c r="H663" i="4"/>
  <c r="I663" i="4" s="1"/>
  <c r="H1317" i="4"/>
  <c r="I1317" i="4" s="1"/>
  <c r="H1316" i="4"/>
  <c r="I1316" i="4" s="1"/>
  <c r="H1314" i="4"/>
  <c r="I1314" i="4" s="1"/>
  <c r="H1315" i="4"/>
  <c r="I1315" i="4" s="1"/>
  <c r="H662" i="4"/>
  <c r="I662" i="4" s="1"/>
  <c r="H1311" i="4"/>
  <c r="I1311" i="4" s="1"/>
  <c r="H1312" i="4"/>
  <c r="I1312" i="4" s="1"/>
  <c r="H1313" i="4"/>
  <c r="I1313" i="4" s="1"/>
  <c r="H1309" i="4"/>
  <c r="I1309" i="4" s="1"/>
  <c r="H1310" i="4"/>
  <c r="I1310" i="4" s="1"/>
  <c r="H1308" i="4"/>
  <c r="I1308" i="4" s="1"/>
  <c r="H1307" i="4"/>
  <c r="I1307" i="4" s="1"/>
  <c r="H1305" i="4"/>
  <c r="I1305" i="4" s="1"/>
  <c r="H1306" i="4"/>
  <c r="I1306" i="4" s="1"/>
  <c r="H1304" i="4"/>
  <c r="I1304" i="4" s="1"/>
  <c r="H3" i="4"/>
  <c r="I3" i="4" s="1"/>
  <c r="H222" i="4"/>
  <c r="I222" i="4" s="1"/>
  <c r="H660" i="4"/>
  <c r="I660" i="4" s="1"/>
  <c r="H661" i="4"/>
  <c r="I661" i="4" s="1"/>
  <c r="H659" i="4"/>
  <c r="I659" i="4" s="1"/>
  <c r="H658" i="4"/>
  <c r="I658" i="4" s="1"/>
  <c r="H656" i="4"/>
  <c r="I656" i="4" s="1"/>
  <c r="H657" i="4"/>
  <c r="I657" i="4" s="1"/>
  <c r="H1303" i="4"/>
  <c r="I1303" i="4" s="1"/>
  <c r="H654" i="4"/>
  <c r="I654" i="4" s="1"/>
  <c r="H655" i="4"/>
  <c r="I655" i="4" s="1"/>
  <c r="H221" i="4"/>
  <c r="I221" i="4" s="1"/>
  <c r="H653" i="4"/>
  <c r="I653" i="4" s="1"/>
  <c r="H220" i="4"/>
  <c r="I220" i="4" s="1"/>
  <c r="H652" i="4"/>
  <c r="I652" i="4" s="1"/>
  <c r="H651" i="4"/>
  <c r="I651" i="4" s="1"/>
  <c r="H1302" i="4"/>
  <c r="I1302" i="4" s="1"/>
  <c r="H650" i="4"/>
  <c r="I650" i="4" s="1"/>
  <c r="H2" i="4"/>
  <c r="I2" i="4" s="1"/>
  <c r="H649" i="4"/>
  <c r="I649" i="4" s="1"/>
  <c r="H1301" i="4"/>
  <c r="I1301" i="4" s="1"/>
  <c r="H648" i="4"/>
  <c r="I648" i="4" s="1"/>
  <c r="H647" i="4"/>
  <c r="I647" i="4" s="1"/>
  <c r="H1300" i="4"/>
  <c r="I1300" i="4" s="1"/>
  <c r="H1298" i="4"/>
  <c r="I1298" i="4" s="1"/>
  <c r="H1299" i="4"/>
  <c r="I1299" i="4" s="1"/>
  <c r="H1297" i="4"/>
  <c r="I1297" i="4" s="1"/>
  <c r="H1296" i="4"/>
  <c r="I1296" i="4" s="1"/>
  <c r="H646" i="4"/>
  <c r="I646" i="4" s="1"/>
  <c r="H644" i="4"/>
  <c r="I644" i="4" s="1"/>
  <c r="H645" i="4"/>
  <c r="I645" i="4" s="1"/>
  <c r="H643" i="4"/>
  <c r="I643" i="4" s="1"/>
  <c r="H641" i="4"/>
  <c r="I641" i="4" s="1"/>
  <c r="H642" i="4"/>
  <c r="I642" i="4" s="1"/>
  <c r="H640" i="4"/>
  <c r="I640" i="4" s="1"/>
  <c r="H1295" i="4"/>
  <c r="I1295" i="4" s="1"/>
  <c r="H1294" i="4"/>
  <c r="I1294" i="4" s="1"/>
  <c r="H185" i="4"/>
  <c r="I185" i="4" s="1"/>
  <c r="H639" i="4"/>
  <c r="I639" i="4" s="1"/>
  <c r="H638" i="4"/>
  <c r="I638" i="4" s="1"/>
  <c r="H1293" i="4"/>
  <c r="I1293" i="4" s="1"/>
  <c r="H1292" i="4"/>
  <c r="I1292" i="4" s="1"/>
  <c r="H1290" i="4"/>
  <c r="I1290" i="4" s="1"/>
  <c r="H1291" i="4"/>
  <c r="I1291" i="4" s="1"/>
  <c r="H1289" i="4"/>
  <c r="I1289" i="4" s="1"/>
  <c r="H1288" i="4"/>
  <c r="I1288" i="4" s="1"/>
  <c r="H219" i="4"/>
  <c r="I219" i="4" s="1"/>
  <c r="H1287" i="4"/>
  <c r="I1287" i="4" s="1"/>
  <c r="H1286" i="4"/>
  <c r="I1286" i="4" s="1"/>
  <c r="H637" i="4"/>
  <c r="I637" i="4" s="1"/>
  <c r="H1285" i="4"/>
  <c r="I1285" i="4" s="1"/>
  <c r="H1284" i="4"/>
  <c r="I1284" i="4" s="1"/>
  <c r="H1283" i="4"/>
  <c r="I1283" i="4" s="1"/>
  <c r="H1282" i="4"/>
  <c r="I1282" i="4" s="1"/>
  <c r="H218" i="4"/>
  <c r="I218" i="4" s="1"/>
  <c r="H1281" i="4"/>
  <c r="I1281" i="4" s="1"/>
  <c r="H217" i="4"/>
  <c r="I217" i="4" s="1"/>
  <c r="H636" i="4"/>
  <c r="I636" i="4" s="1"/>
  <c r="H635" i="4"/>
  <c r="I635" i="4" s="1"/>
  <c r="H634" i="4"/>
  <c r="I634" i="4" s="1"/>
  <c r="H633" i="4"/>
  <c r="I633" i="4" s="1"/>
  <c r="H1279" i="4"/>
  <c r="I1279" i="4" s="1"/>
  <c r="H1280" i="4"/>
  <c r="I1280" i="4" s="1"/>
  <c r="H1278" i="4"/>
  <c r="I1278" i="4" s="1"/>
  <c r="H1277" i="4"/>
  <c r="I1277" i="4" s="1"/>
  <c r="H1276" i="4"/>
  <c r="I1276" i="4" s="1"/>
  <c r="H632" i="4"/>
  <c r="I632" i="4" s="1"/>
  <c r="H631" i="4"/>
  <c r="I631" i="4" s="1"/>
  <c r="H629" i="4"/>
  <c r="I629" i="4" s="1"/>
  <c r="H216" i="4"/>
  <c r="I216" i="4" s="1"/>
  <c r="H630" i="4"/>
  <c r="I630" i="4" s="1"/>
  <c r="H215" i="4"/>
  <c r="I215" i="4" s="1"/>
  <c r="H1275" i="4"/>
  <c r="I1275" i="4" s="1"/>
  <c r="H214" i="4"/>
  <c r="I214" i="4" s="1"/>
  <c r="H628" i="4"/>
  <c r="I628" i="4" s="1"/>
  <c r="H627" i="4"/>
  <c r="I627" i="4" s="1"/>
  <c r="H1274" i="4"/>
  <c r="I1274" i="4" s="1"/>
  <c r="H213" i="4"/>
  <c r="I213" i="4" s="1"/>
  <c r="H626" i="4"/>
  <c r="I626" i="4" s="1"/>
  <c r="H1273" i="4"/>
  <c r="I1273" i="4" s="1"/>
  <c r="H625" i="4"/>
  <c r="I625" i="4" s="1"/>
  <c r="H624" i="4"/>
  <c r="I624" i="4" s="1"/>
  <c r="H623" i="4"/>
  <c r="I623" i="4" s="1"/>
  <c r="H1272" i="4"/>
  <c r="I1272" i="4" s="1"/>
  <c r="H1271" i="4"/>
  <c r="I1271" i="4" s="1"/>
  <c r="H622" i="4"/>
  <c r="I622" i="4" s="1"/>
  <c r="H621" i="4"/>
  <c r="I621" i="4" s="1"/>
  <c r="H620" i="4"/>
  <c r="I620" i="4" s="1"/>
  <c r="H619" i="4"/>
  <c r="I619" i="4" s="1"/>
  <c r="H1270" i="4"/>
  <c r="I1270" i="4" s="1"/>
  <c r="H618" i="4"/>
  <c r="I618" i="4" s="1"/>
  <c r="H212" i="4"/>
  <c r="I212" i="4" s="1"/>
  <c r="H617" i="4"/>
  <c r="I617" i="4" s="1"/>
  <c r="H1269" i="4"/>
  <c r="I1269" i="4" s="1"/>
  <c r="H616" i="4"/>
  <c r="I616" i="4" s="1"/>
  <c r="H1268" i="4"/>
  <c r="I1268" i="4" s="1"/>
  <c r="H31" i="4"/>
  <c r="I31" i="4" s="1"/>
  <c r="H615" i="4"/>
  <c r="I615" i="4" s="1"/>
  <c r="H1267" i="4"/>
  <c r="I1267" i="4" s="1"/>
  <c r="H17" i="4"/>
  <c r="I17" i="4" s="1"/>
  <c r="H614" i="4"/>
  <c r="I614" i="4" s="1"/>
  <c r="H613" i="4"/>
  <c r="I613" i="4" s="1"/>
  <c r="H1266" i="4"/>
  <c r="I1266" i="4" s="1"/>
  <c r="H610" i="4"/>
  <c r="I610" i="4" s="1"/>
  <c r="H611" i="4"/>
  <c r="I611" i="4" s="1"/>
  <c r="H612" i="4"/>
  <c r="I612" i="4" s="1"/>
  <c r="H1264" i="4"/>
  <c r="I1264" i="4" s="1"/>
  <c r="H1265" i="4"/>
  <c r="I1265" i="4" s="1"/>
  <c r="H1263" i="4"/>
  <c r="I1263" i="4" s="1"/>
  <c r="H1262" i="4"/>
  <c r="I1262" i="4" s="1"/>
  <c r="H1261" i="4"/>
  <c r="I1261" i="4" s="1"/>
  <c r="H1259" i="4"/>
  <c r="I1259" i="4" s="1"/>
  <c r="H1260" i="4"/>
  <c r="I1260" i="4" s="1"/>
  <c r="H1258" i="4"/>
  <c r="I1258" i="4" s="1"/>
  <c r="H609" i="4"/>
  <c r="I609" i="4" s="1"/>
  <c r="H608" i="4"/>
  <c r="I608" i="4" s="1"/>
  <c r="H607" i="4"/>
  <c r="I607" i="4" s="1"/>
  <c r="H606" i="4"/>
  <c r="I606" i="4" s="1"/>
  <c r="H605" i="4"/>
  <c r="I605" i="4" s="1"/>
  <c r="H1257" i="4"/>
  <c r="I1257" i="4" s="1"/>
  <c r="H1256" i="4"/>
  <c r="I1256" i="4" s="1"/>
  <c r="H1254" i="4"/>
  <c r="I1254" i="4" s="1"/>
  <c r="H1255" i="4"/>
  <c r="I1255" i="4" s="1"/>
  <c r="H211" i="4"/>
  <c r="I211" i="4" s="1"/>
  <c r="H604" i="4"/>
  <c r="I604" i="4" s="1"/>
  <c r="H1253" i="4"/>
  <c r="I1253" i="4" s="1"/>
  <c r="H1251" i="4"/>
  <c r="I1251" i="4" s="1"/>
  <c r="H1252" i="4"/>
  <c r="I1252" i="4" s="1"/>
  <c r="H1249" i="4"/>
  <c r="I1249" i="4" s="1"/>
  <c r="H1250" i="4"/>
  <c r="I1250" i="4" s="1"/>
  <c r="H1248" i="4"/>
  <c r="I1248" i="4" s="1"/>
  <c r="H1247" i="4"/>
  <c r="I1247" i="4" s="1"/>
  <c r="H1246" i="4"/>
  <c r="I1246" i="4" s="1"/>
  <c r="H603" i="4"/>
  <c r="I603" i="4" s="1"/>
  <c r="H602" i="4"/>
  <c r="I602" i="4" s="1"/>
  <c r="H1244" i="4"/>
  <c r="I1244" i="4" s="1"/>
  <c r="H1245" i="4"/>
  <c r="I1245" i="4" s="1"/>
  <c r="H601" i="4"/>
  <c r="I601" i="4" s="1"/>
  <c r="H1243" i="4"/>
  <c r="I1243" i="4" s="1"/>
  <c r="H600" i="4"/>
  <c r="I600" i="4" s="1"/>
  <c r="H190" i="4"/>
  <c r="I190" i="4" s="1"/>
  <c r="H45" i="4"/>
  <c r="I45" i="4" s="1"/>
  <c r="H86" i="4"/>
  <c r="I86" i="4" s="1"/>
  <c r="H599" i="4"/>
  <c r="I599" i="4" s="1"/>
  <c r="H597" i="4"/>
  <c r="I597" i="4" s="1"/>
  <c r="H598" i="4"/>
  <c r="I598" i="4" s="1"/>
  <c r="H1241" i="4"/>
  <c r="I1241" i="4" s="1"/>
  <c r="H1242" i="4"/>
  <c r="I1242" i="4" s="1"/>
  <c r="H1238" i="4"/>
  <c r="I1238" i="4" s="1"/>
  <c r="H1239" i="4"/>
  <c r="I1239" i="4" s="1"/>
  <c r="H1240" i="4"/>
  <c r="I1240" i="4" s="1"/>
  <c r="H1237" i="4"/>
  <c r="I1237" i="4" s="1"/>
  <c r="H1236" i="4"/>
  <c r="I1236" i="4" s="1"/>
  <c r="H1235" i="4"/>
  <c r="I1235" i="4" s="1"/>
  <c r="H1232" i="4"/>
  <c r="I1232" i="4" s="1"/>
  <c r="H1233" i="4"/>
  <c r="I1233" i="4" s="1"/>
  <c r="H1234" i="4"/>
  <c r="I1234" i="4" s="1"/>
  <c r="H1229" i="4"/>
  <c r="I1229" i="4" s="1"/>
  <c r="H1230" i="4"/>
  <c r="I1230" i="4" s="1"/>
  <c r="H1231" i="4"/>
  <c r="I1231" i="4" s="1"/>
  <c r="H1226" i="4"/>
  <c r="I1226" i="4" s="1"/>
  <c r="H1227" i="4"/>
  <c r="I1227" i="4" s="1"/>
  <c r="H1228" i="4"/>
  <c r="I1228" i="4" s="1"/>
  <c r="H1225" i="4"/>
  <c r="I1225" i="4" s="1"/>
  <c r="H165" i="4"/>
  <c r="I165" i="4" s="1"/>
  <c r="H139" i="4"/>
  <c r="I139" i="4" s="1"/>
  <c r="H128" i="4"/>
  <c r="I128" i="4" s="1"/>
  <c r="H155" i="4"/>
  <c r="I155" i="4" s="1"/>
  <c r="H138" i="4"/>
  <c r="I138" i="4" s="1"/>
  <c r="H41" i="4"/>
  <c r="I41" i="4" s="1"/>
  <c r="H100" i="4"/>
  <c r="I100" i="4" s="1"/>
  <c r="H114" i="4"/>
  <c r="I114" i="4" s="1"/>
  <c r="H76" i="4"/>
  <c r="I76" i="4" s="1"/>
  <c r="H113" i="4"/>
  <c r="I113" i="4" s="1"/>
  <c r="H143" i="4"/>
  <c r="I143" i="4" s="1"/>
  <c r="H65" i="4"/>
  <c r="I65" i="4" s="1"/>
  <c r="H169" i="4"/>
  <c r="I169" i="4" s="1"/>
  <c r="H1224" i="4"/>
  <c r="I1224" i="4" s="1"/>
  <c r="H595" i="4"/>
  <c r="I595" i="4" s="1"/>
  <c r="H596" i="4"/>
  <c r="I596" i="4" s="1"/>
  <c r="H593" i="4"/>
  <c r="I593" i="4" s="1"/>
  <c r="H594" i="4"/>
  <c r="I594" i="4" s="1"/>
  <c r="H592" i="4"/>
  <c r="I592" i="4" s="1"/>
  <c r="H590" i="4"/>
  <c r="I590" i="4" s="1"/>
  <c r="H591" i="4"/>
  <c r="I591" i="4" s="1"/>
  <c r="H589" i="4"/>
  <c r="I589" i="4" s="1"/>
  <c r="H587" i="4"/>
  <c r="I587" i="4" s="1"/>
  <c r="H588" i="4"/>
  <c r="I588" i="4" s="1"/>
  <c r="H586" i="4"/>
  <c r="I586" i="4" s="1"/>
  <c r="H585" i="4"/>
  <c r="I585" i="4" s="1"/>
  <c r="H1223" i="4"/>
  <c r="I1223" i="4" s="1"/>
  <c r="H1222" i="4"/>
  <c r="I1222" i="4" s="1"/>
  <c r="H1221" i="4"/>
  <c r="I1221" i="4" s="1"/>
  <c r="H1220" i="4"/>
  <c r="I1220" i="4" s="1"/>
  <c r="H1219" i="4"/>
  <c r="I1219" i="4" s="1"/>
  <c r="H1218" i="4"/>
  <c r="I1218" i="4" s="1"/>
  <c r="H584" i="4"/>
  <c r="I584" i="4" s="1"/>
  <c r="H210" i="4"/>
  <c r="I210" i="4" s="1"/>
  <c r="H189" i="4"/>
  <c r="I189" i="4" s="1"/>
  <c r="H1217" i="4"/>
  <c r="I1217" i="4" s="1"/>
  <c r="H1216" i="4"/>
  <c r="I1216" i="4" s="1"/>
  <c r="H1215" i="4"/>
  <c r="I1215" i="4" s="1"/>
  <c r="H583" i="4"/>
  <c r="I583" i="4" s="1"/>
  <c r="H1214" i="4"/>
  <c r="I1214" i="4" s="1"/>
  <c r="H582" i="4"/>
  <c r="I582" i="4" s="1"/>
  <c r="H1212" i="4"/>
  <c r="I1212" i="4" s="1"/>
  <c r="H1213" i="4"/>
  <c r="I1213" i="4" s="1"/>
  <c r="H1210" i="4"/>
  <c r="I1210" i="4" s="1"/>
  <c r="H1211" i="4"/>
  <c r="I1211" i="4" s="1"/>
  <c r="H1207" i="4"/>
  <c r="I1207" i="4" s="1"/>
  <c r="H1208" i="4"/>
  <c r="I1208" i="4" s="1"/>
  <c r="H1209" i="4"/>
  <c r="I1209" i="4" s="1"/>
  <c r="H1206" i="4"/>
  <c r="I1206" i="4" s="1"/>
  <c r="H1205" i="4"/>
  <c r="I1205" i="4" s="1"/>
  <c r="H1203" i="4"/>
  <c r="I1203" i="4" s="1"/>
  <c r="H1204" i="4"/>
  <c r="I1204" i="4" s="1"/>
  <c r="H581" i="4"/>
  <c r="I581" i="4" s="1"/>
  <c r="H580" i="4"/>
  <c r="I580" i="4" s="1"/>
  <c r="H579" i="4"/>
  <c r="I579" i="4" s="1"/>
  <c r="H578" i="4"/>
  <c r="I578" i="4" s="1"/>
  <c r="H576" i="4"/>
  <c r="I576" i="4" s="1"/>
  <c r="H577" i="4"/>
  <c r="I577" i="4" s="1"/>
  <c r="H575" i="4"/>
  <c r="I575" i="4" s="1"/>
  <c r="H574" i="4"/>
  <c r="I574" i="4" s="1"/>
  <c r="H572" i="4"/>
  <c r="I572" i="4" s="1"/>
  <c r="H573" i="4"/>
  <c r="I573" i="4" s="1"/>
  <c r="H571" i="4"/>
  <c r="I571" i="4" s="1"/>
  <c r="H570" i="4"/>
  <c r="I570" i="4" s="1"/>
  <c r="H569" i="4"/>
  <c r="I569" i="4" s="1"/>
  <c r="H568" i="4"/>
  <c r="I568" i="4" s="1"/>
  <c r="H567" i="4"/>
  <c r="I567" i="4" s="1"/>
  <c r="H566" i="4"/>
  <c r="I566" i="4" s="1"/>
  <c r="H565" i="4"/>
  <c r="I565" i="4" s="1"/>
  <c r="H564" i="4"/>
  <c r="I564" i="4" s="1"/>
  <c r="H563" i="4"/>
  <c r="I563" i="4" s="1"/>
  <c r="H562" i="4"/>
  <c r="I562" i="4" s="1"/>
  <c r="H561" i="4"/>
  <c r="I561" i="4" s="1"/>
  <c r="H1202" i="4"/>
  <c r="I1202" i="4" s="1"/>
  <c r="H560" i="4"/>
  <c r="I560" i="4" s="1"/>
  <c r="H559" i="4"/>
  <c r="I559" i="4" s="1"/>
  <c r="H558" i="4"/>
  <c r="I558" i="4" s="1"/>
  <c r="H1200" i="4"/>
  <c r="I1200" i="4" s="1"/>
  <c r="H557" i="4"/>
  <c r="I557" i="4" s="1"/>
  <c r="H1201" i="4"/>
  <c r="I1201" i="4" s="1"/>
  <c r="H556" i="4"/>
  <c r="I556" i="4" s="1"/>
  <c r="H554" i="4"/>
  <c r="I554" i="4" s="1"/>
  <c r="H555" i="4"/>
  <c r="I555" i="4" s="1"/>
  <c r="H553" i="4"/>
  <c r="I553" i="4" s="1"/>
  <c r="H552" i="4"/>
  <c r="I552" i="4" s="1"/>
  <c r="H551" i="4"/>
  <c r="I551" i="4" s="1"/>
  <c r="H1199" i="4"/>
  <c r="I1199" i="4" s="1"/>
  <c r="H549" i="4"/>
  <c r="I549" i="4" s="1"/>
  <c r="H550" i="4"/>
  <c r="I550" i="4" s="1"/>
  <c r="H209" i="4"/>
  <c r="I209" i="4" s="1"/>
  <c r="H548" i="4"/>
  <c r="I548" i="4" s="1"/>
  <c r="H547" i="4"/>
  <c r="I547" i="4" s="1"/>
  <c r="H208" i="4"/>
  <c r="I208" i="4" s="1"/>
  <c r="H1198" i="4"/>
  <c r="I1198" i="4" s="1"/>
  <c r="H546" i="4"/>
  <c r="I546" i="4" s="1"/>
  <c r="H545" i="4"/>
  <c r="I545" i="4" s="1"/>
  <c r="H544" i="4"/>
  <c r="I544" i="4" s="1"/>
  <c r="H1197" i="4"/>
  <c r="I1197" i="4" s="1"/>
  <c r="H543" i="4"/>
  <c r="I543" i="4" s="1"/>
  <c r="H542" i="4"/>
  <c r="I542" i="4" s="1"/>
  <c r="H1195" i="4"/>
  <c r="I1195" i="4" s="1"/>
  <c r="H1196" i="4"/>
  <c r="I1196" i="4" s="1"/>
  <c r="H1194" i="4"/>
  <c r="I1194" i="4" s="1"/>
  <c r="H1193" i="4"/>
  <c r="I1193" i="4" s="1"/>
  <c r="H1192" i="4"/>
  <c r="I1192" i="4" s="1"/>
  <c r="H541" i="4"/>
  <c r="I541" i="4" s="1"/>
  <c r="H1191" i="4"/>
  <c r="I1191" i="4" s="1"/>
  <c r="H540" i="4"/>
  <c r="I540" i="4" s="1"/>
  <c r="H539" i="4"/>
  <c r="I539" i="4" s="1"/>
  <c r="H1190" i="4"/>
  <c r="I1190" i="4" s="1"/>
  <c r="H538" i="4"/>
  <c r="I538" i="4" s="1"/>
  <c r="H537" i="4"/>
  <c r="I537" i="4" s="1"/>
  <c r="H536" i="4"/>
  <c r="I536" i="4" s="1"/>
  <c r="H535" i="4"/>
  <c r="I535" i="4" s="1"/>
  <c r="H534" i="4"/>
  <c r="I534" i="4" s="1"/>
  <c r="H532" i="4"/>
  <c r="I532" i="4" s="1"/>
  <c r="H533" i="4"/>
  <c r="I533" i="4" s="1"/>
  <c r="H1189" i="4"/>
  <c r="I1189" i="4" s="1"/>
  <c r="H1187" i="4"/>
  <c r="I1187" i="4" s="1"/>
  <c r="H1188" i="4"/>
  <c r="I1188" i="4" s="1"/>
  <c r="H530" i="4"/>
  <c r="I530" i="4" s="1"/>
  <c r="H531" i="4"/>
  <c r="I531" i="4" s="1"/>
  <c r="H1185" i="4"/>
  <c r="I1185" i="4" s="1"/>
  <c r="H1186" i="4"/>
  <c r="I1186" i="4" s="1"/>
  <c r="H528" i="4"/>
  <c r="I528" i="4" s="1"/>
  <c r="H1184" i="4"/>
  <c r="I1184" i="4" s="1"/>
  <c r="H529" i="4"/>
  <c r="I529" i="4" s="1"/>
  <c r="H527" i="4"/>
  <c r="I527" i="4" s="1"/>
  <c r="H1183" i="4"/>
  <c r="I1183" i="4" s="1"/>
  <c r="H1182" i="4"/>
  <c r="I1182" i="4" s="1"/>
  <c r="H93" i="4"/>
  <c r="I93" i="4" s="1"/>
  <c r="H526" i="4"/>
  <c r="I526" i="4" s="1"/>
  <c r="H1181" i="4"/>
  <c r="I1181" i="4" s="1"/>
  <c r="H525" i="4"/>
  <c r="I525" i="4" s="1"/>
  <c r="H523" i="4"/>
  <c r="I523" i="4" s="1"/>
  <c r="H524" i="4"/>
  <c r="I524" i="4" s="1"/>
  <c r="H522" i="4"/>
  <c r="I522" i="4" s="1"/>
  <c r="H521" i="4"/>
  <c r="I521" i="4" s="1"/>
  <c r="H518" i="4"/>
  <c r="I518" i="4" s="1"/>
  <c r="H519" i="4"/>
  <c r="I519" i="4" s="1"/>
  <c r="H520" i="4"/>
  <c r="I520" i="4" s="1"/>
  <c r="H517" i="4"/>
  <c r="I517" i="4" s="1"/>
  <c r="H516" i="4"/>
  <c r="I516" i="4" s="1"/>
  <c r="H1180" i="4"/>
  <c r="I1180" i="4" s="1"/>
  <c r="H515" i="4"/>
  <c r="I515" i="4" s="1"/>
  <c r="H514" i="4"/>
  <c r="I514" i="4" s="1"/>
  <c r="H513" i="4"/>
  <c r="I513" i="4" s="1"/>
  <c r="H511" i="4"/>
  <c r="I511" i="4" s="1"/>
  <c r="H512" i="4"/>
  <c r="I512" i="4" s="1"/>
  <c r="H510" i="4"/>
  <c r="I510" i="4" s="1"/>
  <c r="H509" i="4"/>
  <c r="I509" i="4" s="1"/>
  <c r="H508" i="4"/>
  <c r="I508" i="4" s="1"/>
  <c r="H507" i="4"/>
  <c r="I507" i="4" s="1"/>
  <c r="H506" i="4"/>
  <c r="I506" i="4" s="1"/>
  <c r="H505" i="4"/>
  <c r="I505" i="4" s="1"/>
  <c r="H1179" i="4"/>
  <c r="I1179" i="4" s="1"/>
  <c r="H503" i="4"/>
  <c r="I503" i="4" s="1"/>
  <c r="H504" i="4"/>
  <c r="I504" i="4" s="1"/>
  <c r="H500" i="4"/>
  <c r="I500" i="4" s="1"/>
  <c r="H501" i="4"/>
  <c r="I501" i="4" s="1"/>
  <c r="H502" i="4"/>
  <c r="I502" i="4" s="1"/>
  <c r="H499" i="4"/>
  <c r="I499" i="4" s="1"/>
  <c r="H498" i="4"/>
  <c r="I498" i="4" s="1"/>
  <c r="H496" i="4"/>
  <c r="I496" i="4" s="1"/>
  <c r="H497" i="4"/>
  <c r="I497" i="4" s="1"/>
  <c r="H1178" i="4"/>
  <c r="I1178" i="4" s="1"/>
  <c r="H495" i="4"/>
  <c r="I495" i="4" s="1"/>
  <c r="H494" i="4"/>
  <c r="I494" i="4" s="1"/>
  <c r="H1177" i="4"/>
  <c r="I1177" i="4" s="1"/>
  <c r="H491" i="4"/>
  <c r="I491" i="4" s="1"/>
  <c r="H492" i="4"/>
  <c r="I492" i="4" s="1"/>
  <c r="H493" i="4"/>
  <c r="I493" i="4" s="1"/>
  <c r="H490" i="4"/>
  <c r="I490" i="4" s="1"/>
  <c r="H489" i="4"/>
  <c r="I489" i="4" s="1"/>
  <c r="H1176" i="4"/>
  <c r="I1176" i="4" s="1"/>
  <c r="H1175" i="4"/>
  <c r="I1175" i="4" s="1"/>
  <c r="H1173" i="4"/>
  <c r="I1173" i="4" s="1"/>
  <c r="H1174" i="4"/>
  <c r="I1174" i="4" s="1"/>
  <c r="H75" i="4"/>
  <c r="I75" i="4" s="1"/>
  <c r="H74" i="4"/>
  <c r="I74" i="4" s="1"/>
  <c r="H99" i="4"/>
  <c r="I99" i="4" s="1"/>
  <c r="H112" i="4"/>
  <c r="I112" i="4" s="1"/>
  <c r="H84" i="4"/>
  <c r="I84" i="4" s="1"/>
  <c r="H488" i="4"/>
  <c r="I488" i="4" s="1"/>
  <c r="H1172" i="4"/>
  <c r="I1172" i="4" s="1"/>
  <c r="H487" i="4"/>
  <c r="I487" i="4" s="1"/>
  <c r="H127" i="4"/>
  <c r="I127" i="4" s="1"/>
  <c r="H160" i="4"/>
  <c r="I160" i="4" s="1"/>
  <c r="H111" i="4"/>
  <c r="I111" i="4" s="1"/>
  <c r="H486" i="4"/>
  <c r="I486" i="4" s="1"/>
  <c r="H1171" i="4"/>
  <c r="I1171" i="4" s="1"/>
  <c r="H164" i="4"/>
  <c r="I164" i="4" s="1"/>
  <c r="H132" i="4"/>
  <c r="I132" i="4" s="1"/>
  <c r="H175" i="4"/>
  <c r="I175" i="4" s="1"/>
  <c r="H485" i="4"/>
  <c r="I485" i="4" s="1"/>
  <c r="H484" i="4"/>
  <c r="I484" i="4" s="1"/>
  <c r="H483" i="4"/>
  <c r="I483" i="4" s="1"/>
  <c r="H482" i="4"/>
  <c r="I482" i="4" s="1"/>
  <c r="H481" i="4"/>
  <c r="I481" i="4" s="1"/>
  <c r="H480" i="4"/>
  <c r="I480" i="4" s="1"/>
  <c r="H479" i="4"/>
  <c r="I479" i="4" s="1"/>
  <c r="H478" i="4"/>
  <c r="I478" i="4" s="1"/>
  <c r="H476" i="4"/>
  <c r="I476" i="4" s="1"/>
  <c r="H477" i="4"/>
  <c r="I477" i="4" s="1"/>
  <c r="H474" i="4"/>
  <c r="I474" i="4" s="1"/>
  <c r="H1170" i="4"/>
  <c r="I1170" i="4" s="1"/>
  <c r="H475" i="4"/>
  <c r="I475" i="4" s="1"/>
  <c r="H473" i="4"/>
  <c r="I473" i="4" s="1"/>
  <c r="H472" i="4"/>
  <c r="I472" i="4" s="1"/>
  <c r="H471" i="4"/>
  <c r="I471" i="4" s="1"/>
  <c r="H1169" i="4"/>
  <c r="I1169" i="4" s="1"/>
  <c r="H470" i="4"/>
  <c r="I470" i="4" s="1"/>
  <c r="H469" i="4"/>
  <c r="I469" i="4" s="1"/>
  <c r="H468" i="4"/>
  <c r="I468" i="4" s="1"/>
  <c r="H467" i="4"/>
  <c r="I467" i="4" s="1"/>
  <c r="H1168" i="4"/>
  <c r="I1168" i="4" s="1"/>
  <c r="H466" i="4"/>
  <c r="I466" i="4" s="1"/>
  <c r="H465" i="4"/>
  <c r="I465" i="4" s="1"/>
  <c r="H207" i="4"/>
  <c r="I207" i="4" s="1"/>
  <c r="H464" i="4"/>
  <c r="I464" i="4" s="1"/>
  <c r="H1167" i="4"/>
  <c r="I1167" i="4" s="1"/>
  <c r="H463" i="4"/>
  <c r="I463" i="4" s="1"/>
  <c r="H462" i="4"/>
  <c r="I462" i="4" s="1"/>
  <c r="H460" i="4"/>
  <c r="I460" i="4" s="1"/>
  <c r="H461" i="4"/>
  <c r="I461" i="4" s="1"/>
  <c r="H26" i="4"/>
  <c r="I26" i="4" s="1"/>
  <c r="H40" i="4"/>
  <c r="I40" i="4" s="1"/>
  <c r="H85" i="4"/>
  <c r="I85" i="4" s="1"/>
  <c r="H70" i="4"/>
  <c r="I70" i="4" s="1"/>
  <c r="H30" i="4"/>
  <c r="I30" i="4" s="1"/>
  <c r="H459" i="4"/>
  <c r="I459" i="4" s="1"/>
  <c r="H44" i="4"/>
  <c r="I44" i="4" s="1"/>
  <c r="H1166" i="4"/>
  <c r="I1166" i="4" s="1"/>
  <c r="H458" i="4"/>
  <c r="I458" i="4" s="1"/>
  <c r="H1164" i="4"/>
  <c r="I1164" i="4" s="1"/>
  <c r="H1165" i="4"/>
  <c r="I1165" i="4" s="1"/>
  <c r="H457" i="4"/>
  <c r="I457" i="4" s="1"/>
  <c r="H455" i="4"/>
  <c r="I455" i="4" s="1"/>
  <c r="H456" i="4"/>
  <c r="I456" i="4" s="1"/>
  <c r="H454" i="4"/>
  <c r="I454" i="4" s="1"/>
  <c r="H453" i="4"/>
  <c r="I453" i="4" s="1"/>
  <c r="H98" i="4"/>
  <c r="I98" i="4" s="1"/>
  <c r="H154" i="4"/>
  <c r="I154" i="4" s="1"/>
  <c r="H1162" i="4"/>
  <c r="I1162" i="4" s="1"/>
  <c r="H1163" i="4"/>
  <c r="I1163" i="4" s="1"/>
  <c r="H452" i="4"/>
  <c r="I452" i="4" s="1"/>
  <c r="H1161" i="4"/>
  <c r="I1161" i="4" s="1"/>
  <c r="H451" i="4"/>
  <c r="I451" i="4" s="1"/>
  <c r="H450" i="4"/>
  <c r="I450" i="4" s="1"/>
  <c r="H449" i="4"/>
  <c r="I449" i="4" s="1"/>
  <c r="H1160" i="4"/>
  <c r="I1160" i="4" s="1"/>
  <c r="H448" i="4"/>
  <c r="I448" i="4" s="1"/>
  <c r="H446" i="4"/>
  <c r="I446" i="4" s="1"/>
  <c r="H447" i="4"/>
  <c r="I447" i="4" s="1"/>
  <c r="H445" i="4"/>
  <c r="I445" i="4" s="1"/>
  <c r="H444" i="4"/>
  <c r="I444" i="4" s="1"/>
  <c r="H1158" i="4"/>
  <c r="I1158" i="4" s="1"/>
  <c r="H1159" i="4"/>
  <c r="I1159" i="4" s="1"/>
  <c r="H443" i="4"/>
  <c r="I443" i="4" s="1"/>
  <c r="H442" i="4"/>
  <c r="I442" i="4" s="1"/>
  <c r="H441" i="4"/>
  <c r="I441" i="4" s="1"/>
  <c r="H440" i="4"/>
  <c r="I440" i="4" s="1"/>
  <c r="H1156" i="4"/>
  <c r="I1156" i="4" s="1"/>
  <c r="H1157" i="4"/>
  <c r="I1157" i="4" s="1"/>
  <c r="H39" i="4"/>
  <c r="I39" i="4" s="1"/>
  <c r="H52" i="4"/>
  <c r="I52" i="4" s="1"/>
  <c r="H43" i="4"/>
  <c r="I43" i="4" s="1"/>
  <c r="H34" i="4"/>
  <c r="I34" i="4" s="1"/>
  <c r="H36" i="4"/>
  <c r="I36" i="4" s="1"/>
  <c r="H110" i="4"/>
  <c r="I110" i="4" s="1"/>
  <c r="H49" i="4"/>
  <c r="I49" i="4" s="1"/>
  <c r="H48" i="4"/>
  <c r="I48" i="4" s="1"/>
  <c r="H159" i="4"/>
  <c r="I159" i="4" s="1"/>
  <c r="H33" i="4"/>
  <c r="I33" i="4" s="1"/>
  <c r="H35" i="4"/>
  <c r="I35" i="4" s="1"/>
  <c r="H439" i="4"/>
  <c r="I439" i="4" s="1"/>
  <c r="H438" i="4"/>
  <c r="I438" i="4" s="1"/>
  <c r="H437" i="4"/>
  <c r="I437" i="4" s="1"/>
  <c r="H436" i="4"/>
  <c r="I436" i="4" s="1"/>
  <c r="H435" i="4"/>
  <c r="I435" i="4" s="1"/>
  <c r="H1155" i="4"/>
  <c r="I1155" i="4" s="1"/>
  <c r="H433" i="4"/>
  <c r="I433" i="4" s="1"/>
  <c r="H434" i="4"/>
  <c r="I434" i="4" s="1"/>
  <c r="H432" i="4"/>
  <c r="I432" i="4" s="1"/>
  <c r="H431" i="4"/>
  <c r="I431" i="4" s="1"/>
  <c r="H205" i="4"/>
  <c r="I205" i="4" s="1"/>
  <c r="H206" i="4"/>
  <c r="I206" i="4" s="1"/>
  <c r="H1154" i="4"/>
  <c r="I1154" i="4" s="1"/>
  <c r="H1153" i="4"/>
  <c r="I1153" i="4" s="1"/>
  <c r="H430" i="4"/>
  <c r="I430" i="4" s="1"/>
  <c r="H92" i="4"/>
  <c r="I92" i="4" s="1"/>
  <c r="H429" i="4"/>
  <c r="I429" i="4" s="1"/>
  <c r="H427" i="4"/>
  <c r="I427" i="4" s="1"/>
  <c r="H428" i="4"/>
  <c r="I428" i="4" s="1"/>
  <c r="H426" i="4"/>
  <c r="I426" i="4" s="1"/>
  <c r="H425" i="4"/>
  <c r="I425" i="4" s="1"/>
  <c r="H42" i="4"/>
  <c r="I42" i="4" s="1"/>
  <c r="H422" i="4"/>
  <c r="I422" i="4" s="1"/>
  <c r="H423" i="4"/>
  <c r="I423" i="4" s="1"/>
  <c r="H424" i="4"/>
  <c r="I424" i="4" s="1"/>
  <c r="H421" i="4"/>
  <c r="I421" i="4" s="1"/>
  <c r="H420" i="4"/>
  <c r="I420" i="4" s="1"/>
  <c r="H1152" i="4"/>
  <c r="I1152" i="4" s="1"/>
  <c r="H1151" i="4"/>
  <c r="I1151" i="4" s="1"/>
  <c r="H1149" i="4"/>
  <c r="I1149" i="4" s="1"/>
  <c r="H1150" i="4"/>
  <c r="I1150" i="4" s="1"/>
  <c r="H1148" i="4"/>
  <c r="I1148" i="4" s="1"/>
  <c r="H1146" i="4"/>
  <c r="I1146" i="4" s="1"/>
  <c r="H1147" i="4"/>
  <c r="I1147" i="4" s="1"/>
  <c r="H419" i="4"/>
  <c r="I419" i="4" s="1"/>
  <c r="H23" i="4"/>
  <c r="I23" i="4" s="1"/>
  <c r="H418" i="4"/>
  <c r="I418" i="4" s="1"/>
  <c r="H153" i="4"/>
  <c r="I153" i="4" s="1"/>
  <c r="H38" i="4"/>
  <c r="I38" i="4" s="1"/>
  <c r="H126" i="4"/>
  <c r="I126" i="4" s="1"/>
  <c r="H142" i="4"/>
  <c r="I142" i="4" s="1"/>
  <c r="H141" i="4"/>
  <c r="I141" i="4" s="1"/>
  <c r="H97" i="4"/>
  <c r="I97" i="4" s="1"/>
  <c r="H174" i="4"/>
  <c r="I174" i="4" s="1"/>
  <c r="H102" i="4"/>
  <c r="I102" i="4" s="1"/>
  <c r="H55" i="4"/>
  <c r="I55" i="4" s="1"/>
  <c r="H125" i="4"/>
  <c r="I125" i="4" s="1"/>
  <c r="H163" i="4"/>
  <c r="I163" i="4" s="1"/>
  <c r="H51" i="4"/>
  <c r="I51" i="4" s="1"/>
  <c r="H152" i="4"/>
  <c r="I152" i="4" s="1"/>
  <c r="H179" i="4"/>
  <c r="I179" i="4" s="1"/>
  <c r="H168" i="4"/>
  <c r="I168" i="4" s="1"/>
  <c r="H158" i="4"/>
  <c r="I158" i="4" s="1"/>
  <c r="H417" i="4"/>
  <c r="I417" i="4" s="1"/>
  <c r="H1145" i="4"/>
  <c r="I1145" i="4" s="1"/>
  <c r="H416" i="4"/>
  <c r="I416" i="4" s="1"/>
  <c r="H1144" i="4"/>
  <c r="I1144" i="4" s="1"/>
  <c r="H1143" i="4"/>
  <c r="I1143" i="4" s="1"/>
  <c r="H415" i="4"/>
  <c r="I415" i="4" s="1"/>
  <c r="H60" i="4"/>
  <c r="I60" i="4" s="1"/>
  <c r="H64" i="4"/>
  <c r="I64" i="4" s="1"/>
  <c r="H151" i="4"/>
  <c r="I151" i="4" s="1"/>
  <c r="H414" i="4"/>
  <c r="I414" i="4" s="1"/>
  <c r="H1142" i="4"/>
  <c r="I1142" i="4" s="1"/>
  <c r="H1141" i="4"/>
  <c r="I1141" i="4" s="1"/>
  <c r="H1140" i="4"/>
  <c r="I1140" i="4" s="1"/>
  <c r="H1139" i="4"/>
  <c r="I1139" i="4" s="1"/>
  <c r="H25" i="4"/>
  <c r="I25" i="4" s="1"/>
  <c r="H124" i="4"/>
  <c r="I124" i="4" s="1"/>
  <c r="H123" i="4"/>
  <c r="I123" i="4" s="1"/>
  <c r="H413" i="4"/>
  <c r="I413" i="4" s="1"/>
  <c r="H412" i="4"/>
  <c r="I412" i="4" s="1"/>
  <c r="H1138" i="4"/>
  <c r="I1138" i="4" s="1"/>
  <c r="H1137" i="4"/>
  <c r="I1137" i="4" s="1"/>
  <c r="H1136" i="4"/>
  <c r="I1136" i="4" s="1"/>
  <c r="H122" i="4"/>
  <c r="I122" i="4" s="1"/>
  <c r="H1135" i="4"/>
  <c r="I1135" i="4" s="1"/>
  <c r="H1134" i="4"/>
  <c r="I1134" i="4" s="1"/>
  <c r="H121" i="4"/>
  <c r="I121" i="4" s="1"/>
  <c r="H411" i="4"/>
  <c r="I411" i="4" s="1"/>
  <c r="H410" i="4"/>
  <c r="I410" i="4" s="1"/>
  <c r="H1133" i="4"/>
  <c r="I1133" i="4" s="1"/>
  <c r="H1132" i="4"/>
  <c r="I1132" i="4" s="1"/>
  <c r="H1131" i="4"/>
  <c r="I1131" i="4" s="1"/>
  <c r="H1130" i="4"/>
  <c r="I1130" i="4" s="1"/>
  <c r="H1129" i="4"/>
  <c r="I1129" i="4" s="1"/>
  <c r="H409" i="4"/>
  <c r="I409" i="4" s="1"/>
  <c r="H96" i="4"/>
  <c r="I96" i="4" s="1"/>
  <c r="H137" i="4"/>
  <c r="I137" i="4" s="1"/>
  <c r="H408" i="4"/>
  <c r="I408" i="4" s="1"/>
  <c r="H1127" i="4"/>
  <c r="I1127" i="4" s="1"/>
  <c r="H1128" i="4"/>
  <c r="I1128" i="4" s="1"/>
  <c r="H150" i="4"/>
  <c r="I150" i="4" s="1"/>
  <c r="H1126" i="4"/>
  <c r="I1126" i="4" s="1"/>
  <c r="H1125" i="4"/>
  <c r="I1125" i="4" s="1"/>
  <c r="H407" i="4"/>
  <c r="I407" i="4" s="1"/>
  <c r="H95" i="4"/>
  <c r="I95" i="4" s="1"/>
  <c r="H173" i="4"/>
  <c r="I173" i="4" s="1"/>
  <c r="H406" i="4"/>
  <c r="I406" i="4" s="1"/>
  <c r="H1124" i="4"/>
  <c r="I1124" i="4" s="1"/>
  <c r="H405" i="4"/>
  <c r="I405" i="4" s="1"/>
  <c r="H404" i="4"/>
  <c r="I404" i="4" s="1"/>
  <c r="H1123" i="4"/>
  <c r="I1123" i="4" s="1"/>
  <c r="H1121" i="4"/>
  <c r="I1121" i="4" s="1"/>
  <c r="H1122" i="4"/>
  <c r="I1122" i="4" s="1"/>
  <c r="H1119" i="4"/>
  <c r="I1119" i="4" s="1"/>
  <c r="H1120" i="4"/>
  <c r="I1120" i="4" s="1"/>
  <c r="H1117" i="4"/>
  <c r="I1117" i="4" s="1"/>
  <c r="H1118" i="4"/>
  <c r="I1118" i="4" s="1"/>
  <c r="H1115" i="4"/>
  <c r="I1115" i="4" s="1"/>
  <c r="H1116" i="4"/>
  <c r="I1116" i="4" s="1"/>
  <c r="H1114" i="4"/>
  <c r="I1114" i="4" s="1"/>
  <c r="H1113" i="4"/>
  <c r="I1113" i="4" s="1"/>
  <c r="H1112" i="4"/>
  <c r="I1112" i="4" s="1"/>
  <c r="H9" i="4"/>
  <c r="I9" i="4" s="1"/>
  <c r="H131" i="4"/>
  <c r="I131" i="4" s="1"/>
  <c r="H14" i="4"/>
  <c r="I14" i="4" s="1"/>
  <c r="H29" i="4"/>
  <c r="I29" i="4" s="1"/>
  <c r="H83" i="4"/>
  <c r="I83" i="4" s="1"/>
  <c r="H63" i="4"/>
  <c r="I63" i="4" s="1"/>
  <c r="H109" i="4"/>
  <c r="I109" i="4" s="1"/>
  <c r="H82" i="4"/>
  <c r="I82" i="4" s="1"/>
  <c r="H91" i="4"/>
  <c r="I91" i="4" s="1"/>
  <c r="H108" i="4"/>
  <c r="I108" i="4" s="1"/>
  <c r="H32" i="4"/>
  <c r="I32" i="4" s="1"/>
  <c r="H78" i="4"/>
  <c r="I78" i="4" s="1"/>
  <c r="H7" i="4"/>
  <c r="I7" i="4" s="1"/>
  <c r="H69" i="4"/>
  <c r="I69" i="4" s="1"/>
  <c r="H178" i="4"/>
  <c r="I178" i="4" s="1"/>
  <c r="H136" i="4"/>
  <c r="I136" i="4" s="1"/>
  <c r="H81" i="4"/>
  <c r="I81" i="4" s="1"/>
  <c r="H149" i="4"/>
  <c r="I149" i="4" s="1"/>
  <c r="H68" i="4"/>
  <c r="I68" i="4" s="1"/>
  <c r="H28" i="4"/>
  <c r="I28" i="4" s="1"/>
  <c r="H403" i="4"/>
  <c r="I403" i="4" s="1"/>
  <c r="H172" i="4"/>
  <c r="I172" i="4" s="1"/>
  <c r="H54" i="4"/>
  <c r="I54" i="4" s="1"/>
  <c r="H120" i="4"/>
  <c r="I120" i="4" s="1"/>
  <c r="H90" i="4"/>
  <c r="I90" i="4" s="1"/>
  <c r="H73" i="4"/>
  <c r="I73" i="4" s="1"/>
  <c r="H148" i="4"/>
  <c r="I148" i="4" s="1"/>
  <c r="H1111" i="4"/>
  <c r="I1111" i="4" s="1"/>
  <c r="H1110" i="4"/>
  <c r="I1110" i="4" s="1"/>
  <c r="H1109" i="4"/>
  <c r="I1109" i="4" s="1"/>
  <c r="H162" i="4"/>
  <c r="I162" i="4" s="1"/>
  <c r="H167" i="4"/>
  <c r="I167" i="4" s="1"/>
  <c r="H72" i="4"/>
  <c r="I72" i="4" s="1"/>
  <c r="H18" i="4"/>
  <c r="I18" i="4" s="1"/>
  <c r="H402" i="4"/>
  <c r="I402" i="4" s="1"/>
  <c r="H1108" i="4"/>
  <c r="I1108" i="4" s="1"/>
  <c r="H119" i="4"/>
  <c r="I119" i="4" s="1"/>
  <c r="H147" i="4"/>
  <c r="I147" i="4" s="1"/>
  <c r="H401" i="4"/>
  <c r="I401" i="4" s="1"/>
  <c r="H1106" i="4"/>
  <c r="I1106" i="4" s="1"/>
  <c r="H1107" i="4"/>
  <c r="I1107" i="4" s="1"/>
  <c r="H1104" i="4"/>
  <c r="I1104" i="4" s="1"/>
  <c r="H1105" i="4"/>
  <c r="I1105" i="4" s="1"/>
  <c r="H1101" i="4"/>
  <c r="I1101" i="4" s="1"/>
  <c r="H1102" i="4"/>
  <c r="I1102" i="4" s="1"/>
  <c r="H1103" i="4"/>
  <c r="I1103" i="4" s="1"/>
  <c r="H1100" i="4"/>
  <c r="I1100" i="4" s="1"/>
  <c r="H203" i="4"/>
  <c r="I203" i="4" s="1"/>
  <c r="H204" i="4"/>
  <c r="I204" i="4" s="1"/>
  <c r="H135" i="4"/>
  <c r="I135" i="4" s="1"/>
  <c r="H400" i="4"/>
  <c r="I400" i="4" s="1"/>
  <c r="H399" i="4"/>
  <c r="I399" i="4" s="1"/>
  <c r="H1099" i="4"/>
  <c r="I1099" i="4" s="1"/>
  <c r="H1098" i="4"/>
  <c r="I1098" i="4" s="1"/>
  <c r="H1097" i="4"/>
  <c r="I1097" i="4" s="1"/>
  <c r="H1096" i="4"/>
  <c r="I1096" i="4" s="1"/>
  <c r="H134" i="4"/>
  <c r="I134" i="4" s="1"/>
  <c r="H184" i="4"/>
  <c r="I184" i="4" s="1"/>
  <c r="H398" i="4"/>
  <c r="I398" i="4" s="1"/>
  <c r="H397" i="4"/>
  <c r="I397" i="4" s="1"/>
  <c r="H395" i="4"/>
  <c r="I395" i="4" s="1"/>
  <c r="H396" i="4"/>
  <c r="I396" i="4" s="1"/>
  <c r="H1094" i="4"/>
  <c r="I1094" i="4" s="1"/>
  <c r="H1095" i="4"/>
  <c r="I1095" i="4" s="1"/>
  <c r="H1091" i="4"/>
  <c r="I1091" i="4" s="1"/>
  <c r="H1092" i="4"/>
  <c r="I1092" i="4" s="1"/>
  <c r="H1093" i="4"/>
  <c r="I1093" i="4" s="1"/>
  <c r="H1089" i="4"/>
  <c r="I1089" i="4" s="1"/>
  <c r="H1090" i="4"/>
  <c r="I1090" i="4" s="1"/>
  <c r="H1088" i="4"/>
  <c r="I1088" i="4" s="1"/>
  <c r="H1086" i="4"/>
  <c r="I1086" i="4" s="1"/>
  <c r="H1087" i="4"/>
  <c r="I1087" i="4" s="1"/>
  <c r="H1085" i="4"/>
  <c r="I1085" i="4" s="1"/>
  <c r="H1084" i="4"/>
  <c r="I1084" i="4" s="1"/>
  <c r="H393" i="4"/>
  <c r="I393" i="4" s="1"/>
  <c r="H394" i="4"/>
  <c r="I394" i="4" s="1"/>
  <c r="H47" i="4"/>
  <c r="I47" i="4" s="1"/>
  <c r="H392" i="4"/>
  <c r="I392" i="4" s="1"/>
  <c r="H391" i="4"/>
  <c r="I391" i="4" s="1"/>
  <c r="H390" i="4"/>
  <c r="I390" i="4" s="1"/>
  <c r="H389" i="4"/>
  <c r="I389" i="4" s="1"/>
  <c r="H388" i="4"/>
  <c r="I388" i="4" s="1"/>
  <c r="H386" i="4"/>
  <c r="I386" i="4" s="1"/>
  <c r="H387" i="4"/>
  <c r="I387" i="4" s="1"/>
  <c r="H384" i="4"/>
  <c r="I384" i="4" s="1"/>
  <c r="H385" i="4"/>
  <c r="I385" i="4" s="1"/>
  <c r="H1083" i="4"/>
  <c r="I1083" i="4" s="1"/>
  <c r="H1082" i="4"/>
  <c r="I1082" i="4" s="1"/>
  <c r="H383" i="4"/>
  <c r="I383" i="4" s="1"/>
  <c r="H382" i="4"/>
  <c r="I382" i="4" s="1"/>
  <c r="H381" i="4"/>
  <c r="I381" i="4" s="1"/>
  <c r="H1081" i="4"/>
  <c r="I1081" i="4" s="1"/>
  <c r="H380" i="4"/>
  <c r="I380" i="4" s="1"/>
  <c r="H379" i="4"/>
  <c r="I379" i="4" s="1"/>
  <c r="H1079" i="4"/>
  <c r="I1079" i="4" s="1"/>
  <c r="H1080" i="4"/>
  <c r="I1080" i="4" s="1"/>
  <c r="H378" i="4"/>
  <c r="I378" i="4" s="1"/>
  <c r="H202" i="4"/>
  <c r="I202" i="4" s="1"/>
  <c r="H377" i="4"/>
  <c r="I377" i="4" s="1"/>
  <c r="H376" i="4"/>
  <c r="I376" i="4" s="1"/>
  <c r="H375" i="4"/>
  <c r="I375" i="4" s="1"/>
  <c r="H374" i="4"/>
  <c r="I374" i="4" s="1"/>
  <c r="H373" i="4"/>
  <c r="I373" i="4" s="1"/>
  <c r="H372" i="4"/>
  <c r="I372" i="4" s="1"/>
  <c r="H371" i="4"/>
  <c r="I371" i="4" s="1"/>
  <c r="H1078" i="4"/>
  <c r="I1078" i="4" s="1"/>
  <c r="H1077" i="4"/>
  <c r="I1077" i="4" s="1"/>
  <c r="H1075" i="4"/>
  <c r="I1075" i="4" s="1"/>
  <c r="H1076" i="4"/>
  <c r="I1076" i="4" s="1"/>
  <c r="H1073" i="4"/>
  <c r="I1073" i="4" s="1"/>
  <c r="H1074" i="4"/>
  <c r="I1074" i="4" s="1"/>
  <c r="H20" i="4"/>
  <c r="I20" i="4" s="1"/>
  <c r="H1072" i="4"/>
  <c r="I1072" i="4" s="1"/>
  <c r="H1071" i="4"/>
  <c r="I1071" i="4" s="1"/>
  <c r="H1070" i="4"/>
  <c r="I1070" i="4" s="1"/>
  <c r="H1069" i="4"/>
  <c r="I1069" i="4" s="1"/>
  <c r="H1068" i="4"/>
  <c r="I1068" i="4" s="1"/>
  <c r="H1067" i="4"/>
  <c r="I1067" i="4" s="1"/>
  <c r="H1066" i="4"/>
  <c r="I1066" i="4" s="1"/>
  <c r="H201" i="4"/>
  <c r="I201" i="4" s="1"/>
  <c r="H370" i="4"/>
  <c r="I370" i="4" s="1"/>
  <c r="H1064" i="4"/>
  <c r="I1064" i="4" s="1"/>
  <c r="H1065" i="4"/>
  <c r="I1065" i="4" s="1"/>
  <c r="H369" i="4"/>
  <c r="I369" i="4" s="1"/>
  <c r="H1062" i="4"/>
  <c r="I1062" i="4" s="1"/>
  <c r="H1063" i="4"/>
  <c r="I1063" i="4" s="1"/>
  <c r="H1061" i="4"/>
  <c r="I1061" i="4" s="1"/>
  <c r="H368" i="4"/>
  <c r="I368" i="4" s="1"/>
  <c r="H365" i="4"/>
  <c r="I365" i="4" s="1"/>
  <c r="H366" i="4"/>
  <c r="I366" i="4" s="1"/>
  <c r="H367" i="4"/>
  <c r="I367" i="4" s="1"/>
  <c r="H364" i="4"/>
  <c r="I364" i="4" s="1"/>
  <c r="H1060" i="4"/>
  <c r="I1060" i="4" s="1"/>
  <c r="H1058" i="4"/>
  <c r="I1058" i="4" s="1"/>
  <c r="H1059" i="4"/>
  <c r="I1059" i="4" s="1"/>
  <c r="H1057" i="4"/>
  <c r="I1057" i="4" s="1"/>
  <c r="H363" i="4"/>
  <c r="I363" i="4" s="1"/>
  <c r="H1056" i="4"/>
  <c r="I1056" i="4" s="1"/>
  <c r="H1055" i="4"/>
  <c r="I1055" i="4" s="1"/>
  <c r="H1054" i="4"/>
  <c r="I1054" i="4" s="1"/>
  <c r="H1052" i="4"/>
  <c r="I1052" i="4" s="1"/>
  <c r="H1053" i="4"/>
  <c r="I1053" i="4" s="1"/>
  <c r="H1051" i="4"/>
  <c r="I1051" i="4" s="1"/>
  <c r="H1049" i="4"/>
  <c r="I1049" i="4" s="1"/>
  <c r="H1050" i="4"/>
  <c r="I1050" i="4" s="1"/>
  <c r="H1048" i="4"/>
  <c r="I1048" i="4" s="1"/>
  <c r="H1047" i="4"/>
  <c r="I1047" i="4" s="1"/>
  <c r="H199" i="4"/>
  <c r="I199" i="4" s="1"/>
  <c r="H200" i="4"/>
  <c r="I200" i="4" s="1"/>
  <c r="H1046" i="4"/>
  <c r="I1046" i="4" s="1"/>
  <c r="H10" i="4"/>
  <c r="I10" i="4" s="1"/>
  <c r="H8" i="4"/>
  <c r="I8" i="4" s="1"/>
  <c r="H4" i="4"/>
  <c r="I4" i="4" s="1"/>
  <c r="H94" i="4"/>
  <c r="I94" i="4" s="1"/>
  <c r="H361" i="4"/>
  <c r="I361" i="4" s="1"/>
  <c r="H362" i="4"/>
  <c r="I362" i="4" s="1"/>
  <c r="H59" i="4"/>
  <c r="I59" i="4" s="1"/>
  <c r="H198" i="4"/>
  <c r="I198" i="4" s="1"/>
  <c r="H146" i="4"/>
  <c r="I146" i="4" s="1"/>
  <c r="H107" i="4"/>
  <c r="I107" i="4" s="1"/>
  <c r="H67" i="4"/>
  <c r="I67" i="4" s="1"/>
  <c r="H157" i="4"/>
  <c r="I157" i="4" s="1"/>
  <c r="H106" i="4"/>
  <c r="I106" i="4" s="1"/>
  <c r="H62" i="4"/>
  <c r="I62" i="4" s="1"/>
  <c r="H1045" i="4"/>
  <c r="I1045" i="4" s="1"/>
  <c r="H89" i="4"/>
  <c r="I89" i="4" s="1"/>
  <c r="H360" i="4"/>
  <c r="I360" i="4" s="1"/>
  <c r="H358" i="4"/>
  <c r="I358" i="4" s="1"/>
  <c r="H359" i="4"/>
  <c r="I359" i="4" s="1"/>
  <c r="H118" i="4"/>
  <c r="I118" i="4" s="1"/>
  <c r="H356" i="4"/>
  <c r="I356" i="4" s="1"/>
  <c r="H357" i="4"/>
  <c r="I357" i="4" s="1"/>
  <c r="H1044" i="4"/>
  <c r="I1044" i="4" s="1"/>
  <c r="H1043" i="4"/>
  <c r="I1043" i="4" s="1"/>
  <c r="H130" i="4"/>
  <c r="I130" i="4" s="1"/>
  <c r="H1041" i="4"/>
  <c r="I1041" i="4" s="1"/>
  <c r="H1042" i="4"/>
  <c r="I1042" i="4" s="1"/>
  <c r="H1040" i="4"/>
  <c r="I1040" i="4" s="1"/>
  <c r="H1039" i="4"/>
  <c r="I1039" i="4" s="1"/>
  <c r="H1038" i="4"/>
  <c r="I1038" i="4" s="1"/>
  <c r="H1037" i="4"/>
  <c r="I1037" i="4" s="1"/>
  <c r="H1036" i="4"/>
  <c r="I1036" i="4" s="1"/>
  <c r="H101" i="4"/>
  <c r="I101" i="4" s="1"/>
  <c r="H1035" i="4"/>
  <c r="I1035" i="4" s="1"/>
  <c r="H1034" i="4"/>
  <c r="I1034" i="4" s="1"/>
  <c r="H71" i="4"/>
  <c r="I71" i="4" s="1"/>
  <c r="H355" i="4"/>
  <c r="I355" i="4" s="1"/>
  <c r="H354" i="4"/>
  <c r="I354" i="4" s="1"/>
  <c r="H353" i="4"/>
  <c r="I353" i="4" s="1"/>
  <c r="H352" i="4"/>
  <c r="I352" i="4" s="1"/>
  <c r="H1033" i="4"/>
  <c r="I1033" i="4" s="1"/>
  <c r="H351" i="4"/>
  <c r="I351" i="4" s="1"/>
  <c r="H1032" i="4"/>
  <c r="I1032" i="4" s="1"/>
  <c r="H1030" i="4"/>
  <c r="I1030" i="4" s="1"/>
  <c r="H1031" i="4"/>
  <c r="I1031" i="4" s="1"/>
  <c r="H1029" i="4"/>
  <c r="I1029" i="4" s="1"/>
  <c r="H350" i="4"/>
  <c r="I350" i="4" s="1"/>
  <c r="H1028" i="4"/>
  <c r="I1028" i="4" s="1"/>
  <c r="H349" i="4"/>
  <c r="I349" i="4" s="1"/>
  <c r="H1027" i="4"/>
  <c r="I1027" i="4" s="1"/>
  <c r="H348" i="4"/>
  <c r="I348" i="4" s="1"/>
  <c r="H1026" i="4"/>
  <c r="I1026" i="4" s="1"/>
  <c r="H347" i="4"/>
  <c r="I347" i="4" s="1"/>
  <c r="H1024" i="4"/>
  <c r="I1024" i="4" s="1"/>
  <c r="H1025" i="4"/>
  <c r="I1025" i="4" s="1"/>
  <c r="H1023" i="4"/>
  <c r="I1023" i="4" s="1"/>
  <c r="H1021" i="4"/>
  <c r="I1021" i="4" s="1"/>
  <c r="H1022" i="4"/>
  <c r="I1022" i="4" s="1"/>
  <c r="H1020" i="4"/>
  <c r="I1020" i="4" s="1"/>
  <c r="H1019" i="4"/>
  <c r="I1019" i="4" s="1"/>
  <c r="H1018" i="4"/>
  <c r="I1018" i="4" s="1"/>
  <c r="H1017" i="4"/>
  <c r="I1017" i="4" s="1"/>
  <c r="H1016" i="4"/>
  <c r="I1016" i="4" s="1"/>
  <c r="H1015" i="4"/>
  <c r="I1015" i="4" s="1"/>
  <c r="H1014" i="4"/>
  <c r="I1014" i="4" s="1"/>
  <c r="H1013" i="4"/>
  <c r="I1013" i="4" s="1"/>
  <c r="H345" i="4"/>
  <c r="I345" i="4" s="1"/>
  <c r="H346" i="4"/>
  <c r="I346" i="4" s="1"/>
  <c r="H1012" i="4"/>
  <c r="I1012" i="4" s="1"/>
  <c r="H37" i="4"/>
  <c r="I37" i="4" s="1"/>
  <c r="H344" i="4"/>
  <c r="I344" i="4" s="1"/>
  <c r="H343" i="4"/>
  <c r="I343" i="4" s="1"/>
  <c r="H1008" i="4"/>
  <c r="I1008" i="4" s="1"/>
  <c r="H1009" i="4"/>
  <c r="I1009" i="4" s="1"/>
  <c r="H1010" i="4"/>
  <c r="I1010" i="4" s="1"/>
  <c r="H1011" i="4"/>
  <c r="I1011" i="4" s="1"/>
  <c r="H1007" i="4"/>
  <c r="I1007" i="4" s="1"/>
  <c r="H1006" i="4"/>
  <c r="I1006" i="4" s="1"/>
  <c r="H1005" i="4"/>
  <c r="I1005" i="4" s="1"/>
  <c r="H1004" i="4"/>
  <c r="I1004" i="4" s="1"/>
  <c r="H1003" i="4"/>
  <c r="I1003" i="4" s="1"/>
  <c r="H1002" i="4"/>
  <c r="I1002" i="4" s="1"/>
  <c r="H1000" i="4"/>
  <c r="I1000" i="4" s="1"/>
  <c r="H1001" i="4"/>
  <c r="I1001" i="4" s="1"/>
  <c r="H999" i="4"/>
  <c r="I999" i="4" s="1"/>
  <c r="H998" i="4"/>
  <c r="I998" i="4" s="1"/>
  <c r="H997" i="4"/>
  <c r="I997" i="4" s="1"/>
  <c r="H12" i="4"/>
  <c r="I12" i="4" s="1"/>
  <c r="H342" i="4"/>
  <c r="I342" i="4" s="1"/>
  <c r="H341" i="4"/>
  <c r="I341" i="4" s="1"/>
  <c r="H340" i="4"/>
  <c r="I340" i="4" s="1"/>
  <c r="H996" i="4"/>
  <c r="I996" i="4" s="1"/>
  <c r="H994" i="4"/>
  <c r="I994" i="4" s="1"/>
  <c r="H995" i="4"/>
  <c r="I995" i="4" s="1"/>
  <c r="H993" i="4"/>
  <c r="I993" i="4" s="1"/>
  <c r="H992" i="4"/>
  <c r="I992" i="4" s="1"/>
  <c r="H15" i="4"/>
  <c r="I15" i="4" s="1"/>
  <c r="H13" i="4"/>
  <c r="I13" i="4" s="1"/>
  <c r="H80" i="4"/>
  <c r="I80" i="4" s="1"/>
  <c r="H19" i="4"/>
  <c r="I19" i="4" s="1"/>
  <c r="H57" i="4"/>
  <c r="I57" i="4" s="1"/>
  <c r="H27" i="4"/>
  <c r="I27" i="4" s="1"/>
  <c r="H11" i="4"/>
  <c r="I11" i="4" s="1"/>
  <c r="H24" i="4"/>
  <c r="I24" i="4" s="1"/>
  <c r="H53" i="4"/>
  <c r="I53" i="4" s="1"/>
  <c r="H66" i="4"/>
  <c r="I66" i="4" s="1"/>
  <c r="H88" i="4"/>
  <c r="I88" i="4" s="1"/>
  <c r="H58" i="4"/>
  <c r="I58" i="4" s="1"/>
  <c r="H339" i="4"/>
  <c r="I339" i="4" s="1"/>
  <c r="H338" i="4"/>
  <c r="I338" i="4" s="1"/>
  <c r="H337" i="4"/>
  <c r="I337" i="4" s="1"/>
  <c r="H22" i="4"/>
  <c r="I22" i="4" s="1"/>
  <c r="H336" i="4"/>
  <c r="I336" i="4" s="1"/>
  <c r="H334" i="4"/>
  <c r="I334" i="4" s="1"/>
  <c r="H335" i="4"/>
  <c r="I335" i="4" s="1"/>
  <c r="H333" i="4"/>
  <c r="I333" i="4" s="1"/>
  <c r="H332" i="4"/>
  <c r="I332" i="4" s="1"/>
  <c r="H197" i="4"/>
  <c r="I197" i="4" s="1"/>
  <c r="H330" i="4"/>
  <c r="I330" i="4" s="1"/>
  <c r="H331" i="4"/>
  <c r="I331" i="4" s="1"/>
  <c r="H328" i="4"/>
  <c r="I328" i="4" s="1"/>
  <c r="H329" i="4"/>
  <c r="I329" i="4" s="1"/>
  <c r="H327" i="4"/>
  <c r="I327" i="4" s="1"/>
  <c r="H326" i="4"/>
  <c r="I326" i="4" s="1"/>
  <c r="H325" i="4"/>
  <c r="I325" i="4" s="1"/>
  <c r="H196" i="4"/>
  <c r="I196" i="4" s="1"/>
  <c r="H324" i="4"/>
  <c r="I324" i="4" s="1"/>
  <c r="H323" i="4"/>
  <c r="I323" i="4" s="1"/>
  <c r="H321" i="4"/>
  <c r="I321" i="4" s="1"/>
  <c r="H322" i="4"/>
  <c r="I322" i="4" s="1"/>
  <c r="H320" i="4"/>
  <c r="I320" i="4" s="1"/>
  <c r="H318" i="4"/>
  <c r="I318" i="4" s="1"/>
  <c r="H319" i="4"/>
  <c r="I319" i="4" s="1"/>
  <c r="H991" i="4"/>
  <c r="I991" i="4" s="1"/>
  <c r="H990" i="4"/>
  <c r="I990" i="4" s="1"/>
  <c r="H989" i="4"/>
  <c r="I989" i="4" s="1"/>
  <c r="H987" i="4"/>
  <c r="I987" i="4" s="1"/>
  <c r="H988" i="4"/>
  <c r="I988" i="4" s="1"/>
  <c r="H985" i="4"/>
  <c r="I985" i="4" s="1"/>
  <c r="H986" i="4"/>
  <c r="I986" i="4" s="1"/>
  <c r="H984" i="4"/>
  <c r="I984" i="4" s="1"/>
  <c r="H46" i="4"/>
  <c r="I46" i="4" s="1"/>
  <c r="H56" i="4"/>
  <c r="I56" i="4" s="1"/>
  <c r="H21" i="4"/>
  <c r="I21" i="4" s="1"/>
  <c r="H61" i="4"/>
  <c r="I61" i="4" s="1"/>
  <c r="H117" i="4"/>
  <c r="I117" i="4" s="1"/>
  <c r="H183" i="4"/>
  <c r="I183" i="4" s="1"/>
  <c r="H161" i="4"/>
  <c r="I161" i="4" s="1"/>
  <c r="H182" i="4"/>
  <c r="I182" i="4" s="1"/>
  <c r="H188" i="4"/>
  <c r="I188" i="4" s="1"/>
  <c r="H181" i="4"/>
  <c r="I181" i="4" s="1"/>
  <c r="H105" i="4"/>
  <c r="I105" i="4" s="1"/>
  <c r="H145" i="4"/>
  <c r="I145" i="4" s="1"/>
  <c r="H79" i="4"/>
  <c r="I79" i="4" s="1"/>
  <c r="H50" i="4"/>
  <c r="I50" i="4" s="1"/>
  <c r="H133" i="4"/>
  <c r="I133" i="4" s="1"/>
  <c r="H171" i="4"/>
  <c r="I171" i="4" s="1"/>
  <c r="H156" i="4"/>
  <c r="I156" i="4" s="1"/>
  <c r="H140" i="4"/>
  <c r="I140" i="4" s="1"/>
  <c r="H116" i="4"/>
  <c r="I116" i="4" s="1"/>
  <c r="H115" i="4"/>
  <c r="I115" i="4" s="1"/>
  <c r="H317" i="4"/>
  <c r="I317" i="4" s="1"/>
  <c r="H180" i="4"/>
  <c r="I180" i="4" s="1"/>
  <c r="H177" i="4"/>
  <c r="I177" i="4" s="1"/>
  <c r="H104" i="4"/>
  <c r="I104" i="4" s="1"/>
  <c r="H170" i="4"/>
  <c r="I170" i="4" s="1"/>
  <c r="H316" i="4"/>
  <c r="I316" i="4" s="1"/>
  <c r="H315" i="4"/>
  <c r="I315" i="4" s="1"/>
  <c r="H983" i="4"/>
  <c r="I983" i="4" s="1"/>
  <c r="H982" i="4"/>
  <c r="I982" i="4" s="1"/>
  <c r="H981" i="4"/>
  <c r="I981" i="4" s="1"/>
  <c r="H980" i="4"/>
  <c r="I980" i="4" s="1"/>
  <c r="H187" i="4"/>
  <c r="I187" i="4" s="1"/>
  <c r="H129" i="4"/>
  <c r="I129" i="4" s="1"/>
  <c r="H103" i="4"/>
  <c r="I103" i="4" s="1"/>
  <c r="H176" i="4"/>
  <c r="I176" i="4" s="1"/>
  <c r="H87" i="4"/>
  <c r="I87" i="4" s="1"/>
  <c r="H77" i="4"/>
  <c r="I77" i="4" s="1"/>
  <c r="H979" i="4"/>
  <c r="I979" i="4" s="1"/>
  <c r="H978" i="4"/>
  <c r="I978" i="4" s="1"/>
  <c r="H144" i="4"/>
  <c r="I144" i="4" s="1"/>
  <c r="H166" i="4"/>
  <c r="I166" i="4" s="1"/>
  <c r="H314" i="4"/>
  <c r="I314" i="4" s="1"/>
  <c r="H313" i="4"/>
  <c r="I313" i="4" s="1"/>
  <c r="H977" i="4"/>
  <c r="I977" i="4" s="1"/>
  <c r="H975" i="4"/>
  <c r="I975" i="4" s="1"/>
  <c r="H976" i="4"/>
  <c r="I976" i="4" s="1"/>
  <c r="H1523" i="4"/>
  <c r="I1523" i="4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10" i="3"/>
  <c r="P10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11" i="3"/>
  <c r="P11" i="3" s="1"/>
  <c r="O12" i="3"/>
  <c r="P12" i="3" s="1"/>
  <c r="O64" i="3"/>
  <c r="P64" i="3" s="1"/>
  <c r="O65" i="3"/>
  <c r="P65" i="3" s="1"/>
  <c r="O66" i="3"/>
  <c r="P66" i="3" s="1"/>
  <c r="O67" i="3"/>
  <c r="P67" i="3" s="1"/>
  <c r="O68" i="3"/>
  <c r="P68" i="3" s="1"/>
  <c r="O2" i="3"/>
  <c r="P2" i="3" s="1"/>
  <c r="O69" i="3"/>
  <c r="P69" i="3" s="1"/>
  <c r="O13" i="3"/>
  <c r="P13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14" i="3"/>
  <c r="P14" i="3" s="1"/>
  <c r="O77" i="3"/>
  <c r="P77" i="3" s="1"/>
  <c r="O78" i="3"/>
  <c r="P78" i="3" s="1"/>
  <c r="O79" i="3"/>
  <c r="P79" i="3" s="1"/>
  <c r="O80" i="3"/>
  <c r="P80" i="3" s="1"/>
  <c r="O15" i="3"/>
  <c r="P15" i="3" s="1"/>
  <c r="O81" i="3"/>
  <c r="P81" i="3" s="1"/>
  <c r="O82" i="3"/>
  <c r="P82" i="3" s="1"/>
  <c r="O83" i="3"/>
  <c r="P83" i="3" s="1"/>
  <c r="O16" i="3"/>
  <c r="P16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7" i="3"/>
  <c r="P17" i="3" s="1"/>
  <c r="O107" i="3"/>
  <c r="P107" i="3" s="1"/>
  <c r="O3" i="3"/>
  <c r="P3" i="3" s="1"/>
  <c r="O108" i="3"/>
  <c r="P108" i="3" s="1"/>
  <c r="O109" i="3"/>
  <c r="P109" i="3" s="1"/>
  <c r="O18" i="3"/>
  <c r="P18" i="3" s="1"/>
  <c r="O19" i="3"/>
  <c r="P1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20" i="3"/>
  <c r="P20" i="3" s="1"/>
  <c r="O117" i="3"/>
  <c r="P117" i="3" s="1"/>
  <c r="O21" i="3"/>
  <c r="P21" i="3" s="1"/>
  <c r="O118" i="3"/>
  <c r="P118" i="3" s="1"/>
  <c r="O22" i="3"/>
  <c r="P22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P147" i="3" s="1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P159" i="3" s="1"/>
  <c r="O160" i="3"/>
  <c r="P160" i="3" s="1"/>
  <c r="O161" i="3"/>
  <c r="P161" i="3" s="1"/>
  <c r="O162" i="3"/>
  <c r="P162" i="3" s="1"/>
  <c r="O4" i="3"/>
  <c r="P4" i="3" s="1"/>
  <c r="O163" i="3"/>
  <c r="P163" i="3" s="1"/>
  <c r="O164" i="3"/>
  <c r="P164" i="3" s="1"/>
  <c r="O5" i="3"/>
  <c r="P5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6" i="3"/>
  <c r="P6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7" i="3"/>
  <c r="P7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38" i="3"/>
  <c r="P38" i="3" s="1"/>
  <c r="O8" i="3"/>
  <c r="P8" i="3" s="1"/>
  <c r="O245" i="3"/>
  <c r="P245" i="3" s="1"/>
  <c r="O246" i="3"/>
  <c r="P246" i="3" s="1"/>
  <c r="O247" i="3"/>
  <c r="P247" i="3" s="1"/>
  <c r="O248" i="3"/>
  <c r="P248" i="3" s="1"/>
  <c r="O249" i="3"/>
  <c r="P249" i="3" s="1"/>
  <c r="O39" i="3"/>
  <c r="P39" i="3" s="1"/>
  <c r="O250" i="3"/>
  <c r="P250" i="3" s="1"/>
  <c r="O251" i="3"/>
  <c r="P251" i="3" s="1"/>
  <c r="O252" i="3"/>
  <c r="P252" i="3" s="1"/>
  <c r="O253" i="3"/>
  <c r="P253" i="3" s="1"/>
  <c r="O40" i="3"/>
  <c r="P40" i="3" s="1"/>
  <c r="O254" i="3"/>
  <c r="P254" i="3" s="1"/>
  <c r="O255" i="3"/>
  <c r="P255" i="3" s="1"/>
  <c r="O256" i="3"/>
  <c r="P256" i="3" s="1"/>
  <c r="O41" i="3"/>
  <c r="P41" i="3" s="1"/>
  <c r="O257" i="3"/>
  <c r="P257" i="3" s="1"/>
  <c r="O258" i="3"/>
  <c r="P258" i="3" s="1"/>
  <c r="O259" i="3"/>
  <c r="P259" i="3" s="1"/>
  <c r="O9" i="3"/>
  <c r="P9" i="3" s="1"/>
  <c r="O42" i="3"/>
  <c r="P42" i="3" s="1"/>
  <c r="O260" i="3"/>
  <c r="P260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345" i="3"/>
  <c r="P345" i="3" s="1"/>
  <c r="O434" i="3"/>
  <c r="P434" i="3" s="1"/>
  <c r="O435" i="3"/>
  <c r="P435" i="3" s="1"/>
  <c r="O436" i="3"/>
  <c r="P436" i="3" s="1"/>
  <c r="O437" i="3"/>
  <c r="P437" i="3" s="1"/>
  <c r="O438" i="3"/>
  <c r="P438" i="3" s="1"/>
  <c r="O439" i="3"/>
  <c r="P439" i="3" s="1"/>
  <c r="O328" i="3"/>
  <c r="P328" i="3" s="1"/>
  <c r="O440" i="3"/>
  <c r="P440" i="3" s="1"/>
  <c r="O441" i="3"/>
  <c r="P441" i="3" s="1"/>
  <c r="O346" i="3"/>
  <c r="P346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P447" i="3" s="1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347" i="3"/>
  <c r="P347" i="3" s="1"/>
  <c r="O348" i="3"/>
  <c r="P348" i="3" s="1"/>
  <c r="O349" i="3"/>
  <c r="P349" i="3" s="1"/>
  <c r="O459" i="3"/>
  <c r="P459" i="3" s="1"/>
  <c r="O460" i="3"/>
  <c r="P460" i="3" s="1"/>
  <c r="O461" i="3"/>
  <c r="P461" i="3" s="1"/>
  <c r="O462" i="3"/>
  <c r="P462" i="3" s="1"/>
  <c r="O463" i="3"/>
  <c r="P463" i="3" s="1"/>
  <c r="O350" i="3"/>
  <c r="P350" i="3" s="1"/>
  <c r="O464" i="3"/>
  <c r="P464" i="3" s="1"/>
  <c r="O465" i="3"/>
  <c r="P465" i="3" s="1"/>
  <c r="O466" i="3"/>
  <c r="P466" i="3" s="1"/>
  <c r="O467" i="3"/>
  <c r="P467" i="3" s="1"/>
  <c r="O468" i="3"/>
  <c r="P468" i="3" s="1"/>
  <c r="O351" i="3"/>
  <c r="P351" i="3" s="1"/>
  <c r="O469" i="3"/>
  <c r="P469" i="3" s="1"/>
  <c r="O470" i="3"/>
  <c r="P470" i="3" s="1"/>
  <c r="O471" i="3"/>
  <c r="P471" i="3" s="1"/>
  <c r="O352" i="3"/>
  <c r="P352" i="3" s="1"/>
  <c r="O472" i="3"/>
  <c r="P472" i="3" s="1"/>
  <c r="O353" i="3"/>
  <c r="P353" i="3" s="1"/>
  <c r="O473" i="3"/>
  <c r="P473" i="3" s="1"/>
  <c r="O474" i="3"/>
  <c r="P474" i="3" s="1"/>
  <c r="O354" i="3"/>
  <c r="P354" i="3" s="1"/>
  <c r="O355" i="3"/>
  <c r="P355" i="3" s="1"/>
  <c r="O475" i="3"/>
  <c r="P475" i="3" s="1"/>
  <c r="O476" i="3"/>
  <c r="P476" i="3" s="1"/>
  <c r="O356" i="3"/>
  <c r="P356" i="3" s="1"/>
  <c r="O329" i="3"/>
  <c r="P329" i="3" s="1"/>
  <c r="O357" i="3"/>
  <c r="P357" i="3" s="1"/>
  <c r="O358" i="3"/>
  <c r="P358" i="3" s="1"/>
  <c r="O304" i="3"/>
  <c r="P304" i="3" s="1"/>
  <c r="O291" i="3"/>
  <c r="P291" i="3" s="1"/>
  <c r="O312" i="3"/>
  <c r="P312" i="3" s="1"/>
  <c r="O330" i="3"/>
  <c r="P330" i="3" s="1"/>
  <c r="O331" i="3"/>
  <c r="P331" i="3" s="1"/>
  <c r="O313" i="3"/>
  <c r="P313" i="3" s="1"/>
  <c r="O305" i="3"/>
  <c r="P305" i="3" s="1"/>
  <c r="O332" i="3"/>
  <c r="P332" i="3" s="1"/>
  <c r="O299" i="3"/>
  <c r="P299" i="3" s="1"/>
  <c r="O477" i="3"/>
  <c r="P477" i="3" s="1"/>
  <c r="O314" i="3"/>
  <c r="P314" i="3" s="1"/>
  <c r="O478" i="3"/>
  <c r="P478" i="3" s="1"/>
  <c r="O359" i="3"/>
  <c r="P359" i="3" s="1"/>
  <c r="O360" i="3"/>
  <c r="P360" i="3" s="1"/>
  <c r="O315" i="3"/>
  <c r="P315" i="3" s="1"/>
  <c r="O316" i="3"/>
  <c r="P316" i="3" s="1"/>
  <c r="O306" i="3"/>
  <c r="P306" i="3" s="1"/>
  <c r="O333" i="3"/>
  <c r="P333" i="3" s="1"/>
  <c r="O361" i="3"/>
  <c r="P361" i="3" s="1"/>
  <c r="O479" i="3"/>
  <c r="P479" i="3" s="1"/>
  <c r="O334" i="3"/>
  <c r="P334" i="3" s="1"/>
  <c r="O480" i="3"/>
  <c r="P480" i="3" s="1"/>
  <c r="O481" i="3"/>
  <c r="P481" i="3" s="1"/>
  <c r="O482" i="3"/>
  <c r="P482" i="3" s="1"/>
  <c r="O483" i="3"/>
  <c r="P483" i="3" s="1"/>
  <c r="O287" i="3"/>
  <c r="P287" i="3" s="1"/>
  <c r="O317" i="3"/>
  <c r="P317" i="3" s="1"/>
  <c r="O335" i="3"/>
  <c r="P335" i="3" s="1"/>
  <c r="O484" i="3"/>
  <c r="P484" i="3" s="1"/>
  <c r="O318" i="3"/>
  <c r="P318" i="3" s="1"/>
  <c r="O485" i="3"/>
  <c r="P485" i="3" s="1"/>
  <c r="O336" i="3"/>
  <c r="P336" i="3" s="1"/>
  <c r="O362" i="3"/>
  <c r="P362" i="3" s="1"/>
  <c r="O363" i="3"/>
  <c r="P363" i="3" s="1"/>
  <c r="O337" i="3"/>
  <c r="P337" i="3" s="1"/>
  <c r="O486" i="3"/>
  <c r="P486" i="3" s="1"/>
  <c r="O338" i="3"/>
  <c r="P338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281" i="3"/>
  <c r="P281" i="3" s="1"/>
  <c r="O364" i="3"/>
  <c r="P364" i="3" s="1"/>
  <c r="O300" i="3"/>
  <c r="P300" i="3" s="1"/>
  <c r="O307" i="3"/>
  <c r="P307" i="3" s="1"/>
  <c r="O319" i="3"/>
  <c r="P319" i="3" s="1"/>
  <c r="O339" i="3"/>
  <c r="P339" i="3" s="1"/>
  <c r="O308" i="3"/>
  <c r="P308" i="3" s="1"/>
  <c r="O320" i="3"/>
  <c r="P320" i="3" s="1"/>
  <c r="O309" i="3"/>
  <c r="P309" i="3" s="1"/>
  <c r="O321" i="3"/>
  <c r="P321" i="3" s="1"/>
  <c r="O282" i="3"/>
  <c r="P282" i="3" s="1"/>
  <c r="O365" i="3"/>
  <c r="P365" i="3" s="1"/>
  <c r="O301" i="3"/>
  <c r="P301" i="3" s="1"/>
  <c r="O322" i="3"/>
  <c r="P322" i="3" s="1"/>
  <c r="O302" i="3"/>
  <c r="P302" i="3" s="1"/>
  <c r="O310" i="3"/>
  <c r="P310" i="3" s="1"/>
  <c r="O493" i="3"/>
  <c r="P493" i="3" s="1"/>
  <c r="O366" i="3"/>
  <c r="P366" i="3" s="1"/>
  <c r="O494" i="3"/>
  <c r="P494" i="3" s="1"/>
  <c r="O495" i="3"/>
  <c r="P495" i="3" s="1"/>
  <c r="O496" i="3"/>
  <c r="P496" i="3" s="1"/>
  <c r="O497" i="3"/>
  <c r="P497" i="3" s="1"/>
  <c r="O266" i="3"/>
  <c r="P266" i="3" s="1"/>
  <c r="O498" i="3"/>
  <c r="P498" i="3" s="1"/>
  <c r="O499" i="3"/>
  <c r="P499" i="3" s="1"/>
  <c r="O311" i="3"/>
  <c r="P311" i="3" s="1"/>
  <c r="O500" i="3"/>
  <c r="P500" i="3" s="1"/>
  <c r="O501" i="3"/>
  <c r="P501" i="3" s="1"/>
  <c r="O502" i="3"/>
  <c r="P502" i="3" s="1"/>
  <c r="O265" i="3"/>
  <c r="P265" i="3" s="1"/>
  <c r="O503" i="3"/>
  <c r="P503" i="3" s="1"/>
  <c r="O283" i="3"/>
  <c r="P283" i="3" s="1"/>
  <c r="O263" i="3"/>
  <c r="P263" i="3" s="1"/>
  <c r="O272" i="3"/>
  <c r="P272" i="3" s="1"/>
  <c r="O340" i="3"/>
  <c r="P340" i="3" s="1"/>
  <c r="O367" i="3"/>
  <c r="P367" i="3" s="1"/>
  <c r="O504" i="3"/>
  <c r="P504" i="3" s="1"/>
  <c r="O323" i="3"/>
  <c r="P323" i="3" s="1"/>
  <c r="O284" i="3"/>
  <c r="P284" i="3" s="1"/>
  <c r="O505" i="3"/>
  <c r="P505" i="3" s="1"/>
  <c r="O303" i="3"/>
  <c r="P303" i="3" s="1"/>
  <c r="O368" i="3"/>
  <c r="P368" i="3" s="1"/>
  <c r="O276" i="3"/>
  <c r="P276" i="3" s="1"/>
  <c r="O506" i="3"/>
  <c r="P506" i="3" s="1"/>
  <c r="O507" i="3"/>
  <c r="P507" i="3" s="1"/>
  <c r="O261" i="3"/>
  <c r="P261" i="3" s="1"/>
  <c r="O508" i="3"/>
  <c r="P508" i="3" s="1"/>
  <c r="O509" i="3"/>
  <c r="P509" i="3" s="1"/>
  <c r="O510" i="3"/>
  <c r="P510" i="3" s="1"/>
  <c r="O511" i="3"/>
  <c r="P511" i="3" s="1"/>
  <c r="O288" i="3"/>
  <c r="P288" i="3" s="1"/>
  <c r="O324" i="3"/>
  <c r="P324" i="3" s="1"/>
  <c r="O269" i="3"/>
  <c r="P269" i="3" s="1"/>
  <c r="O512" i="3"/>
  <c r="P512" i="3" s="1"/>
  <c r="O513" i="3"/>
  <c r="P513" i="3" s="1"/>
  <c r="O514" i="3"/>
  <c r="P514" i="3" s="1"/>
  <c r="O292" i="3"/>
  <c r="P292" i="3" s="1"/>
  <c r="O515" i="3"/>
  <c r="P515" i="3" s="1"/>
  <c r="O516" i="3"/>
  <c r="P516" i="3" s="1"/>
  <c r="O273" i="3"/>
  <c r="P273" i="3" s="1"/>
  <c r="O270" i="3"/>
  <c r="P270" i="3" s="1"/>
  <c r="O285" i="3"/>
  <c r="P285" i="3" s="1"/>
  <c r="O517" i="3"/>
  <c r="P517" i="3" s="1"/>
  <c r="O518" i="3"/>
  <c r="P518" i="3" s="1"/>
  <c r="O369" i="3"/>
  <c r="P369" i="3" s="1"/>
  <c r="O293" i="3"/>
  <c r="P293" i="3" s="1"/>
  <c r="O286" i="3"/>
  <c r="P286" i="3" s="1"/>
  <c r="O370" i="3"/>
  <c r="P370" i="3" s="1"/>
  <c r="O294" i="3"/>
  <c r="P294" i="3" s="1"/>
  <c r="O262" i="3"/>
  <c r="P262" i="3" s="1"/>
  <c r="O519" i="3"/>
  <c r="P519" i="3" s="1"/>
  <c r="O520" i="3"/>
  <c r="P520" i="3" s="1"/>
  <c r="O295" i="3"/>
  <c r="P295" i="3" s="1"/>
  <c r="O521" i="3"/>
  <c r="P521" i="3" s="1"/>
  <c r="O289" i="3"/>
  <c r="P289" i="3" s="1"/>
  <c r="O296" i="3"/>
  <c r="P296" i="3" s="1"/>
  <c r="O522" i="3"/>
  <c r="P522" i="3" s="1"/>
  <c r="O523" i="3"/>
  <c r="P523" i="3" s="1"/>
  <c r="O524" i="3"/>
  <c r="P524" i="3" s="1"/>
  <c r="O371" i="3"/>
  <c r="P371" i="3" s="1"/>
  <c r="O525" i="3"/>
  <c r="P525" i="3" s="1"/>
  <c r="O526" i="3"/>
  <c r="P526" i="3" s="1"/>
  <c r="O527" i="3"/>
  <c r="P527" i="3" s="1"/>
  <c r="O528" i="3"/>
  <c r="P528" i="3" s="1"/>
  <c r="O529" i="3"/>
  <c r="P529" i="3" s="1"/>
  <c r="O530" i="3"/>
  <c r="P530" i="3" s="1"/>
  <c r="O531" i="3"/>
  <c r="P531" i="3" s="1"/>
  <c r="O532" i="3"/>
  <c r="P532" i="3" s="1"/>
  <c r="O533" i="3"/>
  <c r="P533" i="3" s="1"/>
  <c r="O297" i="3"/>
  <c r="P297" i="3" s="1"/>
  <c r="O325" i="3"/>
  <c r="P325" i="3" s="1"/>
  <c r="O326" i="3"/>
  <c r="P326" i="3" s="1"/>
  <c r="O341" i="3"/>
  <c r="P341" i="3" s="1"/>
  <c r="O342" i="3"/>
  <c r="P342" i="3" s="1"/>
  <c r="O327" i="3"/>
  <c r="P327" i="3" s="1"/>
  <c r="O267" i="3"/>
  <c r="P267" i="3" s="1"/>
  <c r="O343" i="3"/>
  <c r="P343" i="3" s="1"/>
  <c r="O298" i="3"/>
  <c r="P298" i="3" s="1"/>
  <c r="O534" i="3"/>
  <c r="P534" i="3" s="1"/>
  <c r="O344" i="3"/>
  <c r="P344" i="3" s="1"/>
  <c r="O264" i="3"/>
  <c r="P264" i="3" s="1"/>
  <c r="O274" i="3"/>
  <c r="P274" i="3" s="1"/>
  <c r="O277" i="3"/>
  <c r="P277" i="3" s="1"/>
  <c r="O271" i="3"/>
  <c r="P271" i="3" s="1"/>
  <c r="O278" i="3"/>
  <c r="P278" i="3" s="1"/>
  <c r="O275" i="3"/>
  <c r="P275" i="3" s="1"/>
  <c r="O279" i="3"/>
  <c r="P279" i="3" s="1"/>
  <c r="O290" i="3"/>
  <c r="P290" i="3" s="1"/>
  <c r="O280" i="3"/>
  <c r="P280" i="3" s="1"/>
  <c r="O268" i="3"/>
  <c r="P268" i="3" s="1"/>
  <c r="O547" i="3"/>
  <c r="P547" i="3" s="1"/>
  <c r="O585" i="3"/>
  <c r="P585" i="3" s="1"/>
  <c r="O553" i="3"/>
  <c r="P553" i="3" s="1"/>
  <c r="O554" i="3"/>
  <c r="P554" i="3" s="1"/>
  <c r="O537" i="3"/>
  <c r="P537" i="3" s="1"/>
  <c r="O620" i="3"/>
  <c r="P620" i="3" s="1"/>
  <c r="O661" i="3"/>
  <c r="P661" i="3" s="1"/>
  <c r="O662" i="3"/>
  <c r="P662" i="3" s="1"/>
  <c r="O663" i="3"/>
  <c r="P663" i="3" s="1"/>
  <c r="O645" i="3"/>
  <c r="P645" i="3" s="1"/>
  <c r="O664" i="3"/>
  <c r="P664" i="3" s="1"/>
  <c r="O591" i="3"/>
  <c r="P591" i="3" s="1"/>
  <c r="O646" i="3"/>
  <c r="P646" i="3" s="1"/>
  <c r="O586" i="3"/>
  <c r="P586" i="3" s="1"/>
  <c r="O538" i="3"/>
  <c r="P538" i="3" s="1"/>
  <c r="O560" i="3"/>
  <c r="P560" i="3" s="1"/>
  <c r="O604" i="3"/>
  <c r="P604" i="3" s="1"/>
  <c r="O541" i="3"/>
  <c r="P541" i="3" s="1"/>
  <c r="O605" i="3"/>
  <c r="P605" i="3" s="1"/>
  <c r="O665" i="3"/>
  <c r="P665" i="3" s="1"/>
  <c r="O666" i="3"/>
  <c r="P666" i="3" s="1"/>
  <c r="O548" i="3"/>
  <c r="P548" i="3" s="1"/>
  <c r="O577" i="3"/>
  <c r="P577" i="3" s="1"/>
  <c r="O606" i="3"/>
  <c r="P606" i="3" s="1"/>
  <c r="O667" i="3"/>
  <c r="P667" i="3" s="1"/>
  <c r="O578" i="3"/>
  <c r="P578" i="3" s="1"/>
  <c r="O545" i="3"/>
  <c r="P545" i="3" s="1"/>
  <c r="O592" i="3"/>
  <c r="P592" i="3" s="1"/>
  <c r="O621" i="3"/>
  <c r="P621" i="3" s="1"/>
  <c r="O622" i="3"/>
  <c r="P622" i="3" s="1"/>
  <c r="O668" i="3"/>
  <c r="P668" i="3" s="1"/>
  <c r="O647" i="3"/>
  <c r="P647" i="3" s="1"/>
  <c r="O669" i="3"/>
  <c r="P669" i="3" s="1"/>
  <c r="O670" i="3"/>
  <c r="P670" i="3" s="1"/>
  <c r="O593" i="3"/>
  <c r="P593" i="3" s="1"/>
  <c r="O671" i="3"/>
  <c r="P671" i="3" s="1"/>
  <c r="O555" i="3"/>
  <c r="P555" i="3" s="1"/>
  <c r="O607" i="3"/>
  <c r="P607" i="3" s="1"/>
  <c r="O567" i="3"/>
  <c r="P567" i="3" s="1"/>
  <c r="O568" i="3"/>
  <c r="P568" i="3" s="1"/>
  <c r="O672" i="3"/>
  <c r="P672" i="3" s="1"/>
  <c r="O587" i="3"/>
  <c r="P587" i="3" s="1"/>
  <c r="O673" i="3"/>
  <c r="P673" i="3" s="1"/>
  <c r="O674" i="3"/>
  <c r="P674" i="3" s="1"/>
  <c r="O648" i="3"/>
  <c r="P648" i="3" s="1"/>
  <c r="O675" i="3"/>
  <c r="P675" i="3" s="1"/>
  <c r="O649" i="3"/>
  <c r="P649" i="3" s="1"/>
  <c r="O676" i="3"/>
  <c r="P676" i="3" s="1"/>
  <c r="O677" i="3"/>
  <c r="P677" i="3" s="1"/>
  <c r="O678" i="3"/>
  <c r="P678" i="3" s="1"/>
  <c r="O679" i="3"/>
  <c r="P679" i="3" s="1"/>
  <c r="O680" i="3"/>
  <c r="P680" i="3" s="1"/>
  <c r="O681" i="3"/>
  <c r="P681" i="3" s="1"/>
  <c r="O682" i="3"/>
  <c r="P682" i="3" s="1"/>
  <c r="O683" i="3"/>
  <c r="P683" i="3" s="1"/>
  <c r="O650" i="3"/>
  <c r="P650" i="3" s="1"/>
  <c r="O684" i="3"/>
  <c r="P684" i="3" s="1"/>
  <c r="O685" i="3"/>
  <c r="P685" i="3" s="1"/>
  <c r="O623" i="3"/>
  <c r="P623" i="3" s="1"/>
  <c r="O542" i="3"/>
  <c r="P542" i="3" s="1"/>
  <c r="O624" i="3"/>
  <c r="P624" i="3" s="1"/>
  <c r="O625" i="3"/>
  <c r="P625" i="3" s="1"/>
  <c r="O651" i="3"/>
  <c r="P651" i="3" s="1"/>
  <c r="O569" i="3"/>
  <c r="P569" i="3" s="1"/>
  <c r="O594" i="3"/>
  <c r="P594" i="3" s="1"/>
  <c r="O595" i="3"/>
  <c r="P595" i="3" s="1"/>
  <c r="O626" i="3"/>
  <c r="P626" i="3" s="1"/>
  <c r="O686" i="3"/>
  <c r="P686" i="3" s="1"/>
  <c r="O561" i="3"/>
  <c r="P561" i="3" s="1"/>
  <c r="O687" i="3"/>
  <c r="P687" i="3" s="1"/>
  <c r="O579" i="3"/>
  <c r="P579" i="3" s="1"/>
  <c r="O627" i="3"/>
  <c r="P627" i="3" s="1"/>
  <c r="O556" i="3"/>
  <c r="P556" i="3" s="1"/>
  <c r="O580" i="3"/>
  <c r="P580" i="3" s="1"/>
  <c r="O581" i="3"/>
  <c r="P581" i="3" s="1"/>
  <c r="O549" i="3"/>
  <c r="P549" i="3" s="1"/>
  <c r="O628" i="3"/>
  <c r="P628" i="3" s="1"/>
  <c r="O652" i="3"/>
  <c r="P652" i="3" s="1"/>
  <c r="O653" i="3"/>
  <c r="P653" i="3" s="1"/>
  <c r="O596" i="3"/>
  <c r="P596" i="3" s="1"/>
  <c r="O608" i="3"/>
  <c r="P608" i="3" s="1"/>
  <c r="O609" i="3"/>
  <c r="P609" i="3" s="1"/>
  <c r="O557" i="3"/>
  <c r="P557" i="3" s="1"/>
  <c r="O688" i="3"/>
  <c r="P688" i="3" s="1"/>
  <c r="O689" i="3"/>
  <c r="P689" i="3" s="1"/>
  <c r="O690" i="3"/>
  <c r="P690" i="3" s="1"/>
  <c r="O582" i="3"/>
  <c r="P582" i="3" s="1"/>
  <c r="O691" i="3"/>
  <c r="P691" i="3" s="1"/>
  <c r="O692" i="3"/>
  <c r="P692" i="3" s="1"/>
  <c r="O693" i="3"/>
  <c r="P693" i="3" s="1"/>
  <c r="O694" i="3"/>
  <c r="P694" i="3" s="1"/>
  <c r="O695" i="3"/>
  <c r="P695" i="3" s="1"/>
  <c r="O696" i="3"/>
  <c r="P696" i="3" s="1"/>
  <c r="O570" i="3"/>
  <c r="P570" i="3" s="1"/>
  <c r="O697" i="3"/>
  <c r="P697" i="3" s="1"/>
  <c r="O698" i="3"/>
  <c r="P698" i="3" s="1"/>
  <c r="O654" i="3"/>
  <c r="P654" i="3" s="1"/>
  <c r="O550" i="3"/>
  <c r="P550" i="3" s="1"/>
  <c r="O597" i="3"/>
  <c r="P597" i="3" s="1"/>
  <c r="O629" i="3"/>
  <c r="P629" i="3" s="1"/>
  <c r="O699" i="3"/>
  <c r="P699" i="3" s="1"/>
  <c r="O558" i="3"/>
  <c r="P558" i="3" s="1"/>
  <c r="O562" i="3"/>
  <c r="P562" i="3" s="1"/>
  <c r="O700" i="3"/>
  <c r="P700" i="3" s="1"/>
  <c r="O539" i="3"/>
  <c r="P539" i="3" s="1"/>
  <c r="O701" i="3"/>
  <c r="P701" i="3" s="1"/>
  <c r="O702" i="3"/>
  <c r="P702" i="3" s="1"/>
  <c r="O598" i="3"/>
  <c r="P598" i="3" s="1"/>
  <c r="O599" i="3"/>
  <c r="P599" i="3" s="1"/>
  <c r="O703" i="3"/>
  <c r="P703" i="3" s="1"/>
  <c r="O630" i="3"/>
  <c r="P630" i="3" s="1"/>
  <c r="O535" i="3"/>
  <c r="P535" i="3" s="1"/>
  <c r="O704" i="3"/>
  <c r="P704" i="3" s="1"/>
  <c r="O705" i="3"/>
  <c r="P705" i="3" s="1"/>
  <c r="O706" i="3"/>
  <c r="P706" i="3" s="1"/>
  <c r="O707" i="3"/>
  <c r="P707" i="3" s="1"/>
  <c r="O708" i="3"/>
  <c r="P708" i="3" s="1"/>
  <c r="O655" i="3"/>
  <c r="P655" i="3" s="1"/>
  <c r="O571" i="3"/>
  <c r="P571" i="3" s="1"/>
  <c r="O656" i="3"/>
  <c r="P656" i="3" s="1"/>
  <c r="O546" i="3"/>
  <c r="P546" i="3" s="1"/>
  <c r="O551" i="3"/>
  <c r="P551" i="3" s="1"/>
  <c r="O709" i="3"/>
  <c r="P709" i="3" s="1"/>
  <c r="O572" i="3"/>
  <c r="P572" i="3" s="1"/>
  <c r="O536" i="3"/>
  <c r="P536" i="3" s="1"/>
  <c r="O710" i="3"/>
  <c r="P710" i="3" s="1"/>
  <c r="O563" i="3"/>
  <c r="P563" i="3" s="1"/>
  <c r="O631" i="3"/>
  <c r="P631" i="3" s="1"/>
  <c r="O573" i="3"/>
  <c r="P573" i="3" s="1"/>
  <c r="O564" i="3"/>
  <c r="P564" i="3" s="1"/>
  <c r="O657" i="3"/>
  <c r="P657" i="3" s="1"/>
  <c r="O610" i="3"/>
  <c r="P610" i="3" s="1"/>
  <c r="O711" i="3"/>
  <c r="P711" i="3" s="1"/>
  <c r="O600" i="3"/>
  <c r="P600" i="3" s="1"/>
  <c r="O574" i="3"/>
  <c r="P574" i="3" s="1"/>
  <c r="O712" i="3"/>
  <c r="P712" i="3" s="1"/>
  <c r="O632" i="3"/>
  <c r="P632" i="3" s="1"/>
  <c r="O713" i="3"/>
  <c r="P713" i="3" s="1"/>
  <c r="O714" i="3"/>
  <c r="P714" i="3" s="1"/>
  <c r="O611" i="3"/>
  <c r="P611" i="3" s="1"/>
  <c r="O715" i="3"/>
  <c r="P715" i="3" s="1"/>
  <c r="O658" i="3"/>
  <c r="P658" i="3" s="1"/>
  <c r="O565" i="3"/>
  <c r="P565" i="3" s="1"/>
  <c r="O716" i="3"/>
  <c r="P716" i="3" s="1"/>
  <c r="O717" i="3"/>
  <c r="P717" i="3" s="1"/>
  <c r="O718" i="3"/>
  <c r="P718" i="3" s="1"/>
  <c r="O719" i="3"/>
  <c r="P719" i="3" s="1"/>
  <c r="O612" i="3"/>
  <c r="P612" i="3" s="1"/>
  <c r="O720" i="3"/>
  <c r="P720" i="3" s="1"/>
  <c r="O721" i="3"/>
  <c r="P721" i="3" s="1"/>
  <c r="O722" i="3"/>
  <c r="P722" i="3" s="1"/>
  <c r="O633" i="3"/>
  <c r="P633" i="3" s="1"/>
  <c r="O659" i="3"/>
  <c r="P659" i="3" s="1"/>
  <c r="O575" i="3"/>
  <c r="P575" i="3" s="1"/>
  <c r="O723" i="3"/>
  <c r="P723" i="3" s="1"/>
  <c r="O583" i="3"/>
  <c r="P583" i="3" s="1"/>
  <c r="O613" i="3"/>
  <c r="P613" i="3" s="1"/>
  <c r="O576" i="3"/>
  <c r="P576" i="3" s="1"/>
  <c r="O614" i="3"/>
  <c r="P614" i="3" s="1"/>
  <c r="O634" i="3"/>
  <c r="P634" i="3" s="1"/>
  <c r="O635" i="3"/>
  <c r="P635" i="3" s="1"/>
  <c r="O588" i="3"/>
  <c r="P588" i="3" s="1"/>
  <c r="O615" i="3"/>
  <c r="P615" i="3" s="1"/>
  <c r="O616" i="3"/>
  <c r="P616" i="3" s="1"/>
  <c r="O636" i="3"/>
  <c r="P636" i="3" s="1"/>
  <c r="O589" i="3"/>
  <c r="P589" i="3" s="1"/>
  <c r="O637" i="3"/>
  <c r="P637" i="3" s="1"/>
  <c r="O617" i="3"/>
  <c r="P617" i="3" s="1"/>
  <c r="O638" i="3"/>
  <c r="P638" i="3" s="1"/>
  <c r="O639" i="3"/>
  <c r="P639" i="3" s="1"/>
  <c r="O640" i="3"/>
  <c r="P640" i="3" s="1"/>
  <c r="O601" i="3"/>
  <c r="P601" i="3" s="1"/>
  <c r="O602" i="3"/>
  <c r="P602" i="3" s="1"/>
  <c r="O618" i="3"/>
  <c r="P618" i="3" s="1"/>
  <c r="O540" i="3"/>
  <c r="P540" i="3" s="1"/>
  <c r="O641" i="3"/>
  <c r="P641" i="3" s="1"/>
  <c r="O724" i="3"/>
  <c r="P724" i="3" s="1"/>
  <c r="O725" i="3"/>
  <c r="P725" i="3" s="1"/>
  <c r="O660" i="3"/>
  <c r="P660" i="3" s="1"/>
  <c r="O559" i="3"/>
  <c r="P559" i="3" s="1"/>
  <c r="O642" i="3"/>
  <c r="P642" i="3" s="1"/>
  <c r="O726" i="3"/>
  <c r="P726" i="3" s="1"/>
  <c r="O643" i="3"/>
  <c r="P643" i="3" s="1"/>
  <c r="O727" i="3"/>
  <c r="P727" i="3" s="1"/>
  <c r="O728" i="3"/>
  <c r="P728" i="3" s="1"/>
  <c r="O603" i="3"/>
  <c r="P603" i="3" s="1"/>
  <c r="O566" i="3"/>
  <c r="P566" i="3" s="1"/>
  <c r="O543" i="3"/>
  <c r="P543" i="3" s="1"/>
  <c r="O544" i="3"/>
  <c r="P544" i="3" s="1"/>
  <c r="O729" i="3"/>
  <c r="P729" i="3" s="1"/>
  <c r="O644" i="3"/>
  <c r="P644" i="3" s="1"/>
  <c r="O552" i="3"/>
  <c r="P552" i="3" s="1"/>
  <c r="O619" i="3"/>
  <c r="P619" i="3" s="1"/>
  <c r="O730" i="3"/>
  <c r="P730" i="3" s="1"/>
  <c r="O731" i="3"/>
  <c r="P731" i="3" s="1"/>
  <c r="O732" i="3"/>
  <c r="P732" i="3" s="1"/>
  <c r="O733" i="3"/>
  <c r="P733" i="3" s="1"/>
  <c r="O734" i="3"/>
  <c r="P734" i="3" s="1"/>
  <c r="O584" i="3"/>
  <c r="P584" i="3" s="1"/>
  <c r="O590" i="3"/>
  <c r="P590" i="3" s="1"/>
  <c r="O43" i="3"/>
  <c r="P43" i="3" s="1"/>
  <c r="H44" i="3"/>
  <c r="I44" i="3" s="1"/>
  <c r="H45" i="3"/>
  <c r="I45" i="3" s="1"/>
  <c r="H46" i="3"/>
  <c r="I46" i="3" s="1"/>
  <c r="H47" i="3"/>
  <c r="I47" i="3" s="1"/>
  <c r="H48" i="3"/>
  <c r="I48" i="3" s="1"/>
  <c r="H49" i="3"/>
  <c r="I49" i="3" s="1"/>
  <c r="H50" i="3"/>
  <c r="I50" i="3" s="1"/>
  <c r="H51" i="3"/>
  <c r="I51" i="3" s="1"/>
  <c r="H52" i="3"/>
  <c r="I52" i="3" s="1"/>
  <c r="H53" i="3"/>
  <c r="I53" i="3" s="1"/>
  <c r="H54" i="3"/>
  <c r="I54" i="3" s="1"/>
  <c r="H10" i="3"/>
  <c r="I10" i="3" s="1"/>
  <c r="H55" i="3"/>
  <c r="I55" i="3" s="1"/>
  <c r="H56" i="3"/>
  <c r="I56" i="3" s="1"/>
  <c r="H57" i="3"/>
  <c r="I57" i="3" s="1"/>
  <c r="H58" i="3"/>
  <c r="I58" i="3" s="1"/>
  <c r="H59" i="3"/>
  <c r="I59" i="3" s="1"/>
  <c r="H60" i="3"/>
  <c r="I60" i="3" s="1"/>
  <c r="H61" i="3"/>
  <c r="I61" i="3" s="1"/>
  <c r="H62" i="3"/>
  <c r="I62" i="3" s="1"/>
  <c r="H63" i="3"/>
  <c r="I63" i="3" s="1"/>
  <c r="H11" i="3"/>
  <c r="I11" i="3" s="1"/>
  <c r="H12" i="3"/>
  <c r="I12" i="3" s="1"/>
  <c r="H64" i="3"/>
  <c r="I64" i="3" s="1"/>
  <c r="H65" i="3"/>
  <c r="I65" i="3" s="1"/>
  <c r="H66" i="3"/>
  <c r="I66" i="3" s="1"/>
  <c r="H67" i="3"/>
  <c r="I67" i="3" s="1"/>
  <c r="H68" i="3"/>
  <c r="I68" i="3" s="1"/>
  <c r="H2" i="3"/>
  <c r="I2" i="3" s="1"/>
  <c r="H69" i="3"/>
  <c r="I69" i="3" s="1"/>
  <c r="H13" i="3"/>
  <c r="I13" i="3" s="1"/>
  <c r="H70" i="3"/>
  <c r="I70" i="3" s="1"/>
  <c r="H71" i="3"/>
  <c r="I71" i="3" s="1"/>
  <c r="H72" i="3"/>
  <c r="I72" i="3" s="1"/>
  <c r="H73" i="3"/>
  <c r="I73" i="3" s="1"/>
  <c r="H74" i="3"/>
  <c r="I74" i="3" s="1"/>
  <c r="H75" i="3"/>
  <c r="I75" i="3" s="1"/>
  <c r="H76" i="3"/>
  <c r="I76" i="3" s="1"/>
  <c r="H14" i="3"/>
  <c r="I14" i="3" s="1"/>
  <c r="H77" i="3"/>
  <c r="I77" i="3" s="1"/>
  <c r="H78" i="3"/>
  <c r="I78" i="3" s="1"/>
  <c r="H79" i="3"/>
  <c r="I79" i="3" s="1"/>
  <c r="H80" i="3"/>
  <c r="I80" i="3" s="1"/>
  <c r="H15" i="3"/>
  <c r="I15" i="3" s="1"/>
  <c r="H81" i="3"/>
  <c r="I81" i="3" s="1"/>
  <c r="H82" i="3"/>
  <c r="I82" i="3" s="1"/>
  <c r="H83" i="3"/>
  <c r="I83" i="3" s="1"/>
  <c r="H16" i="3"/>
  <c r="I16" i="3" s="1"/>
  <c r="H84" i="3"/>
  <c r="I84" i="3" s="1"/>
  <c r="H85" i="3"/>
  <c r="I85" i="3" s="1"/>
  <c r="H86" i="3"/>
  <c r="I86" i="3" s="1"/>
  <c r="H87" i="3"/>
  <c r="I87" i="3" s="1"/>
  <c r="H88" i="3"/>
  <c r="I88" i="3" s="1"/>
  <c r="H89" i="3"/>
  <c r="I89" i="3" s="1"/>
  <c r="H90" i="3"/>
  <c r="I90" i="3" s="1"/>
  <c r="H91" i="3"/>
  <c r="I91" i="3" s="1"/>
  <c r="H92" i="3"/>
  <c r="I92" i="3" s="1"/>
  <c r="H93" i="3"/>
  <c r="I93" i="3" s="1"/>
  <c r="H94" i="3"/>
  <c r="I94" i="3" s="1"/>
  <c r="H95" i="3"/>
  <c r="I95" i="3" s="1"/>
  <c r="H96" i="3"/>
  <c r="I96" i="3" s="1"/>
  <c r="H97" i="3"/>
  <c r="I97" i="3" s="1"/>
  <c r="H98" i="3"/>
  <c r="I98" i="3" s="1"/>
  <c r="H99" i="3"/>
  <c r="I99" i="3" s="1"/>
  <c r="H100" i="3"/>
  <c r="I100" i="3" s="1"/>
  <c r="H101" i="3"/>
  <c r="I101" i="3" s="1"/>
  <c r="H102" i="3"/>
  <c r="I102" i="3" s="1"/>
  <c r="H103" i="3"/>
  <c r="I103" i="3" s="1"/>
  <c r="H104" i="3"/>
  <c r="I104" i="3" s="1"/>
  <c r="H105" i="3"/>
  <c r="I105" i="3" s="1"/>
  <c r="H106" i="3"/>
  <c r="I106" i="3" s="1"/>
  <c r="H17" i="3"/>
  <c r="I17" i="3" s="1"/>
  <c r="H107" i="3"/>
  <c r="I107" i="3" s="1"/>
  <c r="H3" i="3"/>
  <c r="I3" i="3" s="1"/>
  <c r="H108" i="3"/>
  <c r="I108" i="3" s="1"/>
  <c r="H109" i="3"/>
  <c r="I109" i="3" s="1"/>
  <c r="H18" i="3"/>
  <c r="I18" i="3" s="1"/>
  <c r="H19" i="3"/>
  <c r="I19" i="3" s="1"/>
  <c r="H110" i="3"/>
  <c r="I110" i="3" s="1"/>
  <c r="H111" i="3"/>
  <c r="I111" i="3" s="1"/>
  <c r="H112" i="3"/>
  <c r="I112" i="3" s="1"/>
  <c r="H113" i="3"/>
  <c r="I113" i="3" s="1"/>
  <c r="H114" i="3"/>
  <c r="I114" i="3" s="1"/>
  <c r="H115" i="3"/>
  <c r="I115" i="3" s="1"/>
  <c r="H116" i="3"/>
  <c r="I116" i="3" s="1"/>
  <c r="H20" i="3"/>
  <c r="I20" i="3" s="1"/>
  <c r="H117" i="3"/>
  <c r="I117" i="3" s="1"/>
  <c r="H21" i="3"/>
  <c r="I21" i="3" s="1"/>
  <c r="H118" i="3"/>
  <c r="I118" i="3" s="1"/>
  <c r="H22" i="3"/>
  <c r="I22" i="3" s="1"/>
  <c r="H119" i="3"/>
  <c r="I119" i="3" s="1"/>
  <c r="H120" i="3"/>
  <c r="I120" i="3" s="1"/>
  <c r="H121" i="3"/>
  <c r="I121" i="3" s="1"/>
  <c r="H122" i="3"/>
  <c r="I122" i="3" s="1"/>
  <c r="H123" i="3"/>
  <c r="I123" i="3" s="1"/>
  <c r="H124" i="3"/>
  <c r="I124" i="3" s="1"/>
  <c r="H125" i="3"/>
  <c r="I125" i="3" s="1"/>
  <c r="H126" i="3"/>
  <c r="I126" i="3" s="1"/>
  <c r="H23" i="3"/>
  <c r="I23" i="3" s="1"/>
  <c r="H127" i="3"/>
  <c r="I127" i="3" s="1"/>
  <c r="H128" i="3"/>
  <c r="I128" i="3" s="1"/>
  <c r="H24" i="3"/>
  <c r="I24" i="3" s="1"/>
  <c r="H25" i="3"/>
  <c r="I25" i="3" s="1"/>
  <c r="H129" i="3"/>
  <c r="I129" i="3" s="1"/>
  <c r="H130" i="3"/>
  <c r="I130" i="3" s="1"/>
  <c r="H131" i="3"/>
  <c r="I131" i="3" s="1"/>
  <c r="H132" i="3"/>
  <c r="I132" i="3" s="1"/>
  <c r="H26" i="3"/>
  <c r="I26" i="3" s="1"/>
  <c r="H133" i="3"/>
  <c r="I133" i="3" s="1"/>
  <c r="H134" i="3"/>
  <c r="I134" i="3" s="1"/>
  <c r="H135" i="3"/>
  <c r="I135" i="3" s="1"/>
  <c r="H136" i="3"/>
  <c r="I136" i="3" s="1"/>
  <c r="H137" i="3"/>
  <c r="I137" i="3" s="1"/>
  <c r="H138" i="3"/>
  <c r="I138" i="3" s="1"/>
  <c r="H139" i="3"/>
  <c r="I139" i="3" s="1"/>
  <c r="H140" i="3"/>
  <c r="I140" i="3" s="1"/>
  <c r="H141" i="3"/>
  <c r="I141" i="3" s="1"/>
  <c r="H142" i="3"/>
  <c r="I142" i="3" s="1"/>
  <c r="H143" i="3"/>
  <c r="I143" i="3" s="1"/>
  <c r="H27" i="3"/>
  <c r="I27" i="3" s="1"/>
  <c r="H144" i="3"/>
  <c r="I144" i="3" s="1"/>
  <c r="H145" i="3"/>
  <c r="I145" i="3" s="1"/>
  <c r="H146" i="3"/>
  <c r="I146" i="3" s="1"/>
  <c r="H28" i="3"/>
  <c r="I28" i="3" s="1"/>
  <c r="H147" i="3"/>
  <c r="I147" i="3" s="1"/>
  <c r="H148" i="3"/>
  <c r="I148" i="3" s="1"/>
  <c r="H149" i="3"/>
  <c r="I149" i="3" s="1"/>
  <c r="H150" i="3"/>
  <c r="I150" i="3" s="1"/>
  <c r="H151" i="3"/>
  <c r="I151" i="3" s="1"/>
  <c r="H152" i="3"/>
  <c r="I152" i="3" s="1"/>
  <c r="H153" i="3"/>
  <c r="I153" i="3" s="1"/>
  <c r="H154" i="3"/>
  <c r="I154" i="3" s="1"/>
  <c r="H155" i="3"/>
  <c r="I155" i="3" s="1"/>
  <c r="H29" i="3"/>
  <c r="I29" i="3" s="1"/>
  <c r="H156" i="3"/>
  <c r="I156" i="3" s="1"/>
  <c r="H30" i="3"/>
  <c r="I30" i="3" s="1"/>
  <c r="H157" i="3"/>
  <c r="I157" i="3" s="1"/>
  <c r="H158" i="3"/>
  <c r="I158" i="3" s="1"/>
  <c r="H159" i="3"/>
  <c r="I159" i="3" s="1"/>
  <c r="H31" i="3"/>
  <c r="I31" i="3" s="1"/>
  <c r="H160" i="3"/>
  <c r="I160" i="3" s="1"/>
  <c r="H161" i="3"/>
  <c r="I161" i="3" s="1"/>
  <c r="H162" i="3"/>
  <c r="I162" i="3" s="1"/>
  <c r="H4" i="3"/>
  <c r="I4" i="3" s="1"/>
  <c r="H163" i="3"/>
  <c r="I163" i="3" s="1"/>
  <c r="H164" i="3"/>
  <c r="I164" i="3" s="1"/>
  <c r="H5" i="3"/>
  <c r="I5" i="3" s="1"/>
  <c r="H165" i="3"/>
  <c r="I165" i="3" s="1"/>
  <c r="H166" i="3"/>
  <c r="I166" i="3" s="1"/>
  <c r="H167" i="3"/>
  <c r="I167" i="3" s="1"/>
  <c r="H32" i="3"/>
  <c r="I32" i="3" s="1"/>
  <c r="H168" i="3"/>
  <c r="I168" i="3" s="1"/>
  <c r="H169" i="3"/>
  <c r="I169" i="3" s="1"/>
  <c r="H170" i="3"/>
  <c r="I170" i="3" s="1"/>
  <c r="H171" i="3"/>
  <c r="I171" i="3" s="1"/>
  <c r="H172" i="3"/>
  <c r="I172" i="3" s="1"/>
  <c r="H173" i="3"/>
  <c r="I173" i="3" s="1"/>
  <c r="H174" i="3"/>
  <c r="I174" i="3" s="1"/>
  <c r="H175" i="3"/>
  <c r="I175" i="3" s="1"/>
  <c r="H176" i="3"/>
  <c r="I176" i="3" s="1"/>
  <c r="H33" i="3"/>
  <c r="I33" i="3" s="1"/>
  <c r="H177" i="3"/>
  <c r="I177" i="3" s="1"/>
  <c r="H178" i="3"/>
  <c r="I178" i="3" s="1"/>
  <c r="H179" i="3"/>
  <c r="I179" i="3" s="1"/>
  <c r="H180" i="3"/>
  <c r="I180" i="3" s="1"/>
  <c r="H181" i="3"/>
  <c r="I181" i="3" s="1"/>
  <c r="H34" i="3"/>
  <c r="I34" i="3" s="1"/>
  <c r="H182" i="3"/>
  <c r="I182" i="3" s="1"/>
  <c r="H183" i="3"/>
  <c r="I183" i="3" s="1"/>
  <c r="H184" i="3"/>
  <c r="I184" i="3" s="1"/>
  <c r="H185" i="3"/>
  <c r="I185" i="3" s="1"/>
  <c r="H186" i="3"/>
  <c r="I186" i="3" s="1"/>
  <c r="H187" i="3"/>
  <c r="I187" i="3" s="1"/>
  <c r="H6" i="3"/>
  <c r="I6" i="3" s="1"/>
  <c r="H188" i="3"/>
  <c r="I188" i="3" s="1"/>
  <c r="H189" i="3"/>
  <c r="I189" i="3" s="1"/>
  <c r="H190" i="3"/>
  <c r="I190" i="3" s="1"/>
  <c r="H191" i="3"/>
  <c r="I191" i="3" s="1"/>
  <c r="H192" i="3"/>
  <c r="I192" i="3" s="1"/>
  <c r="H193" i="3"/>
  <c r="I193" i="3" s="1"/>
  <c r="H194" i="3"/>
  <c r="I194" i="3" s="1"/>
  <c r="H195" i="3"/>
  <c r="I195" i="3" s="1"/>
  <c r="H196" i="3"/>
  <c r="I196" i="3" s="1"/>
  <c r="H197" i="3"/>
  <c r="I197" i="3" s="1"/>
  <c r="H198" i="3"/>
  <c r="I198" i="3" s="1"/>
  <c r="H199" i="3"/>
  <c r="I199" i="3" s="1"/>
  <c r="H200" i="3"/>
  <c r="I200" i="3" s="1"/>
  <c r="H201" i="3"/>
  <c r="I201" i="3" s="1"/>
  <c r="H202" i="3"/>
  <c r="I202" i="3" s="1"/>
  <c r="H203" i="3"/>
  <c r="I203" i="3" s="1"/>
  <c r="H35" i="3"/>
  <c r="I35" i="3" s="1"/>
  <c r="H204" i="3"/>
  <c r="I204" i="3" s="1"/>
  <c r="H205" i="3"/>
  <c r="I205" i="3" s="1"/>
  <c r="H206" i="3"/>
  <c r="I206" i="3" s="1"/>
  <c r="H207" i="3"/>
  <c r="I207" i="3" s="1"/>
  <c r="H208" i="3"/>
  <c r="I208" i="3" s="1"/>
  <c r="H209" i="3"/>
  <c r="I209" i="3" s="1"/>
  <c r="H210" i="3"/>
  <c r="I210" i="3" s="1"/>
  <c r="H211" i="3"/>
  <c r="I211" i="3" s="1"/>
  <c r="H212" i="3"/>
  <c r="I212" i="3" s="1"/>
  <c r="H213" i="3"/>
  <c r="I213" i="3" s="1"/>
  <c r="H214" i="3"/>
  <c r="I214" i="3" s="1"/>
  <c r="H215" i="3"/>
  <c r="I215" i="3" s="1"/>
  <c r="H216" i="3"/>
  <c r="I216" i="3" s="1"/>
  <c r="H217" i="3"/>
  <c r="I217" i="3" s="1"/>
  <c r="H218" i="3"/>
  <c r="I218" i="3" s="1"/>
  <c r="H219" i="3"/>
  <c r="I219" i="3" s="1"/>
  <c r="H220" i="3"/>
  <c r="I220" i="3" s="1"/>
  <c r="H36" i="3"/>
  <c r="I36" i="3" s="1"/>
  <c r="H221" i="3"/>
  <c r="I221" i="3" s="1"/>
  <c r="H222" i="3"/>
  <c r="I222" i="3" s="1"/>
  <c r="H223" i="3"/>
  <c r="I223" i="3" s="1"/>
  <c r="H224" i="3"/>
  <c r="I224" i="3" s="1"/>
  <c r="H225" i="3"/>
  <c r="I225" i="3" s="1"/>
  <c r="H37" i="3"/>
  <c r="I37" i="3" s="1"/>
  <c r="H226" i="3"/>
  <c r="I226" i="3" s="1"/>
  <c r="H227" i="3"/>
  <c r="I227" i="3" s="1"/>
  <c r="H228" i="3"/>
  <c r="I228" i="3" s="1"/>
  <c r="H229" i="3"/>
  <c r="I229" i="3" s="1"/>
  <c r="H230" i="3"/>
  <c r="I230" i="3" s="1"/>
  <c r="H231" i="3"/>
  <c r="I231" i="3" s="1"/>
  <c r="H232" i="3"/>
  <c r="I232" i="3" s="1"/>
  <c r="H7" i="3"/>
  <c r="I7" i="3" s="1"/>
  <c r="H233" i="3"/>
  <c r="I233" i="3" s="1"/>
  <c r="H234" i="3"/>
  <c r="I234" i="3" s="1"/>
  <c r="H235" i="3"/>
  <c r="I235" i="3" s="1"/>
  <c r="H236" i="3"/>
  <c r="I236" i="3" s="1"/>
  <c r="H237" i="3"/>
  <c r="I237" i="3" s="1"/>
  <c r="H238" i="3"/>
  <c r="I238" i="3" s="1"/>
  <c r="H239" i="3"/>
  <c r="I239" i="3" s="1"/>
  <c r="H240" i="3"/>
  <c r="I240" i="3" s="1"/>
  <c r="H241" i="3"/>
  <c r="I241" i="3" s="1"/>
  <c r="H242" i="3"/>
  <c r="I242" i="3" s="1"/>
  <c r="H243" i="3"/>
  <c r="I243" i="3" s="1"/>
  <c r="H244" i="3"/>
  <c r="I244" i="3" s="1"/>
  <c r="H38" i="3"/>
  <c r="I38" i="3" s="1"/>
  <c r="H8" i="3"/>
  <c r="I8" i="3" s="1"/>
  <c r="H245" i="3"/>
  <c r="I245" i="3" s="1"/>
  <c r="H246" i="3"/>
  <c r="I246" i="3" s="1"/>
  <c r="H247" i="3"/>
  <c r="I247" i="3" s="1"/>
  <c r="H248" i="3"/>
  <c r="I248" i="3" s="1"/>
  <c r="H249" i="3"/>
  <c r="I249" i="3" s="1"/>
  <c r="H39" i="3"/>
  <c r="I39" i="3" s="1"/>
  <c r="H250" i="3"/>
  <c r="I250" i="3" s="1"/>
  <c r="H251" i="3"/>
  <c r="I251" i="3" s="1"/>
  <c r="H252" i="3"/>
  <c r="I252" i="3" s="1"/>
  <c r="H253" i="3"/>
  <c r="I253" i="3" s="1"/>
  <c r="H40" i="3"/>
  <c r="I40" i="3" s="1"/>
  <c r="H254" i="3"/>
  <c r="I254" i="3" s="1"/>
  <c r="H255" i="3"/>
  <c r="I255" i="3" s="1"/>
  <c r="H256" i="3"/>
  <c r="I256" i="3" s="1"/>
  <c r="H41" i="3"/>
  <c r="I41" i="3" s="1"/>
  <c r="H257" i="3"/>
  <c r="I257" i="3" s="1"/>
  <c r="H258" i="3"/>
  <c r="I258" i="3" s="1"/>
  <c r="H259" i="3"/>
  <c r="I259" i="3" s="1"/>
  <c r="H9" i="3"/>
  <c r="I9" i="3" s="1"/>
  <c r="H42" i="3"/>
  <c r="I42" i="3" s="1"/>
  <c r="H260" i="3"/>
  <c r="I260" i="3" s="1"/>
  <c r="H372" i="3"/>
  <c r="I372" i="3" s="1"/>
  <c r="H373" i="3"/>
  <c r="I373" i="3" s="1"/>
  <c r="H374" i="3"/>
  <c r="I374" i="3" s="1"/>
  <c r="H375" i="3"/>
  <c r="I375" i="3" s="1"/>
  <c r="H376" i="3"/>
  <c r="I376" i="3" s="1"/>
  <c r="H377" i="3"/>
  <c r="I377" i="3" s="1"/>
  <c r="H378" i="3"/>
  <c r="I378" i="3" s="1"/>
  <c r="H379" i="3"/>
  <c r="I379" i="3" s="1"/>
  <c r="H380" i="3"/>
  <c r="I380" i="3" s="1"/>
  <c r="H381" i="3"/>
  <c r="I381" i="3" s="1"/>
  <c r="H382" i="3"/>
  <c r="I382" i="3" s="1"/>
  <c r="H383" i="3"/>
  <c r="I383" i="3" s="1"/>
  <c r="H384" i="3"/>
  <c r="I384" i="3" s="1"/>
  <c r="H385" i="3"/>
  <c r="I385" i="3" s="1"/>
  <c r="H386" i="3"/>
  <c r="I386" i="3" s="1"/>
  <c r="H387" i="3"/>
  <c r="I387" i="3" s="1"/>
  <c r="H388" i="3"/>
  <c r="I388" i="3" s="1"/>
  <c r="H389" i="3"/>
  <c r="I389" i="3" s="1"/>
  <c r="H390" i="3"/>
  <c r="I390" i="3" s="1"/>
  <c r="H391" i="3"/>
  <c r="I391" i="3" s="1"/>
  <c r="H392" i="3"/>
  <c r="I392" i="3" s="1"/>
  <c r="H393" i="3"/>
  <c r="I393" i="3" s="1"/>
  <c r="H394" i="3"/>
  <c r="I394" i="3" s="1"/>
  <c r="H395" i="3"/>
  <c r="I395" i="3" s="1"/>
  <c r="H396" i="3"/>
  <c r="I396" i="3" s="1"/>
  <c r="H397" i="3"/>
  <c r="I397" i="3" s="1"/>
  <c r="H398" i="3"/>
  <c r="I398" i="3" s="1"/>
  <c r="H399" i="3"/>
  <c r="I399" i="3" s="1"/>
  <c r="H400" i="3"/>
  <c r="I400" i="3" s="1"/>
  <c r="H401" i="3"/>
  <c r="I401" i="3" s="1"/>
  <c r="H402" i="3"/>
  <c r="I402" i="3" s="1"/>
  <c r="H403" i="3"/>
  <c r="I403" i="3" s="1"/>
  <c r="H404" i="3"/>
  <c r="I404" i="3" s="1"/>
  <c r="H405" i="3"/>
  <c r="I405" i="3" s="1"/>
  <c r="H406" i="3"/>
  <c r="I406" i="3" s="1"/>
  <c r="H407" i="3"/>
  <c r="I407" i="3" s="1"/>
  <c r="H408" i="3"/>
  <c r="I408" i="3" s="1"/>
  <c r="H409" i="3"/>
  <c r="I409" i="3" s="1"/>
  <c r="H410" i="3"/>
  <c r="I410" i="3" s="1"/>
  <c r="H411" i="3"/>
  <c r="I411" i="3" s="1"/>
  <c r="H412" i="3"/>
  <c r="I412" i="3" s="1"/>
  <c r="H413" i="3"/>
  <c r="I413" i="3" s="1"/>
  <c r="H414" i="3"/>
  <c r="I414" i="3" s="1"/>
  <c r="H415" i="3"/>
  <c r="I415" i="3" s="1"/>
  <c r="H416" i="3"/>
  <c r="I416" i="3" s="1"/>
  <c r="H417" i="3"/>
  <c r="I417" i="3" s="1"/>
  <c r="H418" i="3"/>
  <c r="I418" i="3" s="1"/>
  <c r="H419" i="3"/>
  <c r="I419" i="3" s="1"/>
  <c r="H420" i="3"/>
  <c r="I420" i="3" s="1"/>
  <c r="H421" i="3"/>
  <c r="I421" i="3" s="1"/>
  <c r="H422" i="3"/>
  <c r="I422" i="3" s="1"/>
  <c r="H423" i="3"/>
  <c r="I423" i="3" s="1"/>
  <c r="H424" i="3"/>
  <c r="I424" i="3" s="1"/>
  <c r="H425" i="3"/>
  <c r="I425" i="3" s="1"/>
  <c r="H426" i="3"/>
  <c r="I426" i="3" s="1"/>
  <c r="H427" i="3"/>
  <c r="I427" i="3" s="1"/>
  <c r="H428" i="3"/>
  <c r="I428" i="3" s="1"/>
  <c r="H429" i="3"/>
  <c r="I429" i="3" s="1"/>
  <c r="H430" i="3"/>
  <c r="I430" i="3" s="1"/>
  <c r="H431" i="3"/>
  <c r="I431" i="3" s="1"/>
  <c r="H432" i="3"/>
  <c r="I432" i="3" s="1"/>
  <c r="H433" i="3"/>
  <c r="I433" i="3" s="1"/>
  <c r="H345" i="3"/>
  <c r="I345" i="3" s="1"/>
  <c r="H434" i="3"/>
  <c r="I434" i="3" s="1"/>
  <c r="H435" i="3"/>
  <c r="I435" i="3" s="1"/>
  <c r="H436" i="3"/>
  <c r="I436" i="3" s="1"/>
  <c r="H437" i="3"/>
  <c r="I437" i="3" s="1"/>
  <c r="H438" i="3"/>
  <c r="I438" i="3" s="1"/>
  <c r="H439" i="3"/>
  <c r="I439" i="3" s="1"/>
  <c r="H328" i="3"/>
  <c r="I328" i="3" s="1"/>
  <c r="H440" i="3"/>
  <c r="I440" i="3" s="1"/>
  <c r="H441" i="3"/>
  <c r="I441" i="3" s="1"/>
  <c r="H346" i="3"/>
  <c r="I346" i="3" s="1"/>
  <c r="H442" i="3"/>
  <c r="I442" i="3" s="1"/>
  <c r="H443" i="3"/>
  <c r="I443" i="3" s="1"/>
  <c r="H444" i="3"/>
  <c r="I444" i="3" s="1"/>
  <c r="H445" i="3"/>
  <c r="I445" i="3" s="1"/>
  <c r="H446" i="3"/>
  <c r="I446" i="3" s="1"/>
  <c r="H447" i="3"/>
  <c r="I447" i="3" s="1"/>
  <c r="H448" i="3"/>
  <c r="I448" i="3" s="1"/>
  <c r="H449" i="3"/>
  <c r="I449" i="3" s="1"/>
  <c r="H450" i="3"/>
  <c r="I450" i="3" s="1"/>
  <c r="H451" i="3"/>
  <c r="I451" i="3" s="1"/>
  <c r="H452" i="3"/>
  <c r="I452" i="3" s="1"/>
  <c r="H453" i="3"/>
  <c r="I453" i="3" s="1"/>
  <c r="H454" i="3"/>
  <c r="I454" i="3" s="1"/>
  <c r="H455" i="3"/>
  <c r="I455" i="3" s="1"/>
  <c r="H456" i="3"/>
  <c r="I456" i="3" s="1"/>
  <c r="H457" i="3"/>
  <c r="I457" i="3" s="1"/>
  <c r="H458" i="3"/>
  <c r="I458" i="3" s="1"/>
  <c r="H347" i="3"/>
  <c r="I347" i="3" s="1"/>
  <c r="H348" i="3"/>
  <c r="I348" i="3" s="1"/>
  <c r="H349" i="3"/>
  <c r="I349" i="3" s="1"/>
  <c r="H459" i="3"/>
  <c r="I459" i="3" s="1"/>
  <c r="H460" i="3"/>
  <c r="I460" i="3" s="1"/>
  <c r="H461" i="3"/>
  <c r="I461" i="3" s="1"/>
  <c r="H462" i="3"/>
  <c r="I462" i="3" s="1"/>
  <c r="H463" i="3"/>
  <c r="I463" i="3" s="1"/>
  <c r="H350" i="3"/>
  <c r="I350" i="3" s="1"/>
  <c r="H464" i="3"/>
  <c r="I464" i="3" s="1"/>
  <c r="H465" i="3"/>
  <c r="I465" i="3" s="1"/>
  <c r="H466" i="3"/>
  <c r="I466" i="3" s="1"/>
  <c r="H467" i="3"/>
  <c r="I467" i="3" s="1"/>
  <c r="H468" i="3"/>
  <c r="I468" i="3" s="1"/>
  <c r="H351" i="3"/>
  <c r="I351" i="3" s="1"/>
  <c r="H469" i="3"/>
  <c r="I469" i="3" s="1"/>
  <c r="H470" i="3"/>
  <c r="I470" i="3" s="1"/>
  <c r="H471" i="3"/>
  <c r="I471" i="3" s="1"/>
  <c r="H352" i="3"/>
  <c r="I352" i="3" s="1"/>
  <c r="H472" i="3"/>
  <c r="I472" i="3" s="1"/>
  <c r="H353" i="3"/>
  <c r="I353" i="3" s="1"/>
  <c r="H473" i="3"/>
  <c r="I473" i="3" s="1"/>
  <c r="H474" i="3"/>
  <c r="I474" i="3" s="1"/>
  <c r="H354" i="3"/>
  <c r="I354" i="3" s="1"/>
  <c r="H355" i="3"/>
  <c r="I355" i="3" s="1"/>
  <c r="H475" i="3"/>
  <c r="I475" i="3" s="1"/>
  <c r="H476" i="3"/>
  <c r="I476" i="3" s="1"/>
  <c r="H356" i="3"/>
  <c r="I356" i="3" s="1"/>
  <c r="H329" i="3"/>
  <c r="I329" i="3" s="1"/>
  <c r="H357" i="3"/>
  <c r="I357" i="3" s="1"/>
  <c r="H358" i="3"/>
  <c r="I358" i="3" s="1"/>
  <c r="H312" i="3"/>
  <c r="I312" i="3" s="1"/>
  <c r="H330" i="3"/>
  <c r="I330" i="3" s="1"/>
  <c r="H331" i="3"/>
  <c r="I331" i="3" s="1"/>
  <c r="H313" i="3"/>
  <c r="I313" i="3" s="1"/>
  <c r="H332" i="3"/>
  <c r="I332" i="3" s="1"/>
  <c r="H477" i="3"/>
  <c r="I477" i="3" s="1"/>
  <c r="H314" i="3"/>
  <c r="I314" i="3" s="1"/>
  <c r="H478" i="3"/>
  <c r="I478" i="3" s="1"/>
  <c r="H359" i="3"/>
  <c r="I359" i="3" s="1"/>
  <c r="H360" i="3"/>
  <c r="I360" i="3" s="1"/>
  <c r="H315" i="3"/>
  <c r="I315" i="3" s="1"/>
  <c r="H316" i="3"/>
  <c r="I316" i="3" s="1"/>
  <c r="H333" i="3"/>
  <c r="I333" i="3" s="1"/>
  <c r="H361" i="3"/>
  <c r="I361" i="3" s="1"/>
  <c r="H479" i="3"/>
  <c r="I479" i="3" s="1"/>
  <c r="H334" i="3"/>
  <c r="I334" i="3" s="1"/>
  <c r="H480" i="3"/>
  <c r="I480" i="3" s="1"/>
  <c r="H481" i="3"/>
  <c r="I481" i="3" s="1"/>
  <c r="H482" i="3"/>
  <c r="I482" i="3" s="1"/>
  <c r="H483" i="3"/>
  <c r="I483" i="3" s="1"/>
  <c r="H287" i="3"/>
  <c r="I287" i="3" s="1"/>
  <c r="H317" i="3"/>
  <c r="I317" i="3" s="1"/>
  <c r="H335" i="3"/>
  <c r="I335" i="3" s="1"/>
  <c r="H484" i="3"/>
  <c r="I484" i="3" s="1"/>
  <c r="H318" i="3"/>
  <c r="I318" i="3" s="1"/>
  <c r="H485" i="3"/>
  <c r="I485" i="3" s="1"/>
  <c r="H336" i="3"/>
  <c r="I336" i="3" s="1"/>
  <c r="H362" i="3"/>
  <c r="I362" i="3" s="1"/>
  <c r="H363" i="3"/>
  <c r="I363" i="3" s="1"/>
  <c r="H337" i="3"/>
  <c r="I337" i="3" s="1"/>
  <c r="H486" i="3"/>
  <c r="I486" i="3" s="1"/>
  <c r="H338" i="3"/>
  <c r="I338" i="3" s="1"/>
  <c r="H487" i="3"/>
  <c r="I487" i="3" s="1"/>
  <c r="H488" i="3"/>
  <c r="I488" i="3" s="1"/>
  <c r="H489" i="3"/>
  <c r="I489" i="3" s="1"/>
  <c r="H490" i="3"/>
  <c r="I490" i="3" s="1"/>
  <c r="H491" i="3"/>
  <c r="I491" i="3" s="1"/>
  <c r="H492" i="3"/>
  <c r="I492" i="3" s="1"/>
  <c r="H281" i="3"/>
  <c r="I281" i="3" s="1"/>
  <c r="H364" i="3"/>
  <c r="I364" i="3" s="1"/>
  <c r="H307" i="3"/>
  <c r="I307" i="3" s="1"/>
  <c r="H319" i="3"/>
  <c r="I319" i="3" s="1"/>
  <c r="H339" i="3"/>
  <c r="I339" i="3" s="1"/>
  <c r="H308" i="3"/>
  <c r="I308" i="3" s="1"/>
  <c r="H320" i="3"/>
  <c r="I320" i="3" s="1"/>
  <c r="H309" i="3"/>
  <c r="I309" i="3" s="1"/>
  <c r="H321" i="3"/>
  <c r="I321" i="3" s="1"/>
  <c r="H282" i="3"/>
  <c r="I282" i="3" s="1"/>
  <c r="H365" i="3"/>
  <c r="I365" i="3" s="1"/>
  <c r="H322" i="3"/>
  <c r="I322" i="3" s="1"/>
  <c r="H310" i="3"/>
  <c r="I310" i="3" s="1"/>
  <c r="H493" i="3"/>
  <c r="I493" i="3" s="1"/>
  <c r="H366" i="3"/>
  <c r="I366" i="3" s="1"/>
  <c r="H494" i="3"/>
  <c r="I494" i="3" s="1"/>
  <c r="H495" i="3"/>
  <c r="I495" i="3" s="1"/>
  <c r="H496" i="3"/>
  <c r="I496" i="3" s="1"/>
  <c r="H497" i="3"/>
  <c r="I497" i="3" s="1"/>
  <c r="H266" i="3"/>
  <c r="I266" i="3" s="1"/>
  <c r="H498" i="3"/>
  <c r="I498" i="3" s="1"/>
  <c r="H499" i="3"/>
  <c r="I499" i="3" s="1"/>
  <c r="H311" i="3"/>
  <c r="I311" i="3" s="1"/>
  <c r="H500" i="3"/>
  <c r="I500" i="3" s="1"/>
  <c r="H501" i="3"/>
  <c r="I501" i="3" s="1"/>
  <c r="H502" i="3"/>
  <c r="I502" i="3" s="1"/>
  <c r="H265" i="3"/>
  <c r="I265" i="3" s="1"/>
  <c r="H503" i="3"/>
  <c r="I503" i="3" s="1"/>
  <c r="H283" i="3"/>
  <c r="I283" i="3" s="1"/>
  <c r="H263" i="3"/>
  <c r="I263" i="3" s="1"/>
  <c r="H272" i="3"/>
  <c r="I272" i="3" s="1"/>
  <c r="H340" i="3"/>
  <c r="I340" i="3" s="1"/>
  <c r="H367" i="3"/>
  <c r="I367" i="3" s="1"/>
  <c r="H504" i="3"/>
  <c r="I504" i="3" s="1"/>
  <c r="H323" i="3"/>
  <c r="I323" i="3" s="1"/>
  <c r="H284" i="3"/>
  <c r="I284" i="3" s="1"/>
  <c r="H505" i="3"/>
  <c r="I505" i="3" s="1"/>
  <c r="H368" i="3"/>
  <c r="I368" i="3" s="1"/>
  <c r="H276" i="3"/>
  <c r="I276" i="3" s="1"/>
  <c r="H506" i="3"/>
  <c r="I506" i="3" s="1"/>
  <c r="H507" i="3"/>
  <c r="I507" i="3" s="1"/>
  <c r="H261" i="3"/>
  <c r="I261" i="3" s="1"/>
  <c r="H508" i="3"/>
  <c r="I508" i="3" s="1"/>
  <c r="H509" i="3"/>
  <c r="I509" i="3" s="1"/>
  <c r="H510" i="3"/>
  <c r="I510" i="3" s="1"/>
  <c r="H511" i="3"/>
  <c r="I511" i="3" s="1"/>
  <c r="H324" i="3"/>
  <c r="I324" i="3" s="1"/>
  <c r="H269" i="3"/>
  <c r="I269" i="3" s="1"/>
  <c r="H512" i="3"/>
  <c r="I512" i="3" s="1"/>
  <c r="H513" i="3"/>
  <c r="I513" i="3" s="1"/>
  <c r="H514" i="3"/>
  <c r="I514" i="3" s="1"/>
  <c r="H515" i="3"/>
  <c r="I515" i="3" s="1"/>
  <c r="H516" i="3"/>
  <c r="I516" i="3" s="1"/>
  <c r="H273" i="3"/>
  <c r="I273" i="3" s="1"/>
  <c r="H270" i="3"/>
  <c r="I270" i="3" s="1"/>
  <c r="H285" i="3"/>
  <c r="I285" i="3" s="1"/>
  <c r="H517" i="3"/>
  <c r="I517" i="3" s="1"/>
  <c r="H518" i="3"/>
  <c r="I518" i="3" s="1"/>
  <c r="H369" i="3"/>
  <c r="I369" i="3" s="1"/>
  <c r="H286" i="3"/>
  <c r="I286" i="3" s="1"/>
  <c r="H370" i="3"/>
  <c r="I370" i="3" s="1"/>
  <c r="H262" i="3"/>
  <c r="I262" i="3" s="1"/>
  <c r="H519" i="3"/>
  <c r="I519" i="3" s="1"/>
  <c r="H520" i="3"/>
  <c r="I520" i="3" s="1"/>
  <c r="H521" i="3"/>
  <c r="I521" i="3" s="1"/>
  <c r="H522" i="3"/>
  <c r="I522" i="3" s="1"/>
  <c r="H523" i="3"/>
  <c r="I523" i="3" s="1"/>
  <c r="H524" i="3"/>
  <c r="I524" i="3" s="1"/>
  <c r="H371" i="3"/>
  <c r="I371" i="3" s="1"/>
  <c r="H525" i="3"/>
  <c r="I525" i="3" s="1"/>
  <c r="H526" i="3"/>
  <c r="I526" i="3" s="1"/>
  <c r="H527" i="3"/>
  <c r="I527" i="3" s="1"/>
  <c r="H528" i="3"/>
  <c r="I528" i="3" s="1"/>
  <c r="H529" i="3"/>
  <c r="I529" i="3" s="1"/>
  <c r="H530" i="3"/>
  <c r="I530" i="3" s="1"/>
  <c r="H531" i="3"/>
  <c r="I531" i="3" s="1"/>
  <c r="H532" i="3"/>
  <c r="I532" i="3" s="1"/>
  <c r="H533" i="3"/>
  <c r="I533" i="3" s="1"/>
  <c r="H325" i="3"/>
  <c r="I325" i="3" s="1"/>
  <c r="H326" i="3"/>
  <c r="I326" i="3" s="1"/>
  <c r="H341" i="3"/>
  <c r="I341" i="3" s="1"/>
  <c r="H342" i="3"/>
  <c r="I342" i="3" s="1"/>
  <c r="H327" i="3"/>
  <c r="I327" i="3" s="1"/>
  <c r="H267" i="3"/>
  <c r="I267" i="3" s="1"/>
  <c r="H343" i="3"/>
  <c r="I343" i="3" s="1"/>
  <c r="H534" i="3"/>
  <c r="I534" i="3" s="1"/>
  <c r="H344" i="3"/>
  <c r="I344" i="3" s="1"/>
  <c r="H264" i="3"/>
  <c r="I264" i="3" s="1"/>
  <c r="H274" i="3"/>
  <c r="I274" i="3" s="1"/>
  <c r="H277" i="3"/>
  <c r="I277" i="3" s="1"/>
  <c r="H271" i="3"/>
  <c r="I271" i="3" s="1"/>
  <c r="H278" i="3"/>
  <c r="I278" i="3" s="1"/>
  <c r="H275" i="3"/>
  <c r="I275" i="3" s="1"/>
  <c r="H279" i="3"/>
  <c r="I279" i="3" s="1"/>
  <c r="H280" i="3"/>
  <c r="I280" i="3" s="1"/>
  <c r="H268" i="3"/>
  <c r="I268" i="3" s="1"/>
  <c r="H547" i="3"/>
  <c r="I547" i="3" s="1"/>
  <c r="H585" i="3"/>
  <c r="I585" i="3" s="1"/>
  <c r="H553" i="3"/>
  <c r="I553" i="3" s="1"/>
  <c r="H554" i="3"/>
  <c r="I554" i="3" s="1"/>
  <c r="H537" i="3"/>
  <c r="I537" i="3" s="1"/>
  <c r="H620" i="3"/>
  <c r="I620" i="3" s="1"/>
  <c r="H661" i="3"/>
  <c r="I661" i="3" s="1"/>
  <c r="H662" i="3"/>
  <c r="I662" i="3" s="1"/>
  <c r="H663" i="3"/>
  <c r="I663" i="3" s="1"/>
  <c r="H645" i="3"/>
  <c r="I645" i="3" s="1"/>
  <c r="H664" i="3"/>
  <c r="I664" i="3" s="1"/>
  <c r="H591" i="3"/>
  <c r="I591" i="3" s="1"/>
  <c r="H646" i="3"/>
  <c r="I646" i="3" s="1"/>
  <c r="H586" i="3"/>
  <c r="I586" i="3" s="1"/>
  <c r="H538" i="3"/>
  <c r="I538" i="3" s="1"/>
  <c r="H560" i="3"/>
  <c r="I560" i="3" s="1"/>
  <c r="H604" i="3"/>
  <c r="I604" i="3" s="1"/>
  <c r="H541" i="3"/>
  <c r="I541" i="3" s="1"/>
  <c r="H605" i="3"/>
  <c r="I605" i="3" s="1"/>
  <c r="H665" i="3"/>
  <c r="I665" i="3" s="1"/>
  <c r="H666" i="3"/>
  <c r="I666" i="3" s="1"/>
  <c r="H548" i="3"/>
  <c r="I548" i="3" s="1"/>
  <c r="H606" i="3"/>
  <c r="I606" i="3" s="1"/>
  <c r="H667" i="3"/>
  <c r="I667" i="3" s="1"/>
  <c r="H545" i="3"/>
  <c r="I545" i="3" s="1"/>
  <c r="H592" i="3"/>
  <c r="I592" i="3" s="1"/>
  <c r="H621" i="3"/>
  <c r="I621" i="3" s="1"/>
  <c r="H622" i="3"/>
  <c r="I622" i="3" s="1"/>
  <c r="H668" i="3"/>
  <c r="I668" i="3" s="1"/>
  <c r="H647" i="3"/>
  <c r="I647" i="3" s="1"/>
  <c r="H669" i="3"/>
  <c r="I669" i="3" s="1"/>
  <c r="H670" i="3"/>
  <c r="I670" i="3" s="1"/>
  <c r="H593" i="3"/>
  <c r="I593" i="3" s="1"/>
  <c r="H671" i="3"/>
  <c r="I671" i="3" s="1"/>
  <c r="H555" i="3"/>
  <c r="I555" i="3" s="1"/>
  <c r="H607" i="3"/>
  <c r="I607" i="3" s="1"/>
  <c r="H672" i="3"/>
  <c r="I672" i="3" s="1"/>
  <c r="H587" i="3"/>
  <c r="I587" i="3" s="1"/>
  <c r="H673" i="3"/>
  <c r="I673" i="3" s="1"/>
  <c r="H674" i="3"/>
  <c r="I674" i="3" s="1"/>
  <c r="H648" i="3"/>
  <c r="I648" i="3" s="1"/>
  <c r="H675" i="3"/>
  <c r="I675" i="3" s="1"/>
  <c r="H649" i="3"/>
  <c r="I649" i="3" s="1"/>
  <c r="H676" i="3"/>
  <c r="I676" i="3" s="1"/>
  <c r="H677" i="3"/>
  <c r="I677" i="3" s="1"/>
  <c r="H678" i="3"/>
  <c r="I678" i="3" s="1"/>
  <c r="H679" i="3"/>
  <c r="I679" i="3" s="1"/>
  <c r="H680" i="3"/>
  <c r="I680" i="3" s="1"/>
  <c r="H681" i="3"/>
  <c r="I681" i="3" s="1"/>
  <c r="H682" i="3"/>
  <c r="I682" i="3" s="1"/>
  <c r="H683" i="3"/>
  <c r="I683" i="3" s="1"/>
  <c r="H650" i="3"/>
  <c r="I650" i="3" s="1"/>
  <c r="H684" i="3"/>
  <c r="I684" i="3" s="1"/>
  <c r="H685" i="3"/>
  <c r="I685" i="3" s="1"/>
  <c r="H623" i="3"/>
  <c r="I623" i="3" s="1"/>
  <c r="H542" i="3"/>
  <c r="I542" i="3" s="1"/>
  <c r="H624" i="3"/>
  <c r="I624" i="3" s="1"/>
  <c r="H625" i="3"/>
  <c r="I625" i="3" s="1"/>
  <c r="H651" i="3"/>
  <c r="I651" i="3" s="1"/>
  <c r="H594" i="3"/>
  <c r="I594" i="3" s="1"/>
  <c r="H595" i="3"/>
  <c r="I595" i="3" s="1"/>
  <c r="H626" i="3"/>
  <c r="I626" i="3" s="1"/>
  <c r="H686" i="3"/>
  <c r="I686" i="3" s="1"/>
  <c r="H561" i="3"/>
  <c r="I561" i="3" s="1"/>
  <c r="H687" i="3"/>
  <c r="I687" i="3" s="1"/>
  <c r="H627" i="3"/>
  <c r="I627" i="3" s="1"/>
  <c r="H556" i="3"/>
  <c r="I556" i="3" s="1"/>
  <c r="H581" i="3"/>
  <c r="I581" i="3" s="1"/>
  <c r="H549" i="3"/>
  <c r="I549" i="3" s="1"/>
  <c r="H628" i="3"/>
  <c r="I628" i="3" s="1"/>
  <c r="H652" i="3"/>
  <c r="I652" i="3" s="1"/>
  <c r="H653" i="3"/>
  <c r="I653" i="3" s="1"/>
  <c r="H596" i="3"/>
  <c r="I596" i="3" s="1"/>
  <c r="H608" i="3"/>
  <c r="I608" i="3" s="1"/>
  <c r="H609" i="3"/>
  <c r="I609" i="3" s="1"/>
  <c r="H557" i="3"/>
  <c r="I557" i="3" s="1"/>
  <c r="H688" i="3"/>
  <c r="I688" i="3" s="1"/>
  <c r="H689" i="3"/>
  <c r="I689" i="3" s="1"/>
  <c r="H690" i="3"/>
  <c r="I690" i="3" s="1"/>
  <c r="H582" i="3"/>
  <c r="I582" i="3" s="1"/>
  <c r="H691" i="3"/>
  <c r="I691" i="3" s="1"/>
  <c r="H692" i="3"/>
  <c r="I692" i="3" s="1"/>
  <c r="H693" i="3"/>
  <c r="I693" i="3" s="1"/>
  <c r="H694" i="3"/>
  <c r="I694" i="3" s="1"/>
  <c r="H695" i="3"/>
  <c r="I695" i="3" s="1"/>
  <c r="H696" i="3"/>
  <c r="I696" i="3" s="1"/>
  <c r="H697" i="3"/>
  <c r="I697" i="3" s="1"/>
  <c r="H698" i="3"/>
  <c r="I698" i="3" s="1"/>
  <c r="H654" i="3"/>
  <c r="I654" i="3" s="1"/>
  <c r="H550" i="3"/>
  <c r="I550" i="3" s="1"/>
  <c r="H597" i="3"/>
  <c r="I597" i="3" s="1"/>
  <c r="H629" i="3"/>
  <c r="I629" i="3" s="1"/>
  <c r="H699" i="3"/>
  <c r="I699" i="3" s="1"/>
  <c r="H558" i="3"/>
  <c r="I558" i="3" s="1"/>
  <c r="H562" i="3"/>
  <c r="I562" i="3" s="1"/>
  <c r="H700" i="3"/>
  <c r="I700" i="3" s="1"/>
  <c r="H539" i="3"/>
  <c r="I539" i="3" s="1"/>
  <c r="H701" i="3"/>
  <c r="I701" i="3" s="1"/>
  <c r="H702" i="3"/>
  <c r="I702" i="3" s="1"/>
  <c r="H598" i="3"/>
  <c r="I598" i="3" s="1"/>
  <c r="H599" i="3"/>
  <c r="I599" i="3" s="1"/>
  <c r="H703" i="3"/>
  <c r="I703" i="3" s="1"/>
  <c r="H630" i="3"/>
  <c r="I630" i="3" s="1"/>
  <c r="H535" i="3"/>
  <c r="I535" i="3" s="1"/>
  <c r="H704" i="3"/>
  <c r="I704" i="3" s="1"/>
  <c r="H705" i="3"/>
  <c r="I705" i="3" s="1"/>
  <c r="H706" i="3"/>
  <c r="I706" i="3" s="1"/>
  <c r="H707" i="3"/>
  <c r="I707" i="3" s="1"/>
  <c r="H708" i="3"/>
  <c r="I708" i="3" s="1"/>
  <c r="H655" i="3"/>
  <c r="I655" i="3" s="1"/>
  <c r="H656" i="3"/>
  <c r="I656" i="3" s="1"/>
  <c r="H546" i="3"/>
  <c r="I546" i="3" s="1"/>
  <c r="H551" i="3"/>
  <c r="I551" i="3" s="1"/>
  <c r="H709" i="3"/>
  <c r="I709" i="3" s="1"/>
  <c r="H536" i="3"/>
  <c r="I536" i="3" s="1"/>
  <c r="H710" i="3"/>
  <c r="I710" i="3" s="1"/>
  <c r="H631" i="3"/>
  <c r="I631" i="3" s="1"/>
  <c r="H657" i="3"/>
  <c r="I657" i="3" s="1"/>
  <c r="H610" i="3"/>
  <c r="I610" i="3" s="1"/>
  <c r="H711" i="3"/>
  <c r="I711" i="3" s="1"/>
  <c r="H600" i="3"/>
  <c r="I600" i="3" s="1"/>
  <c r="H712" i="3"/>
  <c r="I712" i="3" s="1"/>
  <c r="H632" i="3"/>
  <c r="I632" i="3" s="1"/>
  <c r="H713" i="3"/>
  <c r="I713" i="3" s="1"/>
  <c r="H714" i="3"/>
  <c r="I714" i="3" s="1"/>
  <c r="H611" i="3"/>
  <c r="I611" i="3" s="1"/>
  <c r="H715" i="3"/>
  <c r="I715" i="3" s="1"/>
  <c r="H658" i="3"/>
  <c r="I658" i="3" s="1"/>
  <c r="H716" i="3"/>
  <c r="I716" i="3" s="1"/>
  <c r="H717" i="3"/>
  <c r="I717" i="3" s="1"/>
  <c r="H718" i="3"/>
  <c r="I718" i="3" s="1"/>
  <c r="H719" i="3"/>
  <c r="I719" i="3" s="1"/>
  <c r="H612" i="3"/>
  <c r="I612" i="3" s="1"/>
  <c r="H720" i="3"/>
  <c r="I720" i="3" s="1"/>
  <c r="H721" i="3"/>
  <c r="I721" i="3" s="1"/>
  <c r="H722" i="3"/>
  <c r="I722" i="3" s="1"/>
  <c r="H633" i="3"/>
  <c r="I633" i="3" s="1"/>
  <c r="H659" i="3"/>
  <c r="I659" i="3" s="1"/>
  <c r="H723" i="3"/>
  <c r="I723" i="3" s="1"/>
  <c r="H583" i="3"/>
  <c r="I583" i="3" s="1"/>
  <c r="H613" i="3"/>
  <c r="I613" i="3" s="1"/>
  <c r="H614" i="3"/>
  <c r="I614" i="3" s="1"/>
  <c r="H634" i="3"/>
  <c r="I634" i="3" s="1"/>
  <c r="H635" i="3"/>
  <c r="I635" i="3" s="1"/>
  <c r="H588" i="3"/>
  <c r="I588" i="3" s="1"/>
  <c r="H615" i="3"/>
  <c r="I615" i="3" s="1"/>
  <c r="H616" i="3"/>
  <c r="I616" i="3" s="1"/>
  <c r="H636" i="3"/>
  <c r="I636" i="3" s="1"/>
  <c r="H589" i="3"/>
  <c r="I589" i="3" s="1"/>
  <c r="H637" i="3"/>
  <c r="I637" i="3" s="1"/>
  <c r="H617" i="3"/>
  <c r="I617" i="3" s="1"/>
  <c r="H638" i="3"/>
  <c r="I638" i="3" s="1"/>
  <c r="H639" i="3"/>
  <c r="I639" i="3" s="1"/>
  <c r="H640" i="3"/>
  <c r="I640" i="3" s="1"/>
  <c r="H601" i="3"/>
  <c r="I601" i="3" s="1"/>
  <c r="H602" i="3"/>
  <c r="I602" i="3" s="1"/>
  <c r="H618" i="3"/>
  <c r="I618" i="3" s="1"/>
  <c r="H540" i="3"/>
  <c r="I540" i="3" s="1"/>
  <c r="H641" i="3"/>
  <c r="I641" i="3" s="1"/>
  <c r="H724" i="3"/>
  <c r="I724" i="3" s="1"/>
  <c r="H725" i="3"/>
  <c r="I725" i="3" s="1"/>
  <c r="H660" i="3"/>
  <c r="I660" i="3" s="1"/>
  <c r="H559" i="3"/>
  <c r="I559" i="3" s="1"/>
  <c r="H642" i="3"/>
  <c r="I642" i="3" s="1"/>
  <c r="H726" i="3"/>
  <c r="I726" i="3" s="1"/>
  <c r="H643" i="3"/>
  <c r="I643" i="3" s="1"/>
  <c r="H727" i="3"/>
  <c r="I727" i="3" s="1"/>
  <c r="H728" i="3"/>
  <c r="I728" i="3" s="1"/>
  <c r="H603" i="3"/>
  <c r="I603" i="3" s="1"/>
  <c r="H543" i="3"/>
  <c r="I543" i="3" s="1"/>
  <c r="H544" i="3"/>
  <c r="I544" i="3" s="1"/>
  <c r="H729" i="3"/>
  <c r="I729" i="3" s="1"/>
  <c r="H644" i="3"/>
  <c r="I644" i="3" s="1"/>
  <c r="H552" i="3"/>
  <c r="I552" i="3" s="1"/>
  <c r="H619" i="3"/>
  <c r="I619" i="3" s="1"/>
  <c r="H730" i="3"/>
  <c r="I730" i="3" s="1"/>
  <c r="H731" i="3"/>
  <c r="I731" i="3" s="1"/>
  <c r="H732" i="3"/>
  <c r="I732" i="3" s="1"/>
  <c r="H733" i="3"/>
  <c r="I733" i="3" s="1"/>
  <c r="H734" i="3"/>
  <c r="I734" i="3" s="1"/>
  <c r="H584" i="3"/>
  <c r="I584" i="3" s="1"/>
  <c r="H590" i="3"/>
  <c r="I590" i="3" s="1"/>
  <c r="H43" i="3"/>
  <c r="I43" i="3" s="1"/>
</calcChain>
</file>

<file path=xl/sharedStrings.xml><?xml version="1.0" encoding="utf-8"?>
<sst xmlns="http://schemas.openxmlformats.org/spreadsheetml/2006/main" count="14601" uniqueCount="7336">
  <si>
    <t>tweet_url</t>
  </si>
  <si>
    <t>author_name</t>
  </si>
  <si>
    <t>author_id</t>
  </si>
  <si>
    <t>text</t>
  </si>
  <si>
    <t>created_at</t>
  </si>
  <si>
    <t>reply_to</t>
  </si>
  <si>
    <t>retweet_from</t>
  </si>
  <si>
    <t>like_count</t>
  </si>
  <si>
    <t>reply_count</t>
  </si>
  <si>
    <t>retweet_count</t>
  </si>
  <si>
    <t>photo</t>
  </si>
  <si>
    <t>video</t>
  </si>
  <si>
    <t>link</t>
  </si>
  <si>
    <t>https://x.com/Toyota/status/13012339730</t>
  </si>
  <si>
    <t>Toyota USA</t>
  </si>
  <si>
    <t>@Toyota</t>
  </si>
  <si>
    <t>NOTE: Of the approx 50k 2003 MY Sequoias included in this recall, approx half have already been serviced under warranty.</t>
  </si>
  <si>
    <t>2010-04-28T15:25:16.000Z</t>
  </si>
  <si>
    <t>https://x.com/Toyota/status/13011574545</t>
  </si>
  <si>
    <t>Toyota Announces Voluntary Recall on 2003 MY Sequoia to Upgrade Program Logic in Vehicle Stability Control System http://bit.ly/aXWNXn</t>
  </si>
  <si>
    <t>2010-04-28T15:10:26.000Z</t>
  </si>
  <si>
    <t>https://x.com/Toyota/status/12950905352</t>
  </si>
  <si>
    <t>@erobards @joanrobards Thanks for the note!  Glad to hear it. ^SD</t>
  </si>
  <si>
    <t>2010-04-27T15:34:50.000Z</t>
  </si>
  <si>
    <t>@CNNEmily</t>
  </si>
  <si>
    <t>https://x.com/Toyota/status/12950751831</t>
  </si>
  <si>
    <t>@WayneBerry Well done.</t>
  </si>
  <si>
    <t>2010-04-27T15:31:36.000Z</t>
  </si>
  <si>
    <t>https://x.com/Toyota/status/12950719182</t>
  </si>
  <si>
    <t>@gersonroher Hi Gerson. Didn't see the tweet...what's the question? Thanks. ^SD</t>
  </si>
  <si>
    <t>2010-04-27T15:30:54.000Z</t>
  </si>
  <si>
    <t>@gersonroher</t>
  </si>
  <si>
    <t>@scottgurvey</t>
  </si>
  <si>
    <t>@expeditiongausa</t>
  </si>
  <si>
    <t>https://x.com/Toyota/status/12661148714</t>
  </si>
  <si>
    <t>@danwboles Nice...looks good in black!</t>
  </si>
  <si>
    <t>2010-04-22T21:07:03.000Z</t>
  </si>
  <si>
    <t>@Rene_dev</t>
  </si>
  <si>
    <t>https://x.com/Toyota/status/12660012677</t>
  </si>
  <si>
    <t>@Rene_dev Hi there.  Have you gone to a dealer to have the codes examined?</t>
  </si>
  <si>
    <t>2010-04-22T20:41:37.000Z</t>
  </si>
  <si>
    <t>https://x.com/Toyota/status/12653654341</t>
  </si>
  <si>
    <t>Alt-fuel vehicles rated on environmental impact, value and features http://bit.ly/bEhzwk (via @ChicagoTribune)</t>
  </si>
  <si>
    <t>2010-04-22T18:21:45.000Z</t>
  </si>
  <si>
    <t>https://x.com/Toyota/status/12646370907</t>
  </si>
  <si>
    <t>Check out the Prius Plug-in Hybrid being charged by solar flower power! Happy Earth Day! ^AT http://twitpic.com/1hjajp</t>
  </si>
  <si>
    <t>2010-04-22T15:51:41.000Z</t>
  </si>
  <si>
    <t>https://x.com/Toyota/status/12645533770</t>
  </si>
  <si>
    <t>Good morning everyone! Doing anything interesting to celebrate Earth Day? Let us know...send us a twitpic or update. #earthday</t>
  </si>
  <si>
    <t>2010-04-22T15:35:44.000Z</t>
  </si>
  <si>
    <t>https://x.com/Toyota/status/12582293029</t>
  </si>
  <si>
    <t>@MichaelGaspar Thanks Michael!</t>
  </si>
  <si>
    <t>2010-04-21T15:24:42.000Z</t>
  </si>
  <si>
    <t>@MichaelGaspar</t>
  </si>
  <si>
    <t>@KristynBurtt</t>
  </si>
  <si>
    <t>https://x.com/Toyota/status/12473662086</t>
  </si>
  <si>
    <t>[Video] Message to Lexus customers regarding the 2010 GX 460 voluntary recall. http://bit.ly/am6AYf</t>
  </si>
  <si>
    <t>2010-04-19T20:12:34.000Z</t>
  </si>
  <si>
    <t>https://x.com/Toyota/status/12471213494</t>
  </si>
  <si>
    <t>2010-04-19T19:12:54.000Z</t>
  </si>
  <si>
    <t>@GeorgeAtha</t>
  </si>
  <si>
    <t>@Hot_Wheels</t>
  </si>
  <si>
    <t>https://x.com/Toyota/status/12306644798</t>
  </si>
  <si>
    <t>Toyota to Begin Voluntary Safety Recall on Certain 98-10 MY Siennas to Address Potential Corrosion on Spare Tire Cable http://bit.ly/dizq6w</t>
  </si>
  <si>
    <t>2010-04-16T21:58:14.000Z</t>
  </si>
  <si>
    <t>@mattceni</t>
  </si>
  <si>
    <t>https://x.com/Toyota/status/12298483418</t>
  </si>
  <si>
    <t>New Vid: Learn about Toyota’s rapid-response Swift Market Analysis Response Team (SMART) at http://bit.ly/dkmRj4</t>
  </si>
  <si>
    <t>2010-04-16T18:44:32.000Z</t>
  </si>
  <si>
    <t>https://x.com/Toyota/status/12294292089</t>
  </si>
  <si>
    <t>@SoCalALEX18 Enjoy the roar.</t>
  </si>
  <si>
    <t>2010-04-16T17:14:04.000Z</t>
  </si>
  <si>
    <t>@SoCalALEX18</t>
  </si>
  <si>
    <t>https://x.com/Toyota/status/12294211926</t>
  </si>
  <si>
    <t>@RacingTheWeb Drive safe...and enjoy the race!</t>
  </si>
  <si>
    <t>2010-04-16T17:12:25.000Z</t>
  </si>
  <si>
    <t>@RacingTheWeb</t>
  </si>
  <si>
    <t>https://x.com/Toyota/status/12289176177</t>
  </si>
  <si>
    <t>Who's going to the 2010 Toyota Grand Prix of Long Beach this weekend? Tweet @ToyotaRacing and let em know you're coming!</t>
  </si>
  <si>
    <t>2010-04-16T15:34:14.000Z</t>
  </si>
  <si>
    <t>https://x.com/Toyota/status/12235873919</t>
  </si>
  <si>
    <t>@micronix Hi Mike. Had a similar question yesterday. Here's the responses http://bit.ly/bEU6Z5 and http://bit.ly/asEQ3V</t>
  </si>
  <si>
    <t>2010-04-15T17:51:37.000Z</t>
  </si>
  <si>
    <t>@micronix</t>
  </si>
  <si>
    <t>https://x.com/Toyota/status/12233281051</t>
  </si>
  <si>
    <t>RT @TonyHawk The @tgplb2010 is this weekend. ESPN grilled me about my participation: http://bit.ly/9ogwfh</t>
  </si>
  <si>
    <t>2010-04-15T16:55:02.000Z</t>
  </si>
  <si>
    <t>https://x.com/Toyota/status/12229738945</t>
  </si>
  <si>
    <t>[Videos] First impression test drives of the Prius Plug-in Hybrid: http://bit.ly/9NENkQ  http://bit.ly/b9PZTe  http://bit.ly/9QSKAX</t>
  </si>
  <si>
    <t>2010-04-15T15:43:06.000Z</t>
  </si>
  <si>
    <t>https://x.com/Toyota/status/12181523881</t>
  </si>
  <si>
    <t>@mariansinopoli Any customer who purchased 2010 GX 460 and is concerned about driving, Lexus will provide loaner until remedy is available.</t>
  </si>
  <si>
    <t>2010-04-14T20:08:04.000Z</t>
  </si>
  <si>
    <t>@rosenbergmaria7</t>
  </si>
  <si>
    <t>https://x.com/Toyota/status/12175923075</t>
  </si>
  <si>
    <t>@mike3k That is why we explore multiple solutions for our mobility needs. While a PHV or EV won't work for you, a hybrid may be a good fit.</t>
  </si>
  <si>
    <t>2010-04-14T17:55:20.000Z</t>
  </si>
  <si>
    <t>@sutrofog</t>
  </si>
  <si>
    <t>https://x.com/Toyota/status/12175826637</t>
  </si>
  <si>
    <t>@mike3k Infrastructure is one of the challenges of advanced tech vehicles.  What works for one person won't work for someone else. ^AT</t>
  </si>
  <si>
    <t>2010-04-14T17:53:07.000Z</t>
  </si>
  <si>
    <t>https://x.com/Toyota/status/12169888599</t>
  </si>
  <si>
    <t>Check out Wayne Gerdes of CleanMPG.com's first impressions of the Prius Plug-in Hybrid Vehicle (PHV).  http://bit.ly/cflCoq ^AT &amp; ^DM</t>
  </si>
  <si>
    <t>2010-04-14T15:45:46.000Z</t>
  </si>
  <si>
    <t>@airgates2k</t>
  </si>
  <si>
    <t>@CarGuyDad</t>
  </si>
  <si>
    <t>https://x.com/Toyota/status/12130483019</t>
  </si>
  <si>
    <t>2010-04-13T23:26:04.000Z</t>
  </si>
  <si>
    <t>https://x.com/Toyota/status/12126884470</t>
  </si>
  <si>
    <t>Thank you for watching the Sustainable Mobility Seminar. Visit www.toyota.com/esq for more info. ^@amykt</t>
  </si>
  <si>
    <t>2010-04-13T22:07:36.000Z</t>
  </si>
  <si>
    <t>https://x.com/Toyota/status/12126177718</t>
  </si>
  <si>
    <t>RT @AutoblogGreen: Ah, here's more information on the Toyota's new plug-in #Prius fleet: http://tinyurl.com/y25depj ^AT</t>
  </si>
  <si>
    <t>2010-04-13T21:51:35.000Z</t>
  </si>
  <si>
    <t>https://x.com/Toyota/status/12124620123</t>
  </si>
  <si>
    <t>Jay Whitacre, Carnegie Melon University, discussing advanced batteries.  (@Toyota live at http://ustre.am/fKzf )</t>
  </si>
  <si>
    <t>2010-04-13T21:15:06.000Z</t>
  </si>
  <si>
    <t>https://x.com/Toyota/status/12123980680</t>
  </si>
  <si>
    <t>Robert Bryce, author &amp; editor, Energy Tribune, discussing rare earth metals &amp; use in batteries.  (@Toyota live at http://ustre.am/fKzf )</t>
  </si>
  <si>
    <t>2010-04-13T20:59:52.000Z</t>
  </si>
  <si>
    <t>https://x.com/Toyota/status/12123170619</t>
  </si>
  <si>
    <t>Dr. Jan Kreider, University of Colorado, discussing low carbon fuels.  (@Toyota live at http://ustre.am/fKzf )</t>
  </si>
  <si>
    <t>2010-04-13T20:39:54.000Z</t>
  </si>
  <si>
    <t>https://x.com/Toyota/status/12123068566</t>
  </si>
  <si>
    <t>Powering Our Future moderator: Alison Peters, managing director, Deming Center of Entrepreneurship  (@Toyota live at http://ustre.am/fKzf )</t>
  </si>
  <si>
    <t>2010-04-13T20:37:22.000Z</t>
  </si>
  <si>
    <t>https://x.com/Toyota/status/12122976376</t>
  </si>
  <si>
    <t>The afternoon panel entitled “Powering our Future” is about to begin.    (@Toyota live at http://ustre.am/fKzf )</t>
  </si>
  <si>
    <t>2010-04-13T20:35:08.000Z</t>
  </si>
  <si>
    <t>https://x.com/Toyota/status/12122114316</t>
  </si>
  <si>
    <t>Prius Plug-in Hybrids lined up and ready to roll.  http://yfrog.com/j3jfkcj</t>
  </si>
  <si>
    <t>2010-04-13T20:14:42.000Z</t>
  </si>
  <si>
    <t>https://x.com/Toyota/status/12117021008</t>
  </si>
  <si>
    <t>Gordon Feller, CEO, Urban Age Institute is moderating the Drivers for Change panel.  (@Toyota live at http://ustre.am/fKzf )</t>
  </si>
  <si>
    <t>2010-04-13T18:11:10.000Z</t>
  </si>
  <si>
    <t>https://x.com/Toyota/status/12116286316</t>
  </si>
  <si>
    <t>Dr. William Shutkin, LEEDS School of Business discussing urban planning &amp; transportation  (@Toyota live at http://ustre.am/fKzf )</t>
  </si>
  <si>
    <t>2010-04-13T17:53:45.000Z</t>
  </si>
  <si>
    <t>https://x.com/Toyota/status/12115312075</t>
  </si>
  <si>
    <t>Dr. Frank Wolak, dept. of economics, Stanford U., discussing economics of climate change  (@Toyota live at http://ustre.am/fKzf )</t>
  </si>
  <si>
    <t>2010-04-13T17:31:15.000Z</t>
  </si>
  <si>
    <t>Dr. Michael Dettinger, Scripps Institute of Oceanography discussing water scarcity &amp; ties to energy  (@Toyota live at http://ustre.am/fKzf )</t>
  </si>
  <si>
    <t>https://x.com/Toyota/status/12114605911</t>
  </si>
  <si>
    <t>2010-04-13T17:15:24.000Z</t>
  </si>
  <si>
    <t>https://x.com/Toyota/status/12111100576</t>
  </si>
  <si>
    <t>Learn more about the Prius plug-in on @Ustream   (@Toyota live at http://ustre.am/fKzf )</t>
  </si>
  <si>
    <t>2010-04-13T16:01:38.000Z</t>
  </si>
  <si>
    <t>https://x.com/Toyota/status/12110344310</t>
  </si>
  <si>
    <t>Join us live on @Ustream right now for the Toyota Sustainable Mobility Seminar  (@Toyota live at http://ustre.am/fKzf )</t>
  </si>
  <si>
    <t>2010-04-13T15:45:59.000Z</t>
  </si>
  <si>
    <t>https://x.com/Toyota/status/12108023256</t>
  </si>
  <si>
    <t>Visit @Ustream at 8:30am PDT to watch the Toyota Sustainable Mobiliy Seminar LIVE  (@Toyota live at http://ustre.am/fKzf )</t>
  </si>
  <si>
    <t>2010-04-13T14:59:15.000Z</t>
  </si>
  <si>
    <t>https://x.com/Toyota/status/12076256712</t>
  </si>
  <si>
    <t>Join us Live on @Ustream tomorrow (4/13) at 8:30am PDT to view our Sustainable Mobility Seminar http://bit.ly/dxqAr9</t>
  </si>
  <si>
    <t>2010-04-13T00:54:36.000Z</t>
  </si>
  <si>
    <t>@AsianMartin</t>
  </si>
  <si>
    <t>https://x.com/Toyota/status/11836224262</t>
  </si>
  <si>
    <t>“SMART” business process for quick evaluation of unintended acceleration reports http://bit.ly/cDqWBD</t>
  </si>
  <si>
    <t>2010-04-08T18:09:19.000Z</t>
  </si>
  <si>
    <t>https://x.com/Toyota/status/11790280471</t>
  </si>
  <si>
    <t>Statement on NHTSA Penalty Announcement http://rep.ly/1MLDB</t>
  </si>
  <si>
    <t>2010-04-07T22:34:06.000Z</t>
  </si>
  <si>
    <t>https://x.com/Toyota/status/11787270999</t>
  </si>
  <si>
    <t>@Toyota strong sales in March reflects customers’ continued confidence in the safety &amp; reliability o… http://rep.ly/1MLC5</t>
  </si>
  <si>
    <t>2010-04-07T21:23:31.000Z</t>
  </si>
  <si>
    <t>@JoeGibbsRacing</t>
  </si>
  <si>
    <t>@ToyotaUK</t>
  </si>
  <si>
    <t>https://x.com/Toyota/status/11703476134</t>
  </si>
  <si>
    <t>@ToyotaGB @MsME36 Hi. Best place to start is here: http://bit.ly/bw7BGn . Thanks. ^SD</t>
  </si>
  <si>
    <t>2010-04-06T15:23:22.000Z</t>
  </si>
  <si>
    <t>https://x.com/Toyota/status/11661362027</t>
  </si>
  <si>
    <t>Statement on NHTSA Penalty Announcement http://bit.ly/d7ajpv</t>
  </si>
  <si>
    <t>2010-04-05T21:24:54.000Z</t>
  </si>
  <si>
    <t>@renzoferrer</t>
  </si>
  <si>
    <t>https://x.com/Toyota/status/11493971887</t>
  </si>
  <si>
    <t>(Pics) Toyota Pro/Celeb Training 2010 from @toyotaracing: http://bit.ly/b2rZUz</t>
  </si>
  <si>
    <t>2010-04-02T18:18:56.000Z</t>
  </si>
  <si>
    <t>https://x.com/Toyota/status/11492065749</t>
  </si>
  <si>
    <t>(Uh...wow are those stickers? ^SD) RT @autoobserver http://twitpic.com/1cnnnj - My neighbor has the most ballin' Lexus RX ever ^DG @toyota</t>
  </si>
  <si>
    <t>2010-04-02T17:36:23.000Z</t>
  </si>
  <si>
    <t>@togethergreen</t>
  </si>
  <si>
    <t>https://x.com/Toyota/status/11486013416</t>
  </si>
  <si>
    <t>@LaurenMeem Wow...that's impressive. You gonna shoot for 300k miles? ^SD</t>
  </si>
  <si>
    <t>2010-04-02T15:33:10.000Z</t>
  </si>
  <si>
    <t>https://x.com/Toyota/status/11485786833</t>
  </si>
  <si>
    <t>@togethergreen Dig the background and look of your profile. Nice work! ^SD</t>
  </si>
  <si>
    <t>2010-04-02T15:28:49.000Z</t>
  </si>
  <si>
    <t>https://x.com/Toyota/status/11451111806</t>
  </si>
  <si>
    <t>@LaurenMeem Hi Lauren. Don't know about the pink color...but rest sounds good. ^SD</t>
  </si>
  <si>
    <t>2010-04-01T23:52:20.000Z</t>
  </si>
  <si>
    <t>https://x.com/Toyota/status/11435721267</t>
  </si>
  <si>
    <t>March and First Quarter Sales Report http://bit.ly/bqbc2A Sales Chart: http://bit.ly/cBop3K (PDF File)</t>
  </si>
  <si>
    <t>2010-04-01T17:28:22.000Z</t>
  </si>
  <si>
    <t>https://x.com/Toyota/status/11380332156</t>
  </si>
  <si>
    <t>@scottgurvey Hi Scott.  Can you DM me your contact info. (email/phone)?  Wanna get you a contact asap. Thanks. ^SD</t>
  </si>
  <si>
    <t>2010-03-31T18:30:33.000Z</t>
  </si>
  <si>
    <t>https://x.com/Toyota/status/11375737922</t>
  </si>
  <si>
    <t>@mikeliebhold Thanks Mike. Great story...keep on truckin! ^SD</t>
  </si>
  <si>
    <t>2010-03-31T16:47:16.000Z</t>
  </si>
  <si>
    <t>@mikeliebhold</t>
  </si>
  <si>
    <t>https://x.com/Toyota/status/11371474117</t>
  </si>
  <si>
    <t>@AsianMartin Thanks man...gives our space at the #NYAutoShow that "lived in" feel. ^SD</t>
  </si>
  <si>
    <t>2010-03-31T15:19:09.000Z</t>
  </si>
  <si>
    <t>https://x.com/Toyota/status/11325794110</t>
  </si>
  <si>
    <t>@mattceni Hi Matt. Direct message us and I'll see how we can help. Thanks. ^SD</t>
  </si>
  <si>
    <t>2010-03-30T20:00:48.000Z</t>
  </si>
  <si>
    <t>https://x.com/Toyota/status/11321661743</t>
  </si>
  <si>
    <t>NHTSA working with NASA to investigate sudden acceleration http://bit.ly/bpOjeO (NHTSA official release)</t>
  </si>
  <si>
    <t>2010-03-30T18:23:40.000Z</t>
  </si>
  <si>
    <t>@PriusChat</t>
  </si>
  <si>
    <t>https://x.com/Toyota/status/11261487649</t>
  </si>
  <si>
    <t>@NPR story...The End Of The Line For GM-Toyota Joint Venture http://bit.ly/aKMmzl</t>
  </si>
  <si>
    <t>2010-03-29T17:50:31.000Z</t>
  </si>
  <si>
    <t>https://x.com/Toyota/status/11113504662</t>
  </si>
  <si>
    <t>@mcflipper Hi there.  Do you mind direct messaging me your email?  We'll try to get to the bottom of this. Thanks. ^SD</t>
  </si>
  <si>
    <t>2010-03-26T22:38:32.000Z</t>
  </si>
  <si>
    <t>@paycheckreality</t>
  </si>
  <si>
    <t>@KenPlume</t>
  </si>
  <si>
    <t>https://x.com/Toyota/status/11096331902</t>
  </si>
  <si>
    <t>#FF #FollowFriday @Toyotaracing @tgplb2010 @SOSoCal @togethergreen</t>
  </si>
  <si>
    <t>2010-03-26T15:58:33.000Z</t>
  </si>
  <si>
    <t>https://x.com/Toyota/status/11095656282</t>
  </si>
  <si>
    <t>@airgates2k I'm eyeing the new Sienna as well. I've got twin boys that would eat up the new features. ^SD</t>
  </si>
  <si>
    <t>2010-03-26T15:45:05.000Z</t>
  </si>
  <si>
    <t>https://x.com/Toyota/status/11056734752</t>
  </si>
  <si>
    <t>@KenPlume Hi Ken. I'm replying...what's going on? ^SD</t>
  </si>
  <si>
    <t>2010-03-25T22:29:46.000Z</t>
  </si>
  <si>
    <t>https://x.com/Toyota/status/11051706029</t>
  </si>
  <si>
    <t>Toyota’s free teen driver safety program will be held in Phoenix May 1-2. Register at www.toyotadrivingexpectations.com</t>
  </si>
  <si>
    <t>2010-03-25T20:25:48.000Z</t>
  </si>
  <si>
    <t>https://x.com/Toyota/status/10992492708</t>
  </si>
  <si>
    <t>@BonnieFuller Hi Bonnie. Can you DM me your contact info (phone/email)? Love to help out with this.</t>
  </si>
  <si>
    <t>2010-03-24T18:43:01.000Z</t>
  </si>
  <si>
    <t>@BonnieFuller</t>
  </si>
  <si>
    <t>https://x.com/Toyota/status/10945562907</t>
  </si>
  <si>
    <t>For those who've asked about the Brake Override System, here's a fact sheet (PDF format) http://bit.ly/bOwPaP</t>
  </si>
  <si>
    <t>2010-03-23T21:49:39.000Z</t>
  </si>
  <si>
    <t>https://x.com/Toyota/status/10945395337</t>
  </si>
  <si>
    <t>Statement on replacing accelerator pedals http://bit.ly/7uRDv6</t>
  </si>
  <si>
    <t>2010-03-23T21:45:29.000Z</t>
  </si>
  <si>
    <t>@blatantlybianca</t>
  </si>
  <si>
    <t>@ShearShareCEO</t>
  </si>
  <si>
    <t>https://x.com/Toyota/status/10930914115</t>
  </si>
  <si>
    <t>@BonnieFuller Hi Bonnie. Have you contacted our Customer Experience Center? 800-331-4331</t>
  </si>
  <si>
    <t>2010-03-23T15:42:32.000Z</t>
  </si>
  <si>
    <t>https://x.com/Toyota/status/10887438443</t>
  </si>
  <si>
    <t>Statement on Harrison, N.Y. Incident http://bit.ly/aL4Qtm</t>
  </si>
  <si>
    <t>2010-03-22T19:40:43.000Z</t>
  </si>
  <si>
    <t>https://x.com/Toyota/status/10878912981</t>
  </si>
  <si>
    <t>@Mallikarjunan Hi Sam...totally agree...probably my favorite concept we've put out. ^SD</t>
  </si>
  <si>
    <t>2010-03-22T16:13:45.000Z</t>
  </si>
  <si>
    <t>@Mallikarjunan</t>
  </si>
  <si>
    <t>https://x.com/Toyota/status/10876613304</t>
  </si>
  <si>
    <t>Video: Top U.S. Toyota Electronics Engineer Details Extensive Testing Processes: http://bit.ly/cJsUkW</t>
  </si>
  <si>
    <t>2010-03-22T15:22:22.000Z</t>
  </si>
  <si>
    <t>https://x.com/Toyota/status/10640558591</t>
  </si>
  <si>
    <t>Regarding http://bit.ly/dCzpvb: We are taking every incident seriously &amp; actively listening to the many conversations about the recall.</t>
  </si>
  <si>
    <t>2010-03-17T21:56:39.000Z</t>
  </si>
  <si>
    <t>https://x.com/Toyota/status/10630632375</t>
  </si>
  <si>
    <t>Toyota's Bob Carter discusses the current recall situation and sales on CNBC http://bit.ly/9T35Zy</t>
  </si>
  <si>
    <t>2010-03-17T17:19:58.000Z</t>
  </si>
  <si>
    <t>https://x.com/Toyota/status/10630305099</t>
  </si>
  <si>
    <t>Vid: Tanner Foust drifts his Rockstar Energy Drink Scion TC Drift Car on legendary Mulholland Highway http://bit.ly/bWy9OW</t>
  </si>
  <si>
    <t>2010-03-17T17:10:45.000Z</t>
  </si>
  <si>
    <t>https://x.com/Toyota/status/10580204298</t>
  </si>
  <si>
    <t>@CrisisBostonPR Wouldn't say we "attacked". We presented the facts/findings from our team. It's about setting the record straight.</t>
  </si>
  <si>
    <t>2010-03-16T17:50:49.000Z</t>
  </si>
  <si>
    <t>https://x.com/Toyota/status/10532367043</t>
  </si>
  <si>
    <t>2010-03-15T19:54:03.000Z</t>
  </si>
  <si>
    <t>https://x.com/Toyota/status/10531486977</t>
  </si>
  <si>
    <t>Live press conference on Toyota Prius findings on CNN: http://bit.ly/9tRBqi</t>
  </si>
  <si>
    <t>2010-03-15T19:30:11.000Z</t>
  </si>
  <si>
    <t>https://x.com/Toyota/status/10526660169</t>
  </si>
  <si>
    <t>@kellytoepke Hi Kelly. Not yet...coming in the near future.</t>
  </si>
  <si>
    <t>2010-03-15T17:21:20.000Z</t>
  </si>
  <si>
    <t>@kelly_hellwig</t>
  </si>
  <si>
    <t>https://x.com/Toyota/status/10394310460</t>
  </si>
  <si>
    <t>Video: Hybrid Vehicle Brake Override System http://bit.ly/dfljcx</t>
  </si>
  <si>
    <t>2010-03-12T23:00:44.000Z</t>
  </si>
  <si>
    <t>https://x.com/Toyota/status/10393847823</t>
  </si>
  <si>
    <t>Prius Vehicle Throttle and Brake Systems: Myth VS. Fact http://bit.ly/c5wIuJ</t>
  </si>
  <si>
    <t>2010-03-12T22:48:40.000Z</t>
  </si>
  <si>
    <t>https://x.com/Toyota/status/10393121347</t>
  </si>
  <si>
    <t>@PriusChat Drivers must use their best judgment, but we reco taking these actions in emergencies, not during normal operating conditions.</t>
  </si>
  <si>
    <t>2010-03-12T22:29:48.000Z</t>
  </si>
  <si>
    <t>https://x.com/Toyota/status/10389097963</t>
  </si>
  <si>
    <t>Toyota Clarifies the Facts About Event Data Recorders http://bit.ly/9jV2Po</t>
  </si>
  <si>
    <t>2010-03-12T20:43:20.000Z</t>
  </si>
  <si>
    <t>https://x.com/Toyota/status/10385240683</t>
  </si>
  <si>
    <t>Orange County, California, District Attorney Plans Civil Lawsuit http://bit.ly/9PNZ8I</t>
  </si>
  <si>
    <t>2010-03-12T19:00:17.000Z</t>
  </si>
  <si>
    <t>@AM_MikeFloyd</t>
  </si>
  <si>
    <t>@Wainainah</t>
  </si>
  <si>
    <t>https://x.com/Toyota/status/10379441783</t>
  </si>
  <si>
    <t>@superacid Good question. Here's the answer: http://bit.ly/cyo1SF</t>
  </si>
  <si>
    <t>2010-03-12T16:36:41.000Z</t>
  </si>
  <si>
    <t>@superacid</t>
  </si>
  <si>
    <t>https://x.com/Toyota/status/10379335547</t>
  </si>
  <si>
    <t>@gtc Nice. The latest images out of the Geneva Auto Show got me thinking about the FT-86 concept as well. http://bit.ly/9PfDnJ</t>
  </si>
  <si>
    <t>2010-03-12T16:34:11.000Z</t>
  </si>
  <si>
    <t>@gtc</t>
  </si>
  <si>
    <t>https://x.com/Toyota/status/10379131093</t>
  </si>
  <si>
    <t>@MommasintheHous Can't comment on future product decisions...but, I too would love that. ^SD</t>
  </si>
  <si>
    <t>2010-03-12T16:29:23.000Z</t>
  </si>
  <si>
    <t>@SusanYooLee</t>
  </si>
  <si>
    <t>https://x.com/Toyota/status/10378832404</t>
  </si>
  <si>
    <t>@Wainainah Why?</t>
  </si>
  <si>
    <t>2010-03-12T16:22:16.000Z</t>
  </si>
  <si>
    <t>https://x.com/Toyota/status/10378783756</t>
  </si>
  <si>
    <t>@ssmirnov Good to hear. Please keep in touch...we're not about to quit you either.</t>
  </si>
  <si>
    <t>2010-03-12T16:21:06.000Z</t>
  </si>
  <si>
    <t>@JeffSBartlett</t>
  </si>
  <si>
    <t>https://x.com/Toyota/status/10334974854</t>
  </si>
  <si>
    <t>2010-03-11T18:55:56.000Z</t>
  </si>
  <si>
    <t>https://x.com/Toyota/status/10329834594</t>
  </si>
  <si>
    <t>Thanks to those who have jumped in and given us feedback on the poll http://poll.fm/1oiug Helps drive our decisions.</t>
  </si>
  <si>
    <t>2010-03-11T16:42:12.000Z</t>
  </si>
  <si>
    <t>https://x.com/Toyota/status/10329728688</t>
  </si>
  <si>
    <t>@ssmirnov Thanks Stephanie. It's our pleasure. Let us know if you have any other questions. ^SD</t>
  </si>
  <si>
    <t>2010-03-11T16:39:40.000Z</t>
  </si>
  <si>
    <t>https://x.com/Toyota/status/10290430447</t>
  </si>
  <si>
    <t>Poll: Do you want more or less recall related info. on our @Toyota account? http://poll.fm/1oiug</t>
  </si>
  <si>
    <t>2010-03-10T21:49:14.000Z</t>
  </si>
  <si>
    <t>https://x.com/Toyota/status/10282944710</t>
  </si>
  <si>
    <t>Toyota named one of @DiversityInc's Top 50 Companies for Diversity http://bit.ly/aFMgNM</t>
  </si>
  <si>
    <t>2010-03-10T18:28:43.000Z</t>
  </si>
  <si>
    <t>https://x.com/Toyota/status/10281884508</t>
  </si>
  <si>
    <t>@mariansinopoli Hi Maria.  The best place to start is at www.toyota.com/recall.  Thanks. ^SD</t>
  </si>
  <si>
    <t>2010-03-10T18:00:18.000Z</t>
  </si>
  <si>
    <t>https://x.com/Toyota/status/10246711870</t>
  </si>
  <si>
    <t>@msciocia Thanks...I think. While sometimes painful, we are learning a lot. Better, stronger social media team to emerge. ^SD</t>
  </si>
  <si>
    <t>2010-03-10T00:47:42.000Z</t>
  </si>
  <si>
    <t>https://x.com/Toyota/status/10237656213</t>
  </si>
  <si>
    <t>Toyota Responds to Inaccurate Reports of Future Prius Recall for Floormat Entrapment http://bit.ly/diR8iP</t>
  </si>
  <si>
    <t>2010-03-09T21:02:20.000Z</t>
  </si>
  <si>
    <t>@Scobleizer</t>
  </si>
  <si>
    <t>https://x.com/Toyota/status/10228817745</t>
  </si>
  <si>
    <t>@Scobleizer Definitely a challenge...we'll leave it at that.</t>
  </si>
  <si>
    <t>2010-03-09T17:03:01.000Z</t>
  </si>
  <si>
    <t>https://x.com/Toyota/status/10187353442</t>
  </si>
  <si>
    <t>Coverage from today's webcast: Toyota hits back at David Gilbert's "no fault code" demonstration http://bit.ly/btfsvH via @therealautoblog</t>
  </si>
  <si>
    <t>2010-03-08T20:51:59.000Z</t>
  </si>
  <si>
    <t>https://x.com/Toyota/status/10187317624</t>
  </si>
  <si>
    <t>Coverage from today's webcast: @jalopnik The Mechanics Of ABC News' Unintended Toyota Acceleration Hoax http://bit.ly/cdyoWa</t>
  </si>
  <si>
    <t>2010-03-08T20:51:01.000Z</t>
  </si>
  <si>
    <t>https://x.com/Toyota/status/10183924700</t>
  </si>
  <si>
    <t>Hi @Leezell check out the newsroom link http://bit.ly/cdjoWT &amp; more info will be archived in the near future. ^DM</t>
  </si>
  <si>
    <t>2010-03-08T19:17:32.000Z</t>
  </si>
  <si>
    <t>https://x.com/Toyota/status/10183805465</t>
  </si>
  <si>
    <t>Exponent engineering info regarding Gilbert's claims now available on newsroom http://bit.ly/cdjoWT</t>
  </si>
  <si>
    <t>2010-03-08T19:14:17.000Z</t>
  </si>
  <si>
    <t>https://x.com/Toyota/status/10181532452</t>
  </si>
  <si>
    <t>Webcast: Engineers test Prof. Gilbert’s claims at 10:15 AM PT: http://bit.ly/dnLfLX</t>
  </si>
  <si>
    <t>2010-03-08T18:12:36.000Z</t>
  </si>
  <si>
    <t>@nippyjun</t>
  </si>
  <si>
    <t>https://x.com/Toyota/status/10034454754</t>
  </si>
  <si>
    <t>Toyota FT-86 concept gets a family-style welcome (via @therealautoblog) http://bit.ly/bOlc1n</t>
  </si>
  <si>
    <t>2010-03-05T17:46:47.000Z</t>
  </si>
  <si>
    <t>https://x.com/Toyota/status/10032830808</t>
  </si>
  <si>
    <t>Instead of lists of #FollowFriday, just want to thank all who have DM/chatted w/ us (positive and negative) during the recalls.</t>
  </si>
  <si>
    <t>2010-03-05T17:06:53.000Z</t>
  </si>
  <si>
    <t>https://x.com/Toyota/status/10032611111</t>
  </si>
  <si>
    <t>@nippyjun Hi there. Please visit www.buyatoyota.com or contact your local dealer for information.</t>
  </si>
  <si>
    <t>2010-03-05T17:01:46.000Z</t>
  </si>
  <si>
    <t>https://x.com/Toyota/status/10032281080</t>
  </si>
  <si>
    <t>@workim Hi there. S. California has more in stock and stock in S. Cal should continue to improve as we get closer to  summer.</t>
  </si>
  <si>
    <t>2010-03-05T16:53:51.000Z</t>
  </si>
  <si>
    <t>@workim</t>
  </si>
  <si>
    <t>https://x.com/Toyota/status/10009021918</t>
  </si>
  <si>
    <t>Toyota Evaluates Unintended Acceleration Complaints in Remedied Vehicles http://bit.ly/9YQ60t</t>
  </si>
  <si>
    <t>2010-03-05T04:33:32.000Z</t>
  </si>
  <si>
    <t>https://x.com/Toyota/status/9994000746</t>
  </si>
  <si>
    <t>@kesterallen Dear Kester, glad to hear you are unhurt. Appreciate the note. Take care.</t>
  </si>
  <si>
    <t>2010-03-04T22:31:08.000Z</t>
  </si>
  <si>
    <t>@kesterallen</t>
  </si>
  <si>
    <t>https://x.com/Toyota/status/9991818000</t>
  </si>
  <si>
    <t>@derreckmayer Hey Derreck. I checked it out...nice!  That your daily driver? ^SD</t>
  </si>
  <si>
    <t>2010-03-04T21:36:20.000Z</t>
  </si>
  <si>
    <t>@derreckbmayer</t>
  </si>
  <si>
    <t>https://x.com/Toyota/status/9991718786</t>
  </si>
  <si>
    <t>@lodinizfaria Hi there. Please visit the Toyota Brazil site http://bit.ly/asLN8z or call (0800 703-0206)</t>
  </si>
  <si>
    <t>2010-03-04T21:33:47.000Z</t>
  </si>
  <si>
    <t>https://x.com/Toyota/status/9985657599</t>
  </si>
  <si>
    <t>@AndreaVLewis Hi Andrea. Right...Twitter is great. We get some of the best insights (postitve and negative) from this platform.</t>
  </si>
  <si>
    <t>2010-03-04T18:50:58.000Z</t>
  </si>
  <si>
    <t>@thesarahyu</t>
  </si>
  <si>
    <t>https://x.com/Toyota/status/9959964469</t>
  </si>
  <si>
    <t>@ChrisPirillo Right on Chris...love the savings at the pump. Appreciate the loyalty. ^SD</t>
  </si>
  <si>
    <t>2010-03-04T05:09:40.000Z</t>
  </si>
  <si>
    <t>@ChrisPirillo</t>
  </si>
  <si>
    <t>https://x.com/Toyota/status/9959845187</t>
  </si>
  <si>
    <t>@sarahcandice Hi Sarah. I think so...I'll have to verify tomorrow.</t>
  </si>
  <si>
    <t>2010-03-04T05:06:05.000Z</t>
  </si>
  <si>
    <t>https://x.com/Toyota/status/9933039694</t>
  </si>
  <si>
    <t>Toyota Commits $250 Million to Support NUMMI Transition http://bit.ly/dip16m</t>
  </si>
  <si>
    <t>2010-03-03T17:32:02.000Z</t>
  </si>
  <si>
    <t>https://x.com/Toyota/status/9896540795</t>
  </si>
  <si>
    <t>@yeahthatskosher I have 140 characters and info. that people considering Toyota products would be interested in.</t>
  </si>
  <si>
    <t>2010-03-02T23:21:17.000Z</t>
  </si>
  <si>
    <t>@yeahthatskosher</t>
  </si>
  <si>
    <t>https://x.com/Toyota/status/9896373663</t>
  </si>
  <si>
    <t>@Ashley832 Thanks Ashley...let me know if your parents have any questions.</t>
  </si>
  <si>
    <t>2010-03-02T23:17:11.000Z</t>
  </si>
  <si>
    <t>https://x.com/Toyota/status/9893205986</t>
  </si>
  <si>
    <t>@yeahthatskosher You are correct sir...we have been handling various DMs today. Glad to offer info./support to our followers.</t>
  </si>
  <si>
    <t>2010-03-02T21:57:32.000Z</t>
  </si>
  <si>
    <t>https://x.com/Toyota/status/9892660481</t>
  </si>
  <si>
    <t>Toyota Announces March Sales Event http://bit.ly/9tVryL</t>
  </si>
  <si>
    <t>2010-03-02T21:43:16.000Z</t>
  </si>
  <si>
    <t>https://x.com/Toyota/status/9884785081</t>
  </si>
  <si>
    <t>Toyota Reports February Sales http://bit.ly/b1OUJm</t>
  </si>
  <si>
    <t>2010-03-02T18:07:14.000Z</t>
  </si>
  <si>
    <t>https://x.com/Toyota/status/9881820887</t>
  </si>
  <si>
    <t>Former U.S. Secretary of Transportation Rodney Slater to Lead Independent N.A. Quality Advisory Panel for Toyota http://bit.ly/9tVtZd</t>
  </si>
  <si>
    <t>2010-03-02T16:48:16.000Z</t>
  </si>
  <si>
    <t>https://x.com/Toyota/status/9880688459</t>
  </si>
  <si>
    <t>Yoshimi Inaba: Testimony to Senate Committee on Commerce, Science and Transportation http://bit.ly/ciwJG3</t>
  </si>
  <si>
    <t>2010-03-02T16:18:51.000Z</t>
  </si>
  <si>
    <t>https://x.com/Toyota/status/9880658569</t>
  </si>
  <si>
    <t>Shinichi Sasaki: Testimony to Senate Committee on Commerce, Science and Transportation http://bit.ly/bJtOOz</t>
  </si>
  <si>
    <t>2010-03-02T16:18:05.000Z</t>
  </si>
  <si>
    <t>https://x.com/Toyota/status/9880623348</t>
  </si>
  <si>
    <t>Takeshi Uchiyamada: Testimony to Senate Committee on Commerce, Science and Transportation http://bit.ly/dmhFv9</t>
  </si>
  <si>
    <t>2010-03-02T16:17:10.000Z</t>
  </si>
  <si>
    <t>https://x.com/Toyota/status/9855193744</t>
  </si>
  <si>
    <t>Limited Service Campaign for VVT-i Oil Line http://bit.ly/bouqR9</t>
  </si>
  <si>
    <t>2010-03-02T02:40:42.000Z</t>
  </si>
  <si>
    <t>https://x.com/Toyota/status/9838263187</t>
  </si>
  <si>
    <t>Insurance Institute for HWY Safety named Corolla and Scion xB as Top Safety Picks http://bit.ly/dypSWZ</t>
  </si>
  <si>
    <t>2010-03-01T19:33:40.000Z</t>
  </si>
  <si>
    <t>https://x.com/Toyota/status/9789607590</t>
  </si>
  <si>
    <t>Statement on Media Reports Regarding Internal Legal Memo http://bit.ly/a2OI0Y</t>
  </si>
  <si>
    <t>2010-02-28T20:08:00.000Z</t>
  </si>
  <si>
    <t>https://x.com/Toyota/status/9702604669</t>
  </si>
  <si>
    <t>Video: customer perspective on Toyota recall  http://bit.ly/aPNC2e</t>
  </si>
  <si>
    <t>2010-02-26T23:41:53.000Z</t>
  </si>
  <si>
    <t>https://x.com/Toyota/status/9698084929</t>
  </si>
  <si>
    <t>Toyota Extends Additional Services to all U.S. Toyota and Lexus Customers Affected by Recent Recalls http://bit.ly/bHkgbh</t>
  </si>
  <si>
    <t>2010-02-26T21:46:56.000Z</t>
  </si>
  <si>
    <t>https://x.com/Toyota/status/9697711219</t>
  </si>
  <si>
    <t>Toyota Statement on Letter From Chairman Towns http://bit.ly/912vnA</t>
  </si>
  <si>
    <t>2010-02-26T21:37:10.000Z</t>
  </si>
  <si>
    <t>@georgehabuki</t>
  </si>
  <si>
    <t>https://x.com/Toyota/status/9688787200</t>
  </si>
  <si>
    <t>Video Intw with Toyota engineer: How Toyota tests their vehicles and electronics http://bit.ly/cGXyJe  ^DM</t>
  </si>
  <si>
    <t>2010-02-26T17:53:54.000Z</t>
  </si>
  <si>
    <t>https://x.com/Toyota/status/9639625510</t>
  </si>
  <si>
    <t>@jeffreyalles Thanks for the support!  We really appreciate it.  ^SMT</t>
  </si>
  <si>
    <t>2010-02-25T19:28:14.000Z</t>
  </si>
  <si>
    <t>@jeffreyalles</t>
  </si>
  <si>
    <t>https://x.com/Toyota/status/9603499264</t>
  </si>
  <si>
    <t>Clarification of Testimony Regarding Effectiveness of Recalls http://bit.ly/l01Ni</t>
  </si>
  <si>
    <t>2010-02-25T01:34:03.000Z</t>
  </si>
  <si>
    <t>https://x.com/Toyota/status/9590327254</t>
  </si>
  <si>
    <t>@Dread3 Not all letters have gone out. If u haven't rec'd a lttr &amp; don't know if yr veh is affected, enter yr VIN here http://bit.ly/cIOQur</t>
  </si>
  <si>
    <t>2010-02-24T20:03:47.000Z</t>
  </si>
  <si>
    <t>@Dread3</t>
  </si>
  <si>
    <t>https://x.com/Toyota/status/9588224008</t>
  </si>
  <si>
    <t>Toyota USA Hosted Electronic Throttle Control Webinar: find videos &amp; transcript at http://bit.ly/9NyHJb</t>
  </si>
  <si>
    <t>2010-02-24T19:04:38.000Z</t>
  </si>
  <si>
    <t>https://x.com/Toyota/status/9584932838</t>
  </si>
  <si>
    <t>Toyota to Provide Additional Services to New York Customers Affected by Recent Recalls http://bit.ly/cnoGng</t>
  </si>
  <si>
    <t>2010-02-24T17:32:30.000Z</t>
  </si>
  <si>
    <t>https://x.com/Toyota/status/9584607249</t>
  </si>
  <si>
    <t>Yoshimi Inaba: Testimony to House Committee on Oversight and Government Reform http://bit.ly/cMQAd2</t>
  </si>
  <si>
    <t>2010-02-24T17:23:43.000Z</t>
  </si>
  <si>
    <t>https://x.com/Toyota/status/9584574659</t>
  </si>
  <si>
    <t>Akio Toyoda: Testimony to House Committee on Oversight and Government Reform http://bit.ly/a51u2f</t>
  </si>
  <si>
    <t>2010-02-24T17:22:50.000Z</t>
  </si>
  <si>
    <t>https://x.com/Toyota/status/9545474642</t>
  </si>
  <si>
    <t>@blatantlybianca Hi Bianca. Go here to check your VIN: http://bit.ly/aNNCr4</t>
  </si>
  <si>
    <t>2010-02-23T22:18:28.000Z</t>
  </si>
  <si>
    <t>https://x.com/Toyota/status/9542854948</t>
  </si>
  <si>
    <t>Update: Our Work With Exponent http://bit.ly/cg0sau</t>
  </si>
  <si>
    <t>2010-02-23T21:11:36.000Z</t>
  </si>
  <si>
    <t>@Auto_Bird</t>
  </si>
  <si>
    <t>https://x.com/Toyota/status/9536648238</t>
  </si>
  <si>
    <t>James Lentz Testimony to House Committee on Energy and Commerce: read statement here http://bit.ly/cdjoWT</t>
  </si>
  <si>
    <t>2010-02-23T18:21:04.000Z</t>
  </si>
  <si>
    <t>https://x.com/Toyota/status/9507596916</t>
  </si>
  <si>
    <t>2010-02-23T02:55:57.000Z</t>
  </si>
  <si>
    <t>@katlacmah</t>
  </si>
  <si>
    <t>https://x.com/Toyota/status/9504607914</t>
  </si>
  <si>
    <t>Hi @OmarHenry @strawhatasif @Benne420 - What great stories about your vehicles. Thanks for sharing ^DM</t>
  </si>
  <si>
    <t>2010-02-23T01:42:52.000Z</t>
  </si>
  <si>
    <t>2010-02-23T01:41:38.000Z</t>
  </si>
  <si>
    <t>https://x.com/Toyota/status/9504556414</t>
  </si>
  <si>
    <t>@lanmanna I wish I could : )</t>
  </si>
  <si>
    <t>@lanmanna</t>
  </si>
  <si>
    <t>https://x.com/Toyota/status/9504510205</t>
  </si>
  <si>
    <t>@Lee873 glad you love the 06 RAV &amp; 05 Matrix. I drive a 2010 Yaris ; ) ^DM</t>
  </si>
  <si>
    <t>2010-02-23T01:40:30.000Z</t>
  </si>
  <si>
    <t>https://x.com/Toyota/status/9504461243</t>
  </si>
  <si>
    <t>Hey @FireCat_7 @emilianozv - Thank you for your comments. This is making a Monday less of a Monday. ; )</t>
  </si>
  <si>
    <t>2010-02-23T01:39:21.000Z</t>
  </si>
  <si>
    <t>@garthmansion</t>
  </si>
  <si>
    <t>https://x.com/Toyota/status/9504395273</t>
  </si>
  <si>
    <t>@Emily30075 Thanks ; )</t>
  </si>
  <si>
    <t>2010-02-23T01:37:46.000Z</t>
  </si>
  <si>
    <t>https://x.com/Toyota/status/9504356373</t>
  </si>
  <si>
    <t>@garthmansion Yes!</t>
  </si>
  <si>
    <t>2010-02-23T01:36:48.000Z</t>
  </si>
  <si>
    <t>https://x.com/Toyota/status/9504312582</t>
  </si>
  <si>
    <t>Hi there @SamInsalaco @htomborr @edwardjenkins This is amazing! Thank you for the encouraging comments.</t>
  </si>
  <si>
    <t>2010-02-23T01:35:42.000Z</t>
  </si>
  <si>
    <t>https://x.com/Toyota/status/9504209672</t>
  </si>
  <si>
    <t>Hi there @OffsetPhoto. Wow, we're getting some good owner comments today. ^DM</t>
  </si>
  <si>
    <t>2010-02-23T01:33:11.000Z</t>
  </si>
  <si>
    <t>https://x.com/Toyota/status/9504131784</t>
  </si>
  <si>
    <t>thanks @Conner_Man we are happy to hear that ; )</t>
  </si>
  <si>
    <t>2010-02-23T01:31:18.000Z</t>
  </si>
  <si>
    <t>https://x.com/Toyota/status/9503537845</t>
  </si>
  <si>
    <t>Hi @lanmanna thanks : )</t>
  </si>
  <si>
    <t>2010-02-23T01:17:13.000Z</t>
  </si>
  <si>
    <t>https://x.com/Toyota/status/9503438218</t>
  </si>
  <si>
    <t>@reefmedia Thanks for making my day with your comment! ^DM</t>
  </si>
  <si>
    <t>2010-02-23T01:14:47.000Z</t>
  </si>
  <si>
    <t>https://x.com/Toyota/status/9503402081</t>
  </si>
  <si>
    <t>Hi @NigerianOnDaGo @the1rep Happy to hear from you. ^DM</t>
  </si>
  <si>
    <t>2010-02-23T01:13:53.000Z</t>
  </si>
  <si>
    <t>https://x.com/Toyota/status/9503374707</t>
  </si>
  <si>
    <t>Hi @youtomama0307 There are real people behind the brand working to do right for our customers ^DM</t>
  </si>
  <si>
    <t>2010-02-23T01:13:12.000Z</t>
  </si>
  <si>
    <t>https://x.com/Toyota/status/9503286216</t>
  </si>
  <si>
    <t>Hi @PSTOC &amp; @autobotnate - Thanks for your support. : ) ^DM</t>
  </si>
  <si>
    <t>2010-02-23T01:11:03.000Z</t>
  </si>
  <si>
    <t>https://x.com/Toyota/status/9503250246</t>
  </si>
  <si>
    <t>@moniquefuruta Thank you! It's nice to get some positive feedback ; ) ^DM</t>
  </si>
  <si>
    <t>2010-02-23T01:10:11.000Z</t>
  </si>
  <si>
    <t>@monique_furuta</t>
  </si>
  <si>
    <t>https://x.com/Toyota/status/9503212239</t>
  </si>
  <si>
    <t>Thanks for sharing the kind words @Floridagordon : )</t>
  </si>
  <si>
    <t>2010-02-23T01:09:17.000Z</t>
  </si>
  <si>
    <t>https://x.com/Toyota/status/9503187833</t>
  </si>
  <si>
    <t>Hi @jennmui glad to hear it!</t>
  </si>
  <si>
    <t>2010-02-23T01:08:41.000Z</t>
  </si>
  <si>
    <t>https://x.com/Toyota/status/9503114959</t>
  </si>
  <si>
    <t>Toyota extends brake override feature on an expanded range of customers’ vehicles http://bit.ly/cIUHv8</t>
  </si>
  <si>
    <t>2010-02-23T01:06:54.000Z</t>
  </si>
  <si>
    <t>https://x.com/Toyota/status/9502766283</t>
  </si>
  <si>
    <t>Thanks @NigerianOnDaGo! That is nice to hear. : )</t>
  </si>
  <si>
    <t>2010-02-23T00:58:51.000Z</t>
  </si>
  <si>
    <t>https://x.com/Toyota/status/9502397228</t>
  </si>
  <si>
    <t>WSJ.com - Opinion: Back to Basics for Toyota http://on.wsj.com/bc1Tzd written by Akio Toyoda</t>
  </si>
  <si>
    <t>2010-02-23T00:49:56.000Z</t>
  </si>
  <si>
    <t>https://x.com/Toyota/status/9499680508</t>
  </si>
  <si>
    <t>Reading &amp; discussing @mashable Could the Toyota Recall Crisis be Helping the Brand? http://bit.ly/b3jeew post</t>
  </si>
  <si>
    <t>2010-02-22T23:44:50.000Z</t>
  </si>
  <si>
    <t>https://x.com/Toyota/status/9456543961</t>
  </si>
  <si>
    <t>Toyota statement re: documents shared with Congress http://bit.ly/cnmPSA</t>
  </si>
  <si>
    <t>2010-02-22T02:20:51.000Z</t>
  </si>
  <si>
    <t>@WineTwits</t>
  </si>
  <si>
    <t>https://x.com/Toyota/status/9304713264</t>
  </si>
  <si>
    <t>Statement from Akio Toyoda Responding to Invitation to Testify http://bit.ly/965Icf</t>
  </si>
  <si>
    <t>2010-02-18T22:35:08.000Z</t>
  </si>
  <si>
    <t>https://x.com/Toyota/status/9303747312</t>
  </si>
  <si>
    <t>@moiraop Hi Moira. Yes, we've seen that. Thanks.</t>
  </si>
  <si>
    <t>2010-02-18T22:12:19.000Z</t>
  </si>
  <si>
    <t>@moiraop</t>
  </si>
  <si>
    <t>https://x.com/Toyota/status/9303550488</t>
  </si>
  <si>
    <t>Toyota-sponsored U.S. athlete @ElenaHight has Olympic semis today at 4:00pm PT. Best of luck! Women’s Snowboard finals at 6pm PT</t>
  </si>
  <si>
    <t>2010-02-18T22:07:39.000Z</t>
  </si>
  <si>
    <t>https://x.com/Toyota/status/9294837883</t>
  </si>
  <si>
    <t>@CobraKai817 Thanks George.  That's always good to see.</t>
  </si>
  <si>
    <t>2010-02-18T18:21:19.000Z</t>
  </si>
  <si>
    <t>https://x.com/Toyota/status/9258418297</t>
  </si>
  <si>
    <t>@lindastrasberg The Toyota vehicles affected by the recall were made in plants located in North America &amp; Japan</t>
  </si>
  <si>
    <t>2010-02-18T00:12:28.000Z</t>
  </si>
  <si>
    <t>https://x.com/Toyota/status/9251507523</t>
  </si>
  <si>
    <t>@NealStewart Hi Neal. We have high confidence in our solution which has been rigorously tested.</t>
  </si>
  <si>
    <t>2010-02-17T21:15:54.000Z</t>
  </si>
  <si>
    <t>@NealStewart</t>
  </si>
  <si>
    <t>https://x.com/Toyota/status/9245082517</t>
  </si>
  <si>
    <t>@WineTwits we're following you back - feel free to DM us</t>
  </si>
  <si>
    <t>2010-02-17T18:25:25.000Z</t>
  </si>
  <si>
    <t>@TankaBar</t>
  </si>
  <si>
    <t>https://x.com/Toyota/status/9242760309</t>
  </si>
  <si>
    <t>Lookng forward to your arrival. RT @maxpapis Good day from Torrance heading to @toyota headquarters for motorsport day (@toyotaracing)</t>
  </si>
  <si>
    <t>2010-02-17T17:24:52.000Z</t>
  </si>
  <si>
    <t>https://x.com/Toyota/status/9191455752</t>
  </si>
  <si>
    <t>@Mocha333 2000 Corollas not involved in listed recalls. http://www.toyota.com/recall/</t>
  </si>
  <si>
    <t>2010-02-16T16:30:34.000Z</t>
  </si>
  <si>
    <t>@Mocha333</t>
  </si>
  <si>
    <t>@TheToyotaBlog</t>
  </si>
  <si>
    <t>https://x.com/Toyota/status/9079678239</t>
  </si>
  <si>
    <t>Update: Exponent Report on the Company’s Electronic Throttle Control System http://bit.ly/l01Ni</t>
  </si>
  <si>
    <t>2010-02-14T02:08:59.000Z</t>
  </si>
  <si>
    <t>@CharleyTerrito</t>
  </si>
  <si>
    <t>https://x.com/Toyota/status/9030171913</t>
  </si>
  <si>
    <t>Toyota Announces Voluntary Recall on 8,000 2010 Model Year Tacoma 4WD Trucks to Inspect the Front Drive Shaft http://bit.ly/bX4uQP</t>
  </si>
  <si>
    <t>2010-02-12T23:12:30.000Z</t>
  </si>
  <si>
    <t>@BerryLowman</t>
  </si>
  <si>
    <t>https://x.com/Toyota/status/9026750338</t>
  </si>
  <si>
    <t>Olympic opening ceremonies tonight! Cheer on Toyota Women’s Snowboarder @ElenaHight and wish her lots of luck!</t>
  </si>
  <si>
    <t>2010-02-12T21:35:56.000Z</t>
  </si>
  <si>
    <t>https://x.com/Toyota/status/9025079958</t>
  </si>
  <si>
    <t>@tswei_chen Our corporate @ToyotaRacing division is handling those tweets.</t>
  </si>
  <si>
    <t>2010-02-12T20:48:28.000Z</t>
  </si>
  <si>
    <t>https://x.com/Toyota/status/9024801624</t>
  </si>
  <si>
    <t>Heads up...the official @ToyotaRacing channel is now on Twitter. ^SD</t>
  </si>
  <si>
    <t>2010-02-12T20:40:30.000Z</t>
  </si>
  <si>
    <t>https://x.com/Toyota/status/9021255613</t>
  </si>
  <si>
    <t>Currently reading BusinessWeek article http://bit.ly/cdEE0T</t>
  </si>
  <si>
    <t>2010-02-12T18:59:41.000Z</t>
  </si>
  <si>
    <t>https://x.com/Toyota/status/8982734005</t>
  </si>
  <si>
    <t>Vid: Toyota reveals 2011 Avalon - Chicago Auto Show http://bit.ly/a1ePMx</t>
  </si>
  <si>
    <t>2010-02-11T23:22:14.000Z</t>
  </si>
  <si>
    <t>https://x.com/Toyota/status/8980397819</t>
  </si>
  <si>
    <t>@ecrabb Thanks Erin.</t>
  </si>
  <si>
    <t>2010-02-11T22:20:15.000Z</t>
  </si>
  <si>
    <t>https://x.com/Toyota/status/8977602432</t>
  </si>
  <si>
    <t>@ijmfx Thanks Jamie.  Appreciate the support. ^SD</t>
  </si>
  <si>
    <t>2010-02-11T21:04:13.000Z</t>
  </si>
  <si>
    <t>https://x.com/Toyota/status/8972705988</t>
  </si>
  <si>
    <t>Currently reading... @NPRnews: Despite Glitches, Electronics Make Cars Safer http://bit.ly/bUgrou</t>
  </si>
  <si>
    <t>2010-02-11T18:47:08.000Z</t>
  </si>
  <si>
    <t>https://x.com/Toyota/status/8923092174</t>
  </si>
  <si>
    <t>So far, our dealers have reinforced the accelerator pedal on more than 220K vehicles + now running at a pace of more than 50K units a day.</t>
  </si>
  <si>
    <t>2010-02-10T22:54:35.000Z</t>
  </si>
  <si>
    <t>https://x.com/Toyota/status/8915104723</t>
  </si>
  <si>
    <t>Toyota USA VP Bob Carter speaks to CNBC's Phil LeBeau http://bit.ly/cHMv1m</t>
  </si>
  <si>
    <t>2010-02-10T19:27:26.000Z</t>
  </si>
  <si>
    <t>https://x.com/Toyota/status/8914706354</t>
  </si>
  <si>
    <t>RT@PriusChat received access to 2010 Prius brake ECU software update yesterday. we have some info &amp; video to share http://bit.ly/bOOqJj</t>
  </si>
  <si>
    <t>2010-02-10T19:17:14.000Z</t>
  </si>
  <si>
    <t>https://x.com/Toyota/status/8911593671</t>
  </si>
  <si>
    <t>2010-02-10T17:57:24.000Z</t>
  </si>
  <si>
    <t>https://x.com/Toyota/status/8909031633</t>
  </si>
  <si>
    <t>Toyota USA Group VP &amp; GM, Bob Carter speaks at 2010 Chicago Auto Show http://bit.ly/cx6Gd6</t>
  </si>
  <si>
    <t>2010-02-10T16:53:35.000Z</t>
  </si>
  <si>
    <t>https://x.com/Toyota/status/8881597339</t>
  </si>
  <si>
    <t>Hi @jrob350 - Thank you kindly ; ) ^DM</t>
  </si>
  <si>
    <t>2010-02-10T01:51:08.000Z</t>
  </si>
  <si>
    <t>https://x.com/Toyota/status/8881544708</t>
  </si>
  <si>
    <t>RT@caroniclea Just scheduled my #Prius brake software upgrade! Dont worry @3GenPrius &amp; @Toyota, I still believe in you and appreciate 50MPG!</t>
  </si>
  <si>
    <t>2010-02-10T01:49:47.000Z</t>
  </si>
  <si>
    <t>https://x.com/Toyota/status/8881257899</t>
  </si>
  <si>
    <t>@Lourdesauria79 2009-2010 VENZA is affected by floormat recall http://www.toyota.com/recall/floormat.html  &amp; still a great vehicle ^DM</t>
  </si>
  <si>
    <t>2010-02-10T01:42:16.000Z</t>
  </si>
  <si>
    <t>@Lourdesauria79</t>
  </si>
  <si>
    <t>https://x.com/Toyota/status/8881146892</t>
  </si>
  <si>
    <t>Thanks @wendys1017 - that's nice of you.</t>
  </si>
  <si>
    <t>2010-02-10T01:39:23.000Z</t>
  </si>
  <si>
    <t>https://x.com/Toyota/status/8881071837</t>
  </si>
  <si>
    <t>@appifanie And continue to check the site for updates on the recall here http://www.toyota.com/recall/</t>
  </si>
  <si>
    <t>2010-02-10T01:37:24.000Z</t>
  </si>
  <si>
    <t>https://x.com/Toyota/status/8881038491</t>
  </si>
  <si>
    <t>@appifanie Letters are still going out to customers on the pedal recall. For floormat recall, remove mat &amp; await letter</t>
  </si>
  <si>
    <t>2010-02-10T01:36:31.000Z</t>
  </si>
  <si>
    <t>https://x.com/Toyota/status/8875064065</t>
  </si>
  <si>
    <t>@PriusChat Glad to hear that. Thanks.</t>
  </si>
  <si>
    <t>2010-02-09T23:00:37.000Z</t>
  </si>
  <si>
    <t>https://x.com/Toyota/status/8873772254</t>
  </si>
  <si>
    <t>Thanks @politicallogic @joeldpalmer! Don't give up on us - we are working hard to make this right.</t>
  </si>
  <si>
    <t>2010-02-09T22:26:20.000Z</t>
  </si>
  <si>
    <t>https://x.com/Toyota/status/8844741052</t>
  </si>
  <si>
    <t>2010-02-09T06:43:26.000Z</t>
  </si>
  <si>
    <t>https://x.com/Toyota/status/8844689185</t>
  </si>
  <si>
    <t>Toyota announces voluntary recall on 2010 model-year Prius and 2010 Lexus HS 250h vehicles to update ABS software http://bit.ly/ds2BRy</t>
  </si>
  <si>
    <t>2010-02-09T06:40:39.000Z</t>
  </si>
  <si>
    <t>https://x.com/Toyota/status/8836051454</t>
  </si>
  <si>
    <t>Toyota President Akio Toyoda authors op-ed piece in @WashingtonPost : http://bit.ly/9Oji6G</t>
  </si>
  <si>
    <t>2010-02-09T02:18:03.000Z</t>
  </si>
  <si>
    <t>@HannahElliott</t>
  </si>
  <si>
    <t>https://x.com/Toyota/status/8826548290</t>
  </si>
  <si>
    <t>Watch the LIVE @Digg Dialogg interview with Toyota U.S. President Jim Lentz starting now: http://diggdialogg.com</t>
  </si>
  <si>
    <t>2010-02-08T22:01:00.000Z</t>
  </si>
  <si>
    <t>https://x.com/Toyota/status/8818850947</t>
  </si>
  <si>
    <t>Go to @Digg Dialogg today at 2pm PST to watch Toyota U.S. Pres Jim Lentz answer Digg's questions http://bit.ly/bQw7Al</t>
  </si>
  <si>
    <t>2010-02-08T18:14:08.000Z</t>
  </si>
  <si>
    <t>@olgayefimova</t>
  </si>
  <si>
    <t>@ryanmoser</t>
  </si>
  <si>
    <t>@banovsky</t>
  </si>
  <si>
    <t>@juicegivesback</t>
  </si>
  <si>
    <t>https://x.com/Toyota/status/8686968353</t>
  </si>
  <si>
    <t>2010-02-05T17:58:41.000Z</t>
  </si>
  <si>
    <t>https://x.com/Toyota/status/8683806348</t>
  </si>
  <si>
    <t>Toyota dealers nationwide have begun fixing accelerator pedals on recalled vehicles http://bit.ly/a7CJnM</t>
  </si>
  <si>
    <t>2010-02-05T16:34:03.000Z</t>
  </si>
  <si>
    <t>https://x.com/Toyota/status/8683734507</t>
  </si>
  <si>
    <t>Toyota Motor Corporation President Akio Toyoda Announces Global Quality Task Force http://bit.ly/bAUdA5</t>
  </si>
  <si>
    <t>2010-02-05T16:32:08.000Z</t>
  </si>
  <si>
    <t>https://x.com/Toyota/status/8682931006</t>
  </si>
  <si>
    <t>Video: See a demo of the Toyota accelerator pedal fix: http://bit.ly/dq5P45</t>
  </si>
  <si>
    <t>2010-02-05T16:11:30.000Z</t>
  </si>
  <si>
    <t>https://x.com/Toyota/status/8671827029</t>
  </si>
  <si>
    <t>Toyota USA President J.Lentz talks about the sticking accelerator pedal recall. See demo of the fix here: http://bit.ly/dq5P45</t>
  </si>
  <si>
    <t>2010-02-05T10:24:11.000Z</t>
  </si>
  <si>
    <t>@txfreedomchick</t>
  </si>
  <si>
    <t>https://x.com/Toyota/status/8645240961</t>
  </si>
  <si>
    <t>@BreakingNews Toyota hasn't announced a Prius brake issue recall at this time. But Toyota is aware NHTSA has opened a prelim eval.</t>
  </si>
  <si>
    <t>2010-02-04T19:52:12.000Z</t>
  </si>
  <si>
    <t>@BreakingNews</t>
  </si>
  <si>
    <t>https://x.com/Toyota/status/8644529123</t>
  </si>
  <si>
    <t>Updated Statement From Toyota Regarding Prius Brake Issue http://bit.ly/bZEmWd</t>
  </si>
  <si>
    <t>2010-02-04T19:30:23.000Z</t>
  </si>
  <si>
    <t>https://x.com/Toyota/status/8640147246</t>
  </si>
  <si>
    <t>Statement From Toyota Regarding Prius Brake Issue http://bit.ly/bVcAH3</t>
  </si>
  <si>
    <t>2010-02-04T17:19:34.000Z</t>
  </si>
  <si>
    <t>@PatrickWorkman</t>
  </si>
  <si>
    <t>https://x.com/Toyota/status/8613713171</t>
  </si>
  <si>
    <t>Updated Customer FAQs Regarding the Sticking Accelerator Pedal and Floor Mat Pedal Entrapment Recalls http://bit.ly/aNxWLB</t>
  </si>
  <si>
    <t>2010-02-04T01:59:15.000Z</t>
  </si>
  <si>
    <t>https://x.com/Toyota/status/8596943832</t>
  </si>
  <si>
    <t>Toyota Statement on comments by Trans Secretary LaHood on Feb. 3, 2010 http://bit.ly/9WBwrY #toyotas</t>
  </si>
  <si>
    <t>2010-02-03T18:00:04.000Z</t>
  </si>
  <si>
    <t>https://x.com/Toyota/status/8596639138</t>
  </si>
  <si>
    <t>@annrafalko Read the info on the site www.toyota.com/recall. It advises owners.</t>
  </si>
  <si>
    <t>2010-02-03T17:50:55.000Z</t>
  </si>
  <si>
    <t>https://x.com/Toyota/status/8596589409</t>
  </si>
  <si>
    <t>@tbirdtiff thanks!</t>
  </si>
  <si>
    <t>2010-02-03T17:49:27.000Z</t>
  </si>
  <si>
    <t>@tbirdtiff</t>
  </si>
  <si>
    <t>https://x.com/Toyota/status/8596503936</t>
  </si>
  <si>
    <t>Fox News: LaHood Says Stop Driving Toyotas, DOT Says He Didn't Mean It http://bit.ly/9JoaQi</t>
  </si>
  <si>
    <t>2010-02-03T17:46:54.000Z</t>
  </si>
  <si>
    <t>https://x.com/Toyota/status/8596402075</t>
  </si>
  <si>
    <t>Bloomberg: Lahood Says Earlier Comment on Toyota Was ‘Misstatement’ http://bit.ly/9zhHj2</t>
  </si>
  <si>
    <t>2010-02-03T17:43:54.000Z</t>
  </si>
  <si>
    <t>@DOUGBONCZEK</t>
  </si>
  <si>
    <t>@bastasia</t>
  </si>
  <si>
    <t>https://x.com/Toyota/status/8596057366</t>
  </si>
  <si>
    <t>Ray LaHood says he misspoke when he said owners of recalled Toyota vehicles stop driving them. http://bit.ly/aCniq1</t>
  </si>
  <si>
    <t>2010-02-03T17:33:43.000Z</t>
  </si>
  <si>
    <t>@singlespeed</t>
  </si>
  <si>
    <t>https://x.com/Toyota/status/8568706643</t>
  </si>
  <si>
    <t>"I have a lot of prestigious cars but I prefer since ‘04 to drive my Priuses. I mean I luv this car." @stevewoz on CNN http://bit.ly/cXuDYv</t>
  </si>
  <si>
    <t>2010-02-03T01:56:05.000Z</t>
  </si>
  <si>
    <t>https://x.com/Toyota/status/8568559909</t>
  </si>
  <si>
    <t>“I believe they found the right solution.  If Toyota says it’s not electrical….” @stevewoz on CNN’s Situation Room http://bit.ly/cXuDYv</t>
  </si>
  <si>
    <t>2010-02-03T01:52:18.000Z</t>
  </si>
  <si>
    <t>https://x.com/Toyota/status/8552624404</t>
  </si>
  <si>
    <t>Thanks for the support Michael! RT@mw55 http://bit.ly/dbuzsY</t>
  </si>
  <si>
    <t>2010-02-02T18:28:51.000Z</t>
  </si>
  <si>
    <t>@dealerist</t>
  </si>
  <si>
    <t>@thrashmettler</t>
  </si>
  <si>
    <t>https://x.com/Toyota/status/8512486516</t>
  </si>
  <si>
    <t>Thanks everyone for the great questions! ^DM</t>
  </si>
  <si>
    <t>2010-02-01T20:28:38.000Z</t>
  </si>
  <si>
    <t>https://x.com/Toyota/status/8512432876</t>
  </si>
  <si>
    <t>Thanks to all who had questions for TMS President Jim Lentz today! We appreciate the interaction. ^SD</t>
  </si>
  <si>
    <t>2010-02-01T20:26:59.000Z</t>
  </si>
  <si>
    <t>https://x.com/Toyota/status/8512299341</t>
  </si>
  <si>
    <t>Thanks for joining us today. For more information about the recalls, visit www.toyota.com/recall. #lentz</t>
  </si>
  <si>
    <t>2010-02-01T20:22:52.000Z</t>
  </si>
  <si>
    <t>https://x.com/Toyota/status/8512269431</t>
  </si>
  <si>
    <t>@BerryLowman since 2004, we have had a teen driving education program in select markets for free. #lentz</t>
  </si>
  <si>
    <t>2010-02-01T20:21:57.000Z</t>
  </si>
  <si>
    <t>https://x.com/Toyota/status/8512213237</t>
  </si>
  <si>
    <t>@RobertKoesti No - and they're available for sale at dealerships today ; ) #lentz</t>
  </si>
  <si>
    <t>2010-02-01T20:20:13.000Z</t>
  </si>
  <si>
    <t>https://x.com/Toyota/status/8512161338</t>
  </si>
  <si>
    <t>@Mark_Kleis I have no knowledge of Denso pedals being recalled. #lentz</t>
  </si>
  <si>
    <t>2010-02-01T20:18:37.000Z</t>
  </si>
  <si>
    <t>@Mark_Kleis</t>
  </si>
  <si>
    <t>https://x.com/Toyota/status/8512066237</t>
  </si>
  <si>
    <t>@DOUGBONCZEK 2004 - 2009 is part of the floormat recall. #lentz</t>
  </si>
  <si>
    <t>2010-02-01T20:15:40.000Z</t>
  </si>
  <si>
    <t>https://x.com/Toyota/status/8512038080</t>
  </si>
  <si>
    <t>@MT_Floyd Yes. We are confident that the Denso pedals are ok #lentz</t>
  </si>
  <si>
    <t>2010-02-01T20:14:50.000Z</t>
  </si>
  <si>
    <t>https://x.com/Toyota/status/8511945177</t>
  </si>
  <si>
    <t>@HannahElliott I'm driving an RX Hybrid or my wife's recalled Prius #lentz</t>
  </si>
  <si>
    <t>2010-02-01T20:11:56.000Z</t>
  </si>
  <si>
    <t>https://x.com/Toyota/status/8511903337</t>
  </si>
  <si>
    <t>@singlespeed there have not been any incidences of electronic problems. The electronics have multiple fail-safe mechanisms built in. #lentz</t>
  </si>
  <si>
    <t>2010-02-01T20:10:37.000Z</t>
  </si>
  <si>
    <t>https://x.com/Toyota/status/8511790794</t>
  </si>
  <si>
    <t>@dealerist We're in the process of providing dealers more info. Some dealers are using effectively already. #lentz</t>
  </si>
  <si>
    <t>2010-02-01T20:07:06.000Z</t>
  </si>
  <si>
    <t>https://x.com/Toyota/status/8511729014</t>
  </si>
  <si>
    <t>@HannahElliott difficult to answer now. It wll be measured in months not weeks. We begin repairs this week &amp; have a better idea then #lentz</t>
  </si>
  <si>
    <t>2010-02-01T20:05:13.000Z</t>
  </si>
  <si>
    <t>https://x.com/Toyota/status/8511673700</t>
  </si>
  <si>
    <t>@raywert we believe if we do this right, customers will come back #lentz</t>
  </si>
  <si>
    <t>2010-02-01T20:03:33.000Z</t>
  </si>
  <si>
    <t>@raywert</t>
  </si>
  <si>
    <t>https://x.com/Toyota/status/8511653912</t>
  </si>
  <si>
    <t>@raywert starts with taking care of customers first on the current recall efforts &amp; we've built a lot of good will with customers.  #lentz</t>
  </si>
  <si>
    <t>2010-02-01T20:02:58.000Z</t>
  </si>
  <si>
    <t>https://x.com/Toyota/status/8511586174</t>
  </si>
  <si>
    <t>@dealerist we have a closed dealer network that we use to communicate directly to our dealers.  #lentz</t>
  </si>
  <si>
    <t>2010-02-01T20:00:58.000Z</t>
  </si>
  <si>
    <t>https://x.com/Toyota/status/8511540606</t>
  </si>
  <si>
    <t>@wileyccoyote because it's complex, please visit www.toyota.com/recall. Does not included Scion or Lexus  #lentz</t>
  </si>
  <si>
    <t>2010-02-01T19:59:41.000Z</t>
  </si>
  <si>
    <t>https://x.com/Toyota/status/8511442734</t>
  </si>
  <si>
    <t>Does anybody have a question for Jim Lentz? #lentz</t>
  </si>
  <si>
    <t>2010-02-01T19:56:37.000Z</t>
  </si>
  <si>
    <t>https://x.com/Toyota/status/8511404819</t>
  </si>
  <si>
    <t>Jim Lentz is with us on the channel right now. We'll try to get through as many questions as possible in the 20-min time frame. #lentz</t>
  </si>
  <si>
    <t>2010-02-01T19:55:25.000Z</t>
  </si>
  <si>
    <t>https://x.com/Toyota/status/8511272210</t>
  </si>
  <si>
    <t>@Beezernovrdrv use this hashtag #Lentz</t>
  </si>
  <si>
    <t>2010-02-01T19:51:14.000Z</t>
  </si>
  <si>
    <t>https://x.com/Toyota/status/8510987388</t>
  </si>
  <si>
    <t>Toyota President &amp; COO Jim Lentz will be taking questions on @Toyota today at 3:00 pm EST for 20 minutes. hashtag #Lentz</t>
  </si>
  <si>
    <t>2010-02-01T19:42:17.000Z</t>
  </si>
  <si>
    <t>https://x.com/Toyota/status/8510758780</t>
  </si>
  <si>
    <t>@Beezernovrdrv just @toyota will work.</t>
  </si>
  <si>
    <t>2010-02-01T19:35:13.000Z</t>
  </si>
  <si>
    <t>https://x.com/Toyota/status/8510123276</t>
  </si>
  <si>
    <t>@renzoferrer President &amp; COO of Toyota USA</t>
  </si>
  <si>
    <t>2010-02-01T19:15:51.000Z</t>
  </si>
  <si>
    <t>https://x.com/Toyota/status/8509584080</t>
  </si>
  <si>
    <t>2010-02-01T18:59:44.000Z</t>
  </si>
  <si>
    <t>https://x.com/Toyota/status/8509067921</t>
  </si>
  <si>
    <t>Toyota announces comprehensive plan to fix accelerator pedals http://bit.ly/9yZUt1 ^DM</t>
  </si>
  <si>
    <t>2010-02-01T18:43:57.000Z</t>
  </si>
  <si>
    <t>https://x.com/Toyota/status/8503456239</t>
  </si>
  <si>
    <t>@hokie15102 @toledonews @MSUScottW @RyanBolz Thnx for the RT's</t>
  </si>
  <si>
    <t>2010-02-01T16:00:07.000Z</t>
  </si>
  <si>
    <t>@hokie15102</t>
  </si>
  <si>
    <t>https://x.com/Toyota/status/8502609746</t>
  </si>
  <si>
    <t>Toyota FAQ for sticking accelerator pedal recall. Read it here:  http://bit.ly/ddRzhk  ^DM</t>
  </si>
  <si>
    <t>2010-02-01T15:36:29.000Z</t>
  </si>
  <si>
    <t>RT@todayshow: "This will be under control." - @Toyota president Jim Lentz spoke to Matt about the recall.Video: http://bit.ly/awU01P</t>
  </si>
  <si>
    <t>https://x.com/Toyota/status/8500466209</t>
  </si>
  <si>
    <t>2010-02-01T14:36:44.000Z</t>
  </si>
  <si>
    <t>https://x.com/Toyota/status/8500132712</t>
  </si>
  <si>
    <t>Thanks @kerel_cooper : ) ^DM</t>
  </si>
  <si>
    <t>2010-02-01T14:27:09.000Z</t>
  </si>
  <si>
    <t>https://x.com/Toyota/status/8498422128</t>
  </si>
  <si>
    <t>@misterp67 also check the site: www.toyota.com/recall  ^DM</t>
  </si>
  <si>
    <t>2010-02-01T13:35:00.000Z</t>
  </si>
  <si>
    <t>@misterp67</t>
  </si>
  <si>
    <t>https://x.com/Toyota/status/8498395103</t>
  </si>
  <si>
    <t>@misterp67 Camry, RAV4, Corolla and Highlander vehicles with VINs that begin with "J" are not affected by sticking accelerator pedal recall</t>
  </si>
  <si>
    <t>2010-02-01T13:34:07.000Z</t>
  </si>
  <si>
    <t>https://x.com/Toyota/status/8495998279</t>
  </si>
  <si>
    <t>Toyota FAQ: solution for sticking accelerator pedals. Read it here:  http://bit.ly/ddRzhk  ^DM</t>
  </si>
  <si>
    <t>2010-02-01T12:10:39.000Z</t>
  </si>
  <si>
    <t>https://x.com/Toyota/status/8495156823</t>
  </si>
  <si>
    <t>2010-02-01T11:36:23.000Z</t>
  </si>
  <si>
    <t>https://x.com/Toyota/status/8494908279</t>
  </si>
  <si>
    <t>New Toyota vid: President &amp; COO Lentz explains solution for sticking pedal. Watch it here http://bit.ly/a5BBsm ^DM</t>
  </si>
  <si>
    <t>2010-02-01T11:26:04.000Z</t>
  </si>
  <si>
    <t>https://x.com/Toyota/status/8434665841</t>
  </si>
  <si>
    <t>@kiki2574 Thanks for the retweets!  Much appreciated!</t>
  </si>
  <si>
    <t>2010-01-31T02:12:50.000Z</t>
  </si>
  <si>
    <t>@bewellinmotion</t>
  </si>
  <si>
    <t>https://x.com/Toyota/status/8429505655</t>
  </si>
  <si>
    <t>@andsolifebegins Just to be sure - see the link I sent http://www.toyota.com/recall/floormat.html</t>
  </si>
  <si>
    <t>2010-01-30T23:35:26.000Z</t>
  </si>
  <si>
    <t>https://x.com/Toyota/status/8429178734</t>
  </si>
  <si>
    <t>2 recalls: floormat recall? see http://bit.ly/aQ13Hs For recall overview see www.toyota.com/recall</t>
  </si>
  <si>
    <t>2010-01-30T23:24:51.000Z</t>
  </si>
  <si>
    <t>https://x.com/Toyota/status/8429078330</t>
  </si>
  <si>
    <t>@ack154 another good source of VIN info - thanks! ^DM</t>
  </si>
  <si>
    <t>2010-01-30T23:21:36.000Z</t>
  </si>
  <si>
    <t>@ack154</t>
  </si>
  <si>
    <t>https://x.com/Toyota/status/8429054623</t>
  </si>
  <si>
    <t>@andsolifebegins See floormat pg for instructions: http://bit.ly/aQ13Hs ^DM</t>
  </si>
  <si>
    <t>2010-01-30T23:20:53.000Z</t>
  </si>
  <si>
    <t>https://x.com/Toyota/status/8429000981</t>
  </si>
  <si>
    <t>@Chicken_TV @airgates2k @andsolifebegins @goonth thanks</t>
  </si>
  <si>
    <t>2010-01-30T23:19:10.000Z</t>
  </si>
  <si>
    <t>@B_5ive</t>
  </si>
  <si>
    <t>https://x.com/Toyota/status/8428954973</t>
  </si>
  <si>
    <t>2010-01-30T23:17:43.000Z</t>
  </si>
  <si>
    <t>https://x.com/Toyota/status/8428794836</t>
  </si>
  <si>
    <t>Need to find your vehicle VIN? Here's one easy location: twitpic http://bit.ly/ak4k0E ^DM</t>
  </si>
  <si>
    <t>2010-01-30T23:12:41.000Z</t>
  </si>
  <si>
    <t>https://x.com/Toyota/status/8428767576</t>
  </si>
  <si>
    <t>Camry, RAV4, Corolla and Highlander vehicles with VINs that begin with "J" are not affected by the sticking accelerator pedal recall.  ^DM</t>
  </si>
  <si>
    <t>2010-01-30T23:11:48.000Z</t>
  </si>
  <si>
    <t>https://x.com/Toyota/status/8428595384</t>
  </si>
  <si>
    <t>@photar @DaveTheStalker @JangoBear thx!</t>
  </si>
  <si>
    <t>2010-01-30T23:06:10.000Z</t>
  </si>
  <si>
    <t>@photar</t>
  </si>
  <si>
    <t>https://x.com/Toyota/status/8428528742</t>
  </si>
  <si>
    <t>@CharleyTerrito @kiki2574 @auto_alliance @goonth @judi0321 @DaveTheStalker Thanks for the RTs! ^DM</t>
  </si>
  <si>
    <t>2010-01-30T23:04:00.000Z</t>
  </si>
  <si>
    <t>https://x.com/Toyota/status/8428494979</t>
  </si>
  <si>
    <t>@photar not funny</t>
  </si>
  <si>
    <t>2010-01-30T23:02:54.000Z</t>
  </si>
  <si>
    <t>https://x.com/Toyota/status/8428486692</t>
  </si>
  <si>
    <t>@adamwohl Thanks!</t>
  </si>
  <si>
    <t>2010-01-30T23:02:37.000Z</t>
  </si>
  <si>
    <t>@adamwohl</t>
  </si>
  <si>
    <t>https://x.com/Toyota/status/8428030255</t>
  </si>
  <si>
    <t>2010-01-30T22:47:57.000Z</t>
  </si>
  <si>
    <t>https://x.com/Toyota/status/8427966910</t>
  </si>
  <si>
    <t>@renzoferrer @pairaces @andsolifebegins @mrshmrsh Thanks y gracias for the RT, kind words! Trying to get message out ^DM</t>
  </si>
  <si>
    <t>2010-01-30T22:45:53.000Z</t>
  </si>
  <si>
    <t>https://x.com/Toyota/status/8427851466</t>
  </si>
  <si>
    <t>@quickwit21 pls go to the website to see a list of affected vehicles www.toyota.com/recall ^DM</t>
  </si>
  <si>
    <t>2010-01-30T22:42:08.000Z</t>
  </si>
  <si>
    <t>https://x.com/Toyota/status/8427702373</t>
  </si>
  <si>
    <t>See up-to-date list of affected vehicles &amp; more recall info on Toyota's website. www.toyota.com/recall  ^DM</t>
  </si>
  <si>
    <t>2010-01-30T22:37:17.000Z</t>
  </si>
  <si>
    <t>https://x.com/Toyota/status/8391980792</t>
  </si>
  <si>
    <t>@MickiMaynard &amp; @nickbunkley Thanks ; )</t>
  </si>
  <si>
    <t>2010-01-30T01:01:02.000Z</t>
  </si>
  <si>
    <t>https://x.com/Toyota/status/8388555633</t>
  </si>
  <si>
    <t>Toyota response to AP story: statement on Toyota fix http://bit.ly/9yZUt1 ^DM</t>
  </si>
  <si>
    <t>2010-01-29T23:21:12.000Z</t>
  </si>
  <si>
    <t>https://x.com/Toyota/status/8387130518</t>
  </si>
  <si>
    <t>@Rich_Wall Camry, RAV 4, Corolla and Highlander vehicles w/ VINs that begin with "J" aren't affected by the sticking pedal recall.</t>
  </si>
  <si>
    <t>2010-01-29T22:39:32.000Z</t>
  </si>
  <si>
    <t>@Rich_Wall</t>
  </si>
  <si>
    <t>https://x.com/Toyota/status/8385776870</t>
  </si>
  <si>
    <t>We answer some questions that we see you're asking about the sticking accelerator pedal recall. http://bit.ly/aNrCwF</t>
  </si>
  <si>
    <t>2010-01-29T22:00:37.000Z</t>
  </si>
  <si>
    <t>@JapanFlorist</t>
  </si>
  <si>
    <t>https://x.com/Toyota/status/8349621981</t>
  </si>
  <si>
    <t>Hi @caramelbeauty2 Check out the newly updated FAQ - it may answer some questions http://bit.ly/a4pgqG ^DM</t>
  </si>
  <si>
    <t>2010-01-29T02:26:36.000Z</t>
  </si>
  <si>
    <t>https://x.com/Toyota/status/8349536959</t>
  </si>
  <si>
    <t>@JapanFlorist Thanks! Nice to hear. : ) ^DM</t>
  </si>
  <si>
    <t>2010-01-29T02:24:18.000Z</t>
  </si>
  <si>
    <t>https://x.com/Toyota/status/8349512149</t>
  </si>
  <si>
    <t>Hi @bkpatt check out the updated FAQ - 3 graphs down from the headline. http://bit.ly/a4pgqG  ^DM</t>
  </si>
  <si>
    <t>2010-01-29T02:23:37.000Z</t>
  </si>
  <si>
    <t>https://x.com/Toyota/status/8347780372</t>
  </si>
  <si>
    <t>@Thirteen11 Here's the latest statement http://bit.ly/9yZUt1</t>
  </si>
  <si>
    <t>2010-01-29T01:36:45.000Z</t>
  </si>
  <si>
    <t>@AliCollette</t>
  </si>
  <si>
    <t>https://x.com/Toyota/status/8346883104</t>
  </si>
  <si>
    <t>Latest Update: Toyota testing remedies http://bit.ly/9yZUt1</t>
  </si>
  <si>
    <t>2010-01-29T01:12:13.000Z</t>
  </si>
  <si>
    <t>@trackwrex</t>
  </si>
  <si>
    <t>https://x.com/Toyota/status/8294793203</t>
  </si>
  <si>
    <t>2010-01-27T21:18:09.000Z</t>
  </si>
  <si>
    <t>https://x.com/Toyota/status/8286222125</t>
  </si>
  <si>
    <t>If you are an owner of an affected vehicles, please take a look at the FAQ's about Sticking Pedal Recall http://bit.ly/8Bcp5e</t>
  </si>
  <si>
    <t>2010-01-27T17:09:12.000Z</t>
  </si>
  <si>
    <t>@ScottBradley</t>
  </si>
  <si>
    <t>https://x.com/Toyota/status/8265394198</t>
  </si>
  <si>
    <t>@caramelbeauty2 Please take a look at the FAQ's about the Sticking Pedal Recall for the answers to your questions http://bit.ly/8Bcp5e ^AT</t>
  </si>
  <si>
    <t>2010-01-27T04:03:12.000Z</t>
  </si>
  <si>
    <t>@MsMontreall</t>
  </si>
  <si>
    <t>https://x.com/Toyota/status/8253598478</t>
  </si>
  <si>
    <t>Toyota Temporarily Suspends Sales of Selected Vehicles http://bit.ly/PYAwH ^AT</t>
  </si>
  <si>
    <t>2010-01-26T22:36:21.000Z</t>
  </si>
  <si>
    <t>https://x.com/Toyota/status/8247041723</t>
  </si>
  <si>
    <t>@vmcmurch What building are you at? ^SD</t>
  </si>
  <si>
    <t>2010-01-26T19:21:47.000Z</t>
  </si>
  <si>
    <t>https://x.com/Toyota/status/8200390448</t>
  </si>
  <si>
    <t>@travisdj Hey Travis...go here to view pricing: http://bit.ly/7rufIs ^SD</t>
  </si>
  <si>
    <t>2010-01-25T17:49:38.000Z</t>
  </si>
  <si>
    <t>https://x.com/Toyota/status/8197257884</t>
  </si>
  <si>
    <t>@Eileenabeana Camry hybrids not affected by this. http://bit.ly/7uRDv6 ^SD</t>
  </si>
  <si>
    <t>2010-01-25T16:19:26.000Z</t>
  </si>
  <si>
    <t>@EMG612</t>
  </si>
  <si>
    <t>@blondedawn</t>
  </si>
  <si>
    <t>https://x.com/Toyota/status/8089141226</t>
  </si>
  <si>
    <t>We realize and apologize that our phone lines are very busy. We've just posted a FAQ page here: http://bit.ly/5mMT7c ^SD</t>
  </si>
  <si>
    <t>2010-01-22T23:33:34.000Z</t>
  </si>
  <si>
    <t>https://x.com/Toyota/status/8079013905</t>
  </si>
  <si>
    <t>@armrivas77 It's for North America. Thanks.</t>
  </si>
  <si>
    <t>2010-01-22T18:17:54.000Z</t>
  </si>
  <si>
    <t>@El_Rivas</t>
  </si>
  <si>
    <t>https://x.com/Toyota/status/8076072377</t>
  </si>
  <si>
    <t>@momwifewoman Please see the news release for that information: http://bit.ly/7uRDv6 Thanks.</t>
  </si>
  <si>
    <t>2010-01-22T16:52:45.000Z</t>
  </si>
  <si>
    <t>https://x.com/Toyota/status/8041963012</t>
  </si>
  <si>
    <t>NEWS: Toyota files voluntary safety recall on select Toyota Division vehicles for sticking accelerator pedal http://bit.ly/7uRDv6</t>
  </si>
  <si>
    <t>2010-01-21T21:19:39.000Z</t>
  </si>
  <si>
    <t>https://x.com/Toyota/status/7991133836</t>
  </si>
  <si>
    <t>@blondedawn Hi Dawn.  Here's a link to more background info. and demos for the FJ Cruiser: http://bit.ly/4MzNGb ^SD</t>
  </si>
  <si>
    <t>2010-01-20T16:30:30.000Z</t>
  </si>
  <si>
    <t>https://x.com/Toyota/status/7990902208</t>
  </si>
  <si>
    <t>@MyanRoser Hi Ryan. No. Prius' electronically controlled continuously variable transmission (ECVT) is standard = better mpg. ^SD</t>
  </si>
  <si>
    <t>2010-01-20T16:23:30.000Z</t>
  </si>
  <si>
    <t>https://x.com/Toyota/status/7990550592</t>
  </si>
  <si>
    <t>@kulpreetsingh Hi there.  Here's the official info. from Toyota Canada: http://bit.ly/6b6kWN ^SD</t>
  </si>
  <si>
    <t>2010-01-20T16:12:50.000Z</t>
  </si>
  <si>
    <t>@kulpreetsingh</t>
  </si>
  <si>
    <t>@Pistachio</t>
  </si>
  <si>
    <t>https://x.com/Toyota/status/7964427094</t>
  </si>
  <si>
    <t>@Pistachio @concern Toyota is ready to donate vehicles to help w/ relief in Haiti.  Working w/ Red Cross to determine needs and logistics.</t>
  </si>
  <si>
    <t>2010-01-19T23:34:37.000Z</t>
  </si>
  <si>
    <t>https://x.com/Toyota/status/7809677255</t>
  </si>
  <si>
    <t>Detroit News Reader's Choice Awards: Grooviest Car goes to Customized Scion xBs http://bit.ly/92Fyk6</t>
  </si>
  <si>
    <t>2010-01-16T01:23:32.000Z</t>
  </si>
  <si>
    <t>https://x.com/Toyota/status/7806565001</t>
  </si>
  <si>
    <t>RT @danieljackson8 I never thought I would say this but I love my wife's @Toyota Sienna! Pretty cool #MINIVAN ! (I won't tell anyone! ^SD)</t>
  </si>
  <si>
    <t>2010-01-15T23:41:03.000Z</t>
  </si>
  <si>
    <t>https://x.com/Toyota/status/7796151748</t>
  </si>
  <si>
    <t>Polk Announces 2009 Model Year Automotive Loyalty Award Winners http://bit.ly/7UB8l4 #Toyota #Lexus</t>
  </si>
  <si>
    <t>2010-01-15T18:03:07.000Z</t>
  </si>
  <si>
    <t>https://x.com/Toyota/status/7758903928</t>
  </si>
  <si>
    <t>Video: Take a look at a recap of what Kyle Busch was able to accomplish in 2009.  http://bit.ly/5iCmn0 #toyotaracing #toyota</t>
  </si>
  <si>
    <t>2010-01-14T19:41:55.000Z</t>
  </si>
  <si>
    <t>https://x.com/Toyota/status/7728545998</t>
  </si>
  <si>
    <t>Vid:Toyota 4Runner-From Rubicon to Baja: Ivan Stewart #Baja1000 Journal  http://bit.ly/6sfKR4 ^DM</t>
  </si>
  <si>
    <t>2010-01-14T00:36:59.000Z</t>
  </si>
  <si>
    <t>https://x.com/Toyota/status/7690886164</t>
  </si>
  <si>
    <t>TMS Chairman and CEO gives outlook for Toyota in 2010 and beyond at Automotive News World Congress http://bit.ly/6obY9k ^SD</t>
  </si>
  <si>
    <t>2010-01-13T01:09:11.000Z</t>
  </si>
  <si>
    <t>https://x.com/Toyota/status/7645883581</t>
  </si>
  <si>
    <t>@TheToyotaBlog Hi there: great question - we're talking about doing an online q&amp;a w/ FT-CH designers. Stay tuned! ^DM</t>
  </si>
  <si>
    <t>2010-01-11T22:42:04.000Z</t>
  </si>
  <si>
    <t>https://x.com/Toyota/status/7645656399</t>
  </si>
  <si>
    <t>Vid: Toyota reveals FT-CH hybrid concept at 2010 Detroit Auto Show - Highlights now on YouTube http://bit.ly/8iSU4A #NAIAS ^DM</t>
  </si>
  <si>
    <t>2010-01-11T22:35:01.000Z</t>
  </si>
  <si>
    <t>@freepautos</t>
  </si>
  <si>
    <t>https://x.com/Toyota/status/7635600503</t>
  </si>
  <si>
    <t>FT-CH Compact Hybrid Concept video from 2010 #NAIAS. http://bit.ly/8W6nVr  Visit http://www.SustainableMobility.com ^DM</t>
  </si>
  <si>
    <t>2010-01-11T17:00:18.000Z</t>
  </si>
  <si>
    <t>https://x.com/Toyota/status/7633217726</t>
  </si>
  <si>
    <t>For other news/info. coming out of the 2010 Detroit Auto Show...visit www.toyotanewsroom.com #NAIAS ^SD</t>
  </si>
  <si>
    <t>2010-01-11T15:42:52.000Z</t>
  </si>
  <si>
    <t>https://x.com/Toyota/status/7632792392</t>
  </si>
  <si>
    <t>Toyota Debuts New Auto Access Seat for Third-Gen 2011 Sienna #NAIAS http://bit.ly/4JDvOA</t>
  </si>
  <si>
    <t>2010-01-11T15:29:13.000Z</t>
  </si>
  <si>
    <t>https://x.com/Toyota/status/7632595668</t>
  </si>
  <si>
    <t>Visit www.SustainableMobility.com for info on adv technology vehicles including today’s speech, releases, images &amp; video. #NAIAS</t>
  </si>
  <si>
    <t>2010-01-11T15:22:50.000Z</t>
  </si>
  <si>
    <t>https://x.com/Toyota/status/7632563055</t>
  </si>
  <si>
    <t>The FT-CH compact hybrid concept, among others, is a vehicle Toyota is considering for the Prius Family strategy. #NAIAS</t>
  </si>
  <si>
    <t>2010-01-11T15:21:45.000Z</t>
  </si>
  <si>
    <t>https://x.com/Toyota/status/7632551378</t>
  </si>
  <si>
    <t>Toyota developing “Prius family” marketing strategy for N. America. It’s still taking shape &amp; will require additional models. #NAIAS</t>
  </si>
  <si>
    <t>2010-01-11T15:21:22.000Z</t>
  </si>
  <si>
    <t>https://x.com/Toyota/status/7632428923</t>
  </si>
  <si>
    <t>Check out the Toyota FT-CH compact hybrid concept. http://www.twitpic.com/xo31t http://www.twitpic.com/xo358 #NAIAS</t>
  </si>
  <si>
    <t>2010-01-11T15:17:26.000Z</t>
  </si>
  <si>
    <t>https://x.com/Toyota/status/7632159889</t>
  </si>
  <si>
    <t>Early this decade, Toyota will launch 8 all-new hybrid models that will not include next-gen versions of current hybrids. #NAIAS</t>
  </si>
  <si>
    <t>2010-01-11T15:08:48.000Z</t>
  </si>
  <si>
    <t>https://x.com/Toyota/status/7540916652</t>
  </si>
  <si>
    <t>Watch @toyota on Monday morning for news from #NAIAS including the debut of a dedicated hybrid concept. ^AT</t>
  </si>
  <si>
    <t>2010-01-09T01:44:27.000Z</t>
  </si>
  <si>
    <t>https://x.com/Toyota/status/7413307949</t>
  </si>
  <si>
    <t>Toyota Reports December and 2009 Sales: http://bit.ly/592knF ^SM</t>
  </si>
  <si>
    <t>2010-01-05T19:52:43.000Z</t>
  </si>
  <si>
    <t>https://x.com/Toyota/status/7412485323</t>
  </si>
  <si>
    <t>Hi April. I don't have any info. regarding this service. Please contact our Customer Experience Center (Phone: 800-331-4331) ^SD</t>
  </si>
  <si>
    <t>2010-01-05T19:23:03.000Z</t>
  </si>
  <si>
    <t>https://x.com/Toyota/status/7412082841</t>
  </si>
  <si>
    <t>@trackwrex Hi Rex. No news to report on Avalon at this time. Stay tuned. ^SD</t>
  </si>
  <si>
    <t>2010-01-05T19:08:31.000Z</t>
  </si>
  <si>
    <t>https://x.com/Toyota/status/7383650920</t>
  </si>
  <si>
    <t>@akadaf Checkin on the website... For account holders, they can call 800-874-8822, M-F, 8am to 8pm ^SD</t>
  </si>
  <si>
    <t>2010-01-04T23:50:26.000Z</t>
  </si>
  <si>
    <t>@akadaf</t>
  </si>
  <si>
    <t>https://x.com/Toyota/status/6983745895</t>
  </si>
  <si>
    <t>Hi @RyanTronovitch - thanks for the tweet &amp; glad to hear about the good experience. : ) Denise</t>
  </si>
  <si>
    <t>2009-12-24T01:39:18.000Z</t>
  </si>
  <si>
    <t>https://x.com/Toyota/status/6982631883</t>
  </si>
  <si>
    <t>RT@RyanTronovitch:My @Toyota Camry is finally down and out. It was a 1998 and was a great 12 years.Will never buy anything other thn Toyota</t>
  </si>
  <si>
    <t>2009-12-24T00:57:04.000Z</t>
  </si>
  <si>
    <t>https://x.com/Toyota/status/6982594216</t>
  </si>
  <si>
    <t>Hi there @Rschoenb - I checked the link and it seems to be working. Can you try it again? http://bit.ly/6aRRGc</t>
  </si>
  <si>
    <t>2009-12-24T00:55:38.000Z</t>
  </si>
  <si>
    <t>https://x.com/Toyota/status/6976559127</t>
  </si>
  <si>
    <t>Setting the record straight:Toyota answers LA Times’ questions here http://bit.ly/6aRRGc</t>
  </si>
  <si>
    <t>2009-12-23T21:04:39.000Z</t>
  </si>
  <si>
    <t>@mendozacc</t>
  </si>
  <si>
    <t>https://x.com/Toyota/status/6948169213</t>
  </si>
  <si>
    <t>Watching the Toyota 4Runner surf video again http://bit.ly/4Dr5nX ^DM</t>
  </si>
  <si>
    <t>2009-12-23T01:06:33.000Z</t>
  </si>
  <si>
    <t>https://x.com/Toyota/status/6910227880</t>
  </si>
  <si>
    <t>Check out the #Lexus #LF-Ch photo shoot video at Hollywood &amp; Highland http://bit.ly/7U1Kyk  ^DM</t>
  </si>
  <si>
    <t>2009-12-22T00:04:35.000Z</t>
  </si>
  <si>
    <t>https://x.com/Toyota/status/6907658705</t>
  </si>
  <si>
    <t>Updated Autoweek story on the all-new 2011 Toyota Sienna http://bit.ly/7lX5L2  ^DM</t>
  </si>
  <si>
    <t>2009-12-21T22:35:20.000Z</t>
  </si>
  <si>
    <t>https://x.com/Toyota/status/6899873497</t>
  </si>
  <si>
    <t>New photos of the #Lexus #LF-Ch from 12/19 photo shoot @HandHCenter. Check ‘em out on this Flickr acct: http://tinyurl.com/y9ff54y ^DM</t>
  </si>
  <si>
    <t>2009-12-21T17:38:54.000Z</t>
  </si>
  <si>
    <t>https://x.com/Toyota/status/6838790193</t>
  </si>
  <si>
    <t>It’s finally here! Tonight. The #Lexus #LF-Ch arrives for a photo shoot @HandHCenter http://www.hollywoodandhighland.com ^DM</t>
  </si>
  <si>
    <t>2009-12-19T20:31:28.000Z</t>
  </si>
  <si>
    <t>https://x.com/Toyota/status/6812352837</t>
  </si>
  <si>
    <t>Come and check-out the #Lexus #LF-Ch for its first public appearance outside of the #laautoshow on 12/19. Stay tuned for location! ^DM</t>
  </si>
  <si>
    <t>2009-12-18T23:40:09.000Z</t>
  </si>
  <si>
    <t>https://x.com/Toyota/status/6803393866</t>
  </si>
  <si>
    <t>Reading @therealautoblog's First Drive: 2011 Toyota Sienna http://bit.ly/4GImIo ^SD</t>
  </si>
  <si>
    <t>2009-12-18T17:57:29.000Z</t>
  </si>
  <si>
    <t>https://x.com/Toyota/status/6803132984</t>
  </si>
  <si>
    <t>@gtariff Very nice ride! Love it. ^SD</t>
  </si>
  <si>
    <t>2009-12-18T17:48:06.000Z</t>
  </si>
  <si>
    <t>@gtariff</t>
  </si>
  <si>
    <t>https://x.com/Toyota/status/6783233113</t>
  </si>
  <si>
    <t>The #Lexus #LF-Ch is appearing (in public!) at an “undisclosed” location for a photo shoot on Sat.12/19. Stay tuned for the 411! ^DM</t>
  </si>
  <si>
    <t>2009-12-18T02:24:46.000Z</t>
  </si>
  <si>
    <t>https://x.com/Toyota/status/6700197187</t>
  </si>
  <si>
    <t>Check out the latest issue of the Toyota Environmental Update http://bit.ly/647gll ^AT</t>
  </si>
  <si>
    <t>2009-12-15T16:16:14.000Z</t>
  </si>
  <si>
    <t>https://x.com/Toyota/status/6666765185</t>
  </si>
  <si>
    <t>Toyota to Debut Dedicated Hybrid Concept at 2010 North American International Auto Show http://bit.ly/4JP2eQ #NAIAS ^SD</t>
  </si>
  <si>
    <t>2009-12-14T16:54:10.000Z</t>
  </si>
  <si>
    <t>https://x.com/Toyota/status/6665844578</t>
  </si>
  <si>
    <t>@jimjfletcher Hi. Could you please contact the Toyota Customer Experience Center at 800-331-4331. That'd be the best place to start. ^SD</t>
  </si>
  <si>
    <t>2009-12-14T16:20:23.000Z</t>
  </si>
  <si>
    <t>@jimjfletcher</t>
  </si>
  <si>
    <t>https://x.com/Toyota/status/6665748331</t>
  </si>
  <si>
    <t>@TheToyotaBlog Median age is 38. tC brings in youngest median age buyer of 25 over the past 12 months. ^SD</t>
  </si>
  <si>
    <t>2009-12-14T16:16:55.000Z</t>
  </si>
  <si>
    <t>https://x.com/Toyota/status/6547984957</t>
  </si>
  <si>
    <t>@MarlonMartinez Hi Marlon. The FT-86 concept is not at the #laautoshow.</t>
  </si>
  <si>
    <t>2009-12-10T23:42:42.000Z</t>
  </si>
  <si>
    <t>https://x.com/Toyota/status/6541445911</t>
  </si>
  <si>
    <t>Join us in 20 mins for a live chat with Toyota execs discussing Toyota's N. American Environmental Report http://bit.ly/5kzyMF ^SD</t>
  </si>
  <si>
    <t>2009-12-10T19:42:33.000Z</t>
  </si>
  <si>
    <t>https://x.com/Toyota/status/6541056760</t>
  </si>
  <si>
    <t>Getting ready for our online chat with enviro execs Kevin Butt and Irv Miller in 30 minutes! http://tinyurl.com/y8ah5xp</t>
  </si>
  <si>
    <t>2009-12-10T19:28:08.000Z</t>
  </si>
  <si>
    <t>https://x.com/Toyota/status/6535382867</t>
  </si>
  <si>
    <t>RT @PriusChat: Come to "Toyota NA Enviro Report Chat" Today from 3:00 pm to 4:00 pm. Join us this afternoon for... http://bit.ly/5BeuY3</t>
  </si>
  <si>
    <t>2009-12-10T16:08:09.000Z</t>
  </si>
  <si>
    <t>https://x.com/Toyota/status/6514905608</t>
  </si>
  <si>
    <t>Laker fans: Shannon Brown will sign autographs in the Toyota space (South Hall) @ #LAAutoshow, tomorrow 12/10 from 7-8 pm Pacific ^DM</t>
  </si>
  <si>
    <t>2009-12-10T00:50:52.000Z</t>
  </si>
  <si>
    <t>https://x.com/Toyota/status/6505841355</t>
  </si>
  <si>
    <t>And The Top Gear Lexus LFA Track Time Is...? http://jalopnik.com/5422583/ #topgear #lexuslfa</t>
  </si>
  <si>
    <t>2009-12-09T19:25:54.000Z</t>
  </si>
  <si>
    <t>https://x.com/Toyota/status/6480071166</t>
  </si>
  <si>
    <t>Toyota Prius has been named to @WardsAuto 2010 10 Best Engines list. http://bit.ly/8ikwAJ #hybrid ^SD</t>
  </si>
  <si>
    <t>2009-12-09T00:24:55.000Z</t>
  </si>
  <si>
    <t>https://x.com/Toyota/status/6476807696</t>
  </si>
  <si>
    <t>Approx 30% of the interior and luggage areas of the Lexus HS 250h are covered w/Ecological Plastics: http://tinyurl.com/yc7d5df ^DS</t>
  </si>
  <si>
    <t>2009-12-08T22:17:33.000Z</t>
  </si>
  <si>
    <t>https://x.com/Toyota/status/6473248319</t>
  </si>
  <si>
    <t>A look into the design of the new Sienna @toyota US design studio in Southern California: http://bit.ly/8GJyeD (via @therealautoblog) ^SM</t>
  </si>
  <si>
    <t>2009-12-08T20:00:32.000Z</t>
  </si>
  <si>
    <t>https://x.com/Toyota/status/6436319761</t>
  </si>
  <si>
    <t>Toyota's 2009 North America Environmental Report is out today - view or download at http://tinyurl.com/yg3zvys ^DS</t>
  </si>
  <si>
    <t>2009-12-07T17:22:12.000Z</t>
  </si>
  <si>
    <t>https://x.com/Toyota/status/6345310000</t>
  </si>
  <si>
    <t>@TheToyotaBlog @tswei_chen We're working with our Toyota Racing peeps to develop a presence on this channel. Thanks for the ideas! ^SD</t>
  </si>
  <si>
    <t>2009-12-04T18:37:18.000Z</t>
  </si>
  <si>
    <t>https://x.com/Toyota/status/6343190647</t>
  </si>
  <si>
    <t>congrats to our friends at Audubon! RT @audubonsociety: Green design at new Audubon Center See video http://tinyurl.com/yg7k886</t>
  </si>
  <si>
    <t>2009-12-04T17:27:14.000Z</t>
  </si>
  <si>
    <t>https://x.com/Toyota/status/6277963441</t>
  </si>
  <si>
    <t>All-New Third-Generation Toyota Sienna Makes World Debut at #laautoshow http://bit.ly/6x2NLn Photos: http://bit.ly/4wfKVm ^SD</t>
  </si>
  <si>
    <t>2009-12-02T19:10:04.000Z</t>
  </si>
  <si>
    <t>https://x.com/Toyota/status/6274748640</t>
  </si>
  <si>
    <t>Kelley Blue Book Announces Winners of 2010 Best Resale Value Awards http://bit.ly/5RXN29 #toyota #lexus ^SM</t>
  </si>
  <si>
    <t>2009-12-02T17:07:05.000Z</t>
  </si>
  <si>
    <t>https://x.com/Toyota/status/6273822955</t>
  </si>
  <si>
    <t>2010 Prius Plug-in Hybrid Makes North American Debut at Los Angeles Auto Show http://bit.ly/59zLIb #Toyota #laautoshow ^AT</t>
  </si>
  <si>
    <t>2009-12-02T16:32:45.000Z</t>
  </si>
  <si>
    <t>https://x.com/Toyota/status/6273468351</t>
  </si>
  <si>
    <t>Check out www.priusphv.com for the latest info on the Toyota Prius Plug-In Hybrid Demonstration Program. ^AT</t>
  </si>
  <si>
    <t>2009-12-02T16:19:40.000Z</t>
  </si>
  <si>
    <t>https://x.com/Toyota/status/6242908293</t>
  </si>
  <si>
    <t>Toyota Reports November Sales: http://bit.ly/7Aa4yx   ^SM</t>
  </si>
  <si>
    <t>2009-12-01T18:35:37.000Z</t>
  </si>
  <si>
    <t>https://x.com/Toyota/status/6241625962</t>
  </si>
  <si>
    <t>DuPont Announces World's Most Popular Car Colors http://bit.ly/6906nN Silver really is the new black. What's your favorite? ^SD</t>
  </si>
  <si>
    <t>2009-12-01T17:46:47.000Z</t>
  </si>
  <si>
    <t>https://x.com/Toyota/status/6220164535</t>
  </si>
  <si>
    <t>Scion will show the 2010 xB Release Series 7.0 at the LA Auto Show. For more info http://bit.ly/4Ng3Gy ^DM</t>
  </si>
  <si>
    <t>2009-12-01T01:31:36.000Z</t>
  </si>
  <si>
    <t>https://x.com/Toyota/status/6054686342</t>
  </si>
  <si>
    <t>Toyota Announces Details of Remedy to Address Potential Accelerator Pedal Entrapment http://bit.ly/PYAwH ^SM</t>
  </si>
  <si>
    <t>2009-11-25T16:55:56.000Z</t>
  </si>
  <si>
    <t>https://x.com/Toyota/status/6048856049</t>
  </si>
  <si>
    <t>Toyota Announces Details of Remedy to Address Potential Accelerator Pedal Entrapment http://bit.ly/PYAwH ^AT</t>
  </si>
  <si>
    <t>2009-11-25T13:02:35.000Z</t>
  </si>
  <si>
    <t>https://x.com/Toyota/status/6020534748</t>
  </si>
  <si>
    <t>Toyota Announces Safety Recall on 2000 through 2003 Tundra Frame Rear Cross-Member http://bit.ly/5SqvT5 ^AT</t>
  </si>
  <si>
    <t>2009-11-24T21:57:22.000Z</t>
  </si>
  <si>
    <t>https://x.com/Toyota/status/6017376474</t>
  </si>
  <si>
    <t>Contrary to some news reports, Toyota is not planning a major restructure or relocation in North America: http://bit.ly/8ASlYU ^SM</t>
  </si>
  <si>
    <t>2009-11-24T19:55:18.000Z</t>
  </si>
  <si>
    <t>https://x.com/Toyota/status/5990114110</t>
  </si>
  <si>
    <t>Audubon-Toyota alliance picks 40 promising environmentalists for TogetherGreen Fellowships: http://tinyurl.com/ykpnqm7 ^DS</t>
  </si>
  <si>
    <t>2009-11-23T22:43:43.000Z</t>
  </si>
  <si>
    <t>https://x.com/Toyota/status/5959066759</t>
  </si>
  <si>
    <t>RT: Cars &amp; Coffee: Lexus LFA shows up ahead of LA Auto Show — Autoblog: http://bit.ly/8eyyn5 (via @therealautoblog)</t>
  </si>
  <si>
    <t>2009-11-22T23:28:21.000Z</t>
  </si>
  <si>
    <t>https://x.com/Toyota/status/5952481954</t>
  </si>
  <si>
    <t>Ivan Stewart at the awards ceremony for the 2009 Baja 1000. He placed the 4Runner 2nd in Stock Midsize. ^PW #baja1000 http://pic.gd/003ec3</t>
  </si>
  <si>
    <t>2009-11-22T19:02:15.000Z</t>
  </si>
  <si>
    <t>https://x.com/Toyota/status/5947663823</t>
  </si>
  <si>
    <t>4Runner #778 passed race-mile 105 @ 28MPH avg speed. Next they will climb to the 5500 ft summit of Cerro Grande. ^PW #baja1000</t>
  </si>
  <si>
    <t>2009-11-22T15:20:33.000Z</t>
  </si>
  <si>
    <t>https://x.com/Toyota/status/5947660036</t>
  </si>
  <si>
    <t>4 Runner's headed for fuel &amp; driver change @ RM397: Joe &amp; I will drive to RM502 to hand off to Ivan. ^PW #baja1000 http://pic.gd/ea6446</t>
  </si>
  <si>
    <t>2009-11-22T15:20:22.000Z</t>
  </si>
  <si>
    <t>https://x.com/Toyota/status/5935480061</t>
  </si>
  <si>
    <t>@LKMaxwell The 2010 4Runner is a great SUV...an off-road beast! Thanks for the tweet! ^SD</t>
  </si>
  <si>
    <t>2009-11-22T02:42:33.000Z</t>
  </si>
  <si>
    <t>https://x.com/Toyota/status/5933399611</t>
  </si>
  <si>
    <t>Ivan Stewart brings the 2010 4Runner in 2nd at the 2000 #Baja1000. ^PW http://pic.gd/f5cfc9</t>
  </si>
  <si>
    <t>2009-11-22T01:09:22.000Z</t>
  </si>
  <si>
    <t>https://x.com/Toyota/status/5933272349</t>
  </si>
  <si>
    <t>Ivan Stewart finishes the Baja 1000 in 29 hours, his 1st Baja since 2000. ^PW #baja1000 http://pic.gd/196be5</t>
  </si>
  <si>
    <t>2009-11-22T01:03:46.000Z</t>
  </si>
  <si>
    <t>https://x.com/Toyota/status/5932662172</t>
  </si>
  <si>
    <t>The 4Runner's headed for fuel &amp; driver change @ RM397: Joe Nolan &amp; I will drive to RM502 to hand off to Ivan. ^PW http://pic.gd/8539cd</t>
  </si>
  <si>
    <t>2009-11-22T00:36:33.000Z</t>
  </si>
  <si>
    <t>https://x.com/Toyota/status/5932569990</t>
  </si>
  <si>
    <t>Chased Ivan from the Pacific to Ojos Negros. ROUGH section! 4Runner is 23 miles from the finish line, running strong. #Baja1000 ^TM</t>
  </si>
  <si>
    <t>2009-11-22T00:32:26.000Z</t>
  </si>
  <si>
    <t>https://x.com/Toyota/status/5932359629</t>
  </si>
  <si>
    <t>Ivan is &lt; 30 mi from the finish, having made up many positions:  he is just 2 mi behind the class leader. ^PW #baja1000</t>
  </si>
  <si>
    <t>2009-11-22T00:22:58.000Z</t>
  </si>
  <si>
    <t>https://x.com/Toyota/status/5926830166</t>
  </si>
  <si>
    <t>At 11:23 we handed the 4Runne over to Ivan Stewart to bring it home to the finish in Ensenada. r ^PW #BAJA1000</t>
  </si>
  <si>
    <t>2009-11-21T20:06:31.000Z</t>
  </si>
  <si>
    <t>https://x.com/Toyota/status/5919878069</t>
  </si>
  <si>
    <t>4Runner just left Baja pit @ RM395. Welded up roll cage tube near upper shock mount, and changed a low tire. Joe and PW got in #Baja1000 ^TM</t>
  </si>
  <si>
    <t>2009-11-21T14:50:50.000Z</t>
  </si>
  <si>
    <t>https://x.com/Toyota/status/5919249815</t>
  </si>
  <si>
    <t>Baja Pits is welding the front suspension on #778. ^PW #baja1000</t>
  </si>
  <si>
    <t>2009-11-21T14:19:45.000Z</t>
  </si>
  <si>
    <t>https://x.com/Toyota/status/5918910486</t>
  </si>
  <si>
    <t>Check out the Lexus LFA on display at Cars &amp; Coffee this morning #LFA http://ow.ly/EfPt  ^SD</t>
  </si>
  <si>
    <t>2009-11-21T14:01:25.000Z</t>
  </si>
  <si>
    <t>https://x.com/Toyota/status/5917610022</t>
  </si>
  <si>
    <t>Ken &amp; Mark have had a long night in the #778 4Runner, but it's still running strong and looking good @ RM365.^PW #baja1000</t>
  </si>
  <si>
    <t>2009-11-21T12:41:20.000Z</t>
  </si>
  <si>
    <t>https://x.com/Toyota/status/5915852056</t>
  </si>
  <si>
    <t>4Runner made it through Matomi wash and now getting RM307.  #baja1000 ^TM</t>
  </si>
  <si>
    <t>2009-11-21T10:23:19.000Z</t>
  </si>
  <si>
    <t>https://x.com/Toyota/status/5915773851</t>
  </si>
  <si>
    <t>4Runner made it through Matomi wash and is getting gas at r</t>
  </si>
  <si>
    <t>2009-11-21T10:16:27.000Z</t>
  </si>
  <si>
    <t>https://x.com/Toyota/status/5914915987</t>
  </si>
  <si>
    <t>#778 was stuck in silt at race mile 260 for 2 hrs:  Ted Moncure drove in to help, and they're rolling now  ^PW #baja1000</t>
  </si>
  <si>
    <t>2009-11-21T09:02:31.000Z</t>
  </si>
  <si>
    <t>https://x.com/Toyota/status/5914316301</t>
  </si>
  <si>
    <t>The 4Runner is back moving at Race Mile 260. They got stuck in a deep rut in a silt bed but got themselves free.  #Baja1000 ^TM</t>
  </si>
  <si>
    <t>2009-11-21T08:13:22.000Z</t>
  </si>
  <si>
    <t>https://x.com/Toyota/status/5913495873</t>
  </si>
  <si>
    <t>See the 4Runner's course (#778). Go to the "Class 7" button and see where they are on the map: http://bit.ly/4tKHb6 #Baja1000 ^SD</t>
  </si>
  <si>
    <t>2009-11-21T07:10:58.000Z</t>
  </si>
  <si>
    <t>https://x.com/Toyota/status/5911803667</t>
  </si>
  <si>
    <t>4runner cleared pit 2 Running strong.  Bob/Zach got out and said silt beds are crazy.  Ken/Mark got in.  Next is Matomi wash. #baja1000 ^TM</t>
  </si>
  <si>
    <t>2009-11-21T05:23:33.000Z</t>
  </si>
  <si>
    <t>https://x.com/Toyota/status/5909051052</t>
  </si>
  <si>
    <t>The 2010 4Runner climbed the 5500' Cerro Grande summit just before sunset:  they're hitting the hi-speed. dry lake in the dark ^PW #baja1000</t>
  </si>
  <si>
    <t>2009-11-21T03:08:42.000Z</t>
  </si>
  <si>
    <t>https://x.com/Toyota/status/5904042121</t>
  </si>
  <si>
    <t>4Runner just passed us at Race Mile 102, Running strong.#Baja1000 ^TM</t>
  </si>
  <si>
    <t>2009-11-20T23:35:39.000Z</t>
  </si>
  <si>
    <t>https://x.com/Toyota/status/5900751268</t>
  </si>
  <si>
    <t>Here are some pics of the Baja 1000 Toyota 4Runner prototype build.  Good luck guys! http://bit.ly/7SdvG9 #Baja1000 ^SD</t>
  </si>
  <si>
    <t>2009-11-20T21:21:08.000Z</t>
  </si>
  <si>
    <t>https://x.com/Toyota/status/5898828934</t>
  </si>
  <si>
    <t>4Runner took the green flag, aired it out over the big jump in Ensenada wash. Bob Ditner driving, Zach Zwillinger is co-pilot. #Baja1000 ^TM</t>
  </si>
  <si>
    <t>2009-11-20T20:01:41.000Z</t>
  </si>
  <si>
    <t>https://x.com/Toyota/status/5894557732</t>
  </si>
  <si>
    <t>Ivan Stewart &amp; Bob Ditner @ the 4Runner doing interviews before the start of the #Baja1000. ^PW  http://pic.gd/2940ac</t>
  </si>
  <si>
    <t>2009-11-20T17:08:49.000Z</t>
  </si>
  <si>
    <t>https://x.com/Toyota/status/5893904227</t>
  </si>
  <si>
    <t>completing final system checks, preparing to start at 11am #Baja1000 ^TM</t>
  </si>
  <si>
    <t>2009-11-20T16:44:28.000Z</t>
  </si>
  <si>
    <t>https://x.com/Toyota/status/5891199203</t>
  </si>
  <si>
    <t>Beautiful sunny morning in Ensenada, motorcycle classes are running now; trucks start 3 hrs later. ^PW #baja1000 http://pic.gd/ec1cdc</t>
  </si>
  <si>
    <t>2009-11-20T15:03:11.000Z</t>
  </si>
  <si>
    <t>https://x.com/Toyota/status/5890060501</t>
  </si>
  <si>
    <t>Motorcycles begin to cross the start ramp @ 6AM, so everyone in Ensenada is awake. The 4Runner will start @ 11:05. ^PW #baja1000</t>
  </si>
  <si>
    <t>2009-11-20T14:20:35.000Z</t>
  </si>
  <si>
    <t>https://x.com/Toyota/status/5881232893</t>
  </si>
  <si>
    <t>Here's a foto of the crowd you drive thru to get to tech inspection for the #baja1000. ^PW http://pic.gd/472372</t>
  </si>
  <si>
    <t>2009-11-20T05:21:17.000Z</t>
  </si>
  <si>
    <t>https://x.com/Toyota/status/5877186277</t>
  </si>
  <si>
    <t>Our crew has &gt; dozen FJ Cruisers, 4Runners, Tundras &amp; Tacomas.  There are only 4 gas stations in all of northern Baja. ^TM #baja1000</t>
  </si>
  <si>
    <t>2009-11-20T02:25:28.000Z</t>
  </si>
  <si>
    <t>https://x.com/Toyota/status/5876681936</t>
  </si>
  <si>
    <t>Toyota's Paul Williamsen (^PW) is tweeting from the Baja 1000 w/ the 2010 4Runner and Ivan Stewart. ^SD #baja1000</t>
  </si>
  <si>
    <t>2009-11-20T02:05:56.000Z</t>
  </si>
  <si>
    <t>https://x.com/Toyota/status/5874570441</t>
  </si>
  <si>
    <t>The line to tech inspection goes thru a boulevard with half-a-million fans of desert racing. All of them recognize Ivan. ^PW #baja1000</t>
  </si>
  <si>
    <t>2009-11-20T00:45:08.000Z</t>
  </si>
  <si>
    <t>https://x.com/Toyota/status/5873951266</t>
  </si>
  <si>
    <t>We're in Ensenada MX w/ offroad legend Ivan Stewart &amp; the #778 2010 Toyota 4Runner.  We cleared tech inspection. ^TM #baja1000</t>
  </si>
  <si>
    <t>2009-11-20T00:21:10.000Z</t>
  </si>
  <si>
    <t>https://x.com/Toyota/status/5871349429</t>
  </si>
  <si>
    <t>Try out some fun Facebook games inspired by #Prius http://bit.ly/PKT7D ^SD</t>
  </si>
  <si>
    <t>2009-11-19T22:43:23.000Z</t>
  </si>
  <si>
    <t>https://x.com/Toyota/status/5841539672</t>
  </si>
  <si>
    <t>Jim Lentz presented Cars: Enriching Our Lives, Our Economy and Our Future at the Commonwealth Club in San Fran on 11/17 http://bit.ly/W4Olz</t>
  </si>
  <si>
    <t>2009-11-18T23:48:37.000Z</t>
  </si>
  <si>
    <t>https://x.com/Toyota/status/5832796764</t>
  </si>
  <si>
    <t>Toyota TAPESTRY grant recipient McDowell named Ky. Science Teacher of the Year http://bit.ly/3YVnWL</t>
  </si>
  <si>
    <t>2009-11-18T18:07:33.000Z</t>
  </si>
  <si>
    <t>https://x.com/Toyota/status/5830431730</t>
  </si>
  <si>
    <t>2010 IIHS Top Safety Pick Awards Tells Just Part of the Story http://bit.ly/1TZ8ks ^AT</t>
  </si>
  <si>
    <t>2009-11-18T16:33:44.000Z</t>
  </si>
  <si>
    <t>https://x.com/Toyota/status/5685641361</t>
  </si>
  <si>
    <t>Prius named "Best Mileage in America" in @PopSci "Best of What's New 2009" awards http://bit.ly/25yPhn #toyota @3genprius ^SD</t>
  </si>
  <si>
    <t>2009-11-13T17:41:25.000Z</t>
  </si>
  <si>
    <t>https://x.com/Toyota/status/5660789442</t>
  </si>
  <si>
    <t>Just loaded the new 2010 Lexus ES TV commercial to the YouTube channel. Check it out here http://bit.ly/36Yhse ^DM</t>
  </si>
  <si>
    <t>2009-11-12T21:51:23.000Z</t>
  </si>
  <si>
    <t>https://x.com/Toyota/status/5657429044</t>
  </si>
  <si>
    <t>@Bourbons3 Hi. Prius will never be a manual because it is an infinitely variable transmission - more efficient than manual. ^SD</t>
  </si>
  <si>
    <t>2009-11-12T19:35:04.000Z</t>
  </si>
  <si>
    <t>@Bourbons3</t>
  </si>
  <si>
    <t>https://x.com/Toyota/status/5656327184</t>
  </si>
  <si>
    <t>Just loaded Lexus vid featuring pro driver &amp; cancer survivor Joe Bacal:he competes in the Baja 1000 on Nov.19-22. http://bit.ly/1l8MiY ^DM</t>
  </si>
  <si>
    <t>2009-11-12T18:48:18.000Z</t>
  </si>
  <si>
    <t>https://x.com/Toyota/status/5626207005</t>
  </si>
  <si>
    <t>@olgayefimova Hi there. The Lexus augmented reality ads are only for the U.S. edition of Esquire. ^SD</t>
  </si>
  <si>
    <t>2009-11-11T18:50:20.000Z</t>
  </si>
  <si>
    <t>https://x.com/Toyota/status/5622287974</t>
  </si>
  <si>
    <t>Toyota Motor Sales, USA, Inc. Joins U.S. Environmental Protection Agency WasteWise Program http://bit.ly/30K2j7 ^AT</t>
  </si>
  <si>
    <t>2009-11-11T16:11:10.000Z</t>
  </si>
  <si>
    <t>https://x.com/Toyota/status/5596635609</t>
  </si>
  <si>
    <t>Video: Designers married creative vision and tech advances to develop Lexus' latest concept car, the LF-Ch http://bit.ly/3BJUmP ^SD</t>
  </si>
  <si>
    <t>2009-11-10T19:16:11.000Z</t>
  </si>
  <si>
    <t>https://x.com/Toyota/status/5596523762</t>
  </si>
  <si>
    <t>Video: The Lexus LFA in action -- V10 engine at work http://bit.ly/1QcuPw #LFA ^SD</t>
  </si>
  <si>
    <t>2009-11-10T19:11:30.000Z</t>
  </si>
  <si>
    <t>@arborday</t>
  </si>
  <si>
    <t>@EvelynKanter</t>
  </si>
  <si>
    <t>https://x.com/Toyota/status/5566836885</t>
  </si>
  <si>
    <t>All-New Third-Generation Toyota Sienna to Make World Debut at 2009 Los Angeles Auto Show. http://bit.ly/p6i8k #laautoshow ^SD</t>
  </si>
  <si>
    <t>2009-11-09T19:37:34.000Z</t>
  </si>
  <si>
    <t>https://x.com/Toyota/status/5537133371</t>
  </si>
  <si>
    <t>RT @JoeGibbsRacing: http://twitpic.com/ory36 - Kyle Busch's @mmsracing @Toyota is on the grid in Texas. #nascar</t>
  </si>
  <si>
    <t>2009-11-08T18:19:16.000Z</t>
  </si>
  <si>
    <t>@tim_oneil</t>
  </si>
  <si>
    <t>https://x.com/Toyota/status/5489067520</t>
  </si>
  <si>
    <t>Youthmobile 2030: 6 Crazy Cars for the Next Generation http://bit.ly/28datS #Toyota #LAAutoShow ( via @fastcompany )</t>
  </si>
  <si>
    <t>2009-11-06T21:10:37.000Z</t>
  </si>
  <si>
    <t>https://x.com/Toyota/status/5485582595</t>
  </si>
  <si>
    <t>VIDEO: Toyota NHRA Teams in the Countdown to One http://bit.ly/398X1V #toyotaracing #NHRA</t>
  </si>
  <si>
    <t>2009-11-06T18:38:50.000Z</t>
  </si>
  <si>
    <t>https://x.com/Toyota/status/5480480546</t>
  </si>
  <si>
    <t>Have you read our NA Enviro Report?  We'd love feedback: http://tinyurl.com/lluc6f  Haven't read it?  It's at: http://tinyurl.com/md4su8 ^DS</t>
  </si>
  <si>
    <t>2009-11-06T15:10:33.000Z</t>
  </si>
  <si>
    <t>https://x.com/Toyota/status/5424392180</t>
  </si>
  <si>
    <t>@calanan @Photo_John @stuartzero We're currently pulling the photos and will be in contact with each photography who was represented.</t>
  </si>
  <si>
    <t>2009-11-04T16:46:37.000Z</t>
  </si>
  <si>
    <t>https://x.com/Toyota/status/5405188685</t>
  </si>
  <si>
    <t>VIDEO: Update to voluntary safety recall related to floormats in Toyota &amp; Lexus vehicles http://bit.ly/NrZVg #toyota #lexus</t>
  </si>
  <si>
    <t>2009-11-03T23:33:01.000Z</t>
  </si>
  <si>
    <t>https://x.com/Toyota/status/5399403845</t>
  </si>
  <si>
    <t>Just uploaded 2009 Lexus SEMA showcase video to YouTube channel http://bit.ly/2Do34C ^DM #SEMA</t>
  </si>
  <si>
    <t>2009-11-03T19:28:41.000Z</t>
  </si>
  <si>
    <t>https://x.com/Toyota/status/5399128111</t>
  </si>
  <si>
    <t>Toyota USA posts October sales http://bit.ly/3hh4wh ^DM</t>
  </si>
  <si>
    <t>2009-11-03T19:16:30.000Z</t>
  </si>
  <si>
    <t>https://x.com/Toyota/status/5399075834</t>
  </si>
  <si>
    <t>Lexus like you've never seen it before. The LFA and five project cars heating it up at SEMA http://bit.ly/1u51IZ #SEMA ^SD</t>
  </si>
  <si>
    <t>2009-11-03T19:14:16.000Z</t>
  </si>
  <si>
    <t>https://x.com/Toyota/status/5398909319</t>
  </si>
  <si>
    <t>Just added the SEMA 2009 Toyota project vehicle set to our Flickr account: http://bit.ly/1qsvct ^SD #SEMA #toyota</t>
  </si>
  <si>
    <t>2009-11-03T19:07:04.000Z</t>
  </si>
  <si>
    <t>https://x.com/Toyota/status/5394900024</t>
  </si>
  <si>
    <t>RT @JoeGibbsRacing Picture of the new @Toyota Camry to be used in #NASCAR Nationwide Series next year: http://twitpic.com/o4iuw</t>
  </si>
  <si>
    <t>2009-11-03T16:16:36.000Z</t>
  </si>
  <si>
    <t>https://x.com/Toyota/status/5394862851</t>
  </si>
  <si>
    <t>@DearRobot What images are you referring to?</t>
  </si>
  <si>
    <t>2009-11-03T16:15:05.000Z</t>
  </si>
  <si>
    <t>@DearRobot</t>
  </si>
  <si>
    <t>https://x.com/Toyota/status/5371268361</t>
  </si>
  <si>
    <t>Toyota Begins Interim Notification to Owners Regarding Future Voluntary Safety Recall Related to Floor Mats http://bit.ly/PYAwH ^AT</t>
  </si>
  <si>
    <t>2009-11-02T19:54:19.000Z</t>
  </si>
  <si>
    <t>https://x.com/Toyota/status/5325443184</t>
  </si>
  <si>
    <t>Have a safe and happy Halloween! Drive safe...lots of little ones out tonight.</t>
  </si>
  <si>
    <t>2009-10-31T23:35:27.000Z</t>
  </si>
  <si>
    <t>https://x.com/Toyota/status/5300796596</t>
  </si>
  <si>
    <t>2009-10-30T23:23:49.000Z</t>
  </si>
  <si>
    <t>https://x.com/Toyota/status/5300763556</t>
  </si>
  <si>
    <t>2009-10-30T23:22:17.000Z</t>
  </si>
  <si>
    <t>https://x.com/Toyota/status/5272012155</t>
  </si>
  <si>
    <t>@FootballVegas Yep...we'll be there. ^SD</t>
  </si>
  <si>
    <t>2009-10-29T23:05:42.000Z</t>
  </si>
  <si>
    <t>@JenBoynton</t>
  </si>
  <si>
    <t>https://x.com/Toyota/status/5268599281</t>
  </si>
  <si>
    <t>RT @ConsumerReports 2009 Annual Auto Reliability Survey: Where Ford really stands http://bit.ly/4ttJlD ( #toyota #lexus #scion )</t>
  </si>
  <si>
    <t>2009-10-29T20:40:45.000Z</t>
  </si>
  <si>
    <t>https://x.com/Toyota/status/5243118829</t>
  </si>
  <si>
    <t>Start w/ Confidence:Toyota Financial adds more tools to help better understand car buying in tough times. http://bit.ly/3k5L71 ^DM</t>
  </si>
  <si>
    <t>2009-10-28T22:55:49.000Z</t>
  </si>
  <si>
    <t>https://x.com/Toyota/status/5242563346</t>
  </si>
  <si>
    <t>RT @raywert Oh, @Toyota, I LOVE what you do for us. Now you better watch out! http://bit.ly/3dUZ2J ;-) (We're watchin ya ^SD)</t>
  </si>
  <si>
    <t>2009-10-28T22:33:02.000Z</t>
  </si>
  <si>
    <t>https://x.com/Toyota/status/5241676679</t>
  </si>
  <si>
    <t>VIDEO:  New Prius iPhone App Unleashes Creativity in Times Square http://bit.ly/44O3x2 #Toyota #Prius ^SD</t>
  </si>
  <si>
    <t>2009-10-28T21:56:34.000Z</t>
  </si>
  <si>
    <t>https://x.com/Toyota/status/5234414753</t>
  </si>
  <si>
    <t>RT @PaughGinney @toyota I love this ad campaign - http://bit.ly/2pfgCg - You're thinking outside the box and I like that. (Thanks Ryan! ^SD)</t>
  </si>
  <si>
    <t>2009-10-28T16:37:05.000Z</t>
  </si>
  <si>
    <t>https://x.com/Toyota/status/5234207275</t>
  </si>
  <si>
    <t>RT @mashable See Your iPhone Drawings on a Times Square Billboard http://bit.ly/16l9TB #Prius #Toyota ^SD</t>
  </si>
  <si>
    <t>2009-10-28T16:28:23.000Z</t>
  </si>
  <si>
    <t>https://x.com/Toyota/status/5233827841</t>
  </si>
  <si>
    <t>Consumer Reports' reliability rankings by brand http://bit.ly/DTxrw #toyota #scion #lexus ^SD</t>
  </si>
  <si>
    <t>2009-10-28T16:12:29.000Z</t>
  </si>
  <si>
    <t>https://x.com/Toyota/status/5233775471</t>
  </si>
  <si>
    <t>RT @ConsumerReports 2009 Annual Car Reliability Survey – Who’s up and who’s down http://bit.ly/1wwHZe #toyota #scion #lexus ^SD</t>
  </si>
  <si>
    <t>2009-10-28T16:10:18.000Z</t>
  </si>
  <si>
    <t>https://x.com/Toyota/status/5203079202</t>
  </si>
  <si>
    <t>@PatrickWorkman Thanks Patrick.  We think it's pretty fun. ^SD</t>
  </si>
  <si>
    <t>2009-10-27T15:30:11.000Z</t>
  </si>
  <si>
    <t>https://x.com/Toyota/status/5182867670</t>
  </si>
  <si>
    <t>New Prius Experience App Now Available From App Store http://bit.ly/1oEP5z Get your drawing shown in Times Square. ^SD</t>
  </si>
  <si>
    <t>2009-10-26T21:07:56.000Z</t>
  </si>
  <si>
    <t>https://x.com/Toyota/status/5175694526</t>
  </si>
  <si>
    <t>@forrestgrant Hi Forrest. Please contact Toyota's Customer Experience Center for any questions you have regarding the advisory 800-331-4331</t>
  </si>
  <si>
    <t>2009-10-26T15:46:05.000Z</t>
  </si>
  <si>
    <t>@forrestgrant</t>
  </si>
  <si>
    <t>https://x.com/Toyota/status/5106715490</t>
  </si>
  <si>
    <t>Just loaded the new #Lexus #LFA spot on the youtube channel http://bit.ly/21qm6B ^DM</t>
  </si>
  <si>
    <t>2009-10-23T20:59:23.000Z</t>
  </si>
  <si>
    <t>https://x.com/Toyota/status/5101869619</t>
  </si>
  <si>
    <t>@Jalopnik takes a first drive in the Lexus LFA http://bit.ly/1L5Q1 #lexuslfa #jalopnikreviews ^SD</t>
  </si>
  <si>
    <t>2009-10-23T17:20:43.000Z</t>
  </si>
  <si>
    <t>https://x.com/Toyota/status/5100696369</t>
  </si>
  <si>
    <t>Great story about @arborday and the Tree Campus USA program! http://tinyurl.com/ygg6nbf</t>
  </si>
  <si>
    <t>2009-10-23T16:30:49.000Z</t>
  </si>
  <si>
    <t>https://x.com/Toyota/status/5082987160</t>
  </si>
  <si>
    <t>Kevin Sintumuang post on GQ blog #Lexus #LFA from the Miami press event http://bit.ly/2fsieB ^DM</t>
  </si>
  <si>
    <t>2009-10-22T23:44:16.000Z</t>
  </si>
  <si>
    <t>https://x.com/Toyota/status/5071665887</t>
  </si>
  <si>
    <t>Tokyo 2009: Cool As Ice: Japanese architect builds full-size transparent Lexus LFA http://bit.ly/49IZnn (via @therealautoblog) #LFA</t>
  </si>
  <si>
    <t>2009-10-22T15:27:58.000Z</t>
  </si>
  <si>
    <t>https://x.com/Toyota/status/5054482095</t>
  </si>
  <si>
    <t>RT @arborday Thanks to @toyota and the volunteers that make Tree Campus USA, and our tree planting events possible: http://su.pr/AqciN5</t>
  </si>
  <si>
    <t>2009-10-21T22:46:16.000Z</t>
  </si>
  <si>
    <t>https://x.com/Toyota/status/5049480060</t>
  </si>
  <si>
    <t>We're proud to support! RT @arborday: Tree planting event tom'w. Cornell, a new Tree Campus University, gets 50 trees. http://su.pr/2RCivo</t>
  </si>
  <si>
    <t>2009-10-21T18:42:20.000Z</t>
  </si>
  <si>
    <t>https://x.com/Toyota/status/5048250328</t>
  </si>
  <si>
    <t>Tickled pink over the Lexus LFA configurator http://bit.ly/1PRsoF (via @therealautoblog ) ^SD</t>
  </si>
  <si>
    <t>2009-10-21T17:30:48.000Z</t>
  </si>
  <si>
    <t>https://x.com/Toyota/status/5045943692</t>
  </si>
  <si>
    <t>@GeorgeAtha Just the LFA news today. Nothing else to report at this time. ^SD</t>
  </si>
  <si>
    <t>2009-10-21T15:20:39.000Z</t>
  </si>
  <si>
    <t>https://x.com/Toyota/status/5045721496</t>
  </si>
  <si>
    <t>Lexus LFA Supercar to Make N. American Debut at 2009 SEMA and L.A. Auto Shows http://bit.ly/3KfShM #LFA #Lexus ^SD</t>
  </si>
  <si>
    <t>2009-10-21T15:08:28.000Z</t>
  </si>
  <si>
    <t>https://x.com/Toyota/status/5036064749</t>
  </si>
  <si>
    <t>Calty presentation of the #Lexus #LF-Ch was amazing. Videos coming soon! ^DM</t>
  </si>
  <si>
    <t>2009-10-21T03:48:15.000Z</t>
  </si>
  <si>
    <t>https://x.com/Toyota/status/5035762594</t>
  </si>
  <si>
    <t>Tonight’s the night—#PKNOC w Tom Matsumoto + Edward Lee. http://bit.ly/mSTjT</t>
  </si>
  <si>
    <t>2009-10-21T03:33:17.000Z</t>
  </si>
  <si>
    <t>https://x.com/Toyota/status/5035233400</t>
  </si>
  <si>
    <t>Matsumoto+ Lee will soon take the stage, ready to present their inspiration for design work of #Lexus #concept car, the #LF-Ch ^DM</t>
  </si>
  <si>
    <t>2009-10-21T03:08:05.000Z</t>
  </si>
  <si>
    <t>https://x.com/Toyota/status/5034491866</t>
  </si>
  <si>
    <t>Here @Code for #PechaKucha_OC with Tom &amp; Edward—Calty designers of the #Lexus #LF-Ch. Excited to see their presentation. ^DM</t>
  </si>
  <si>
    <t>2009-10-21T02:33:33.000Z</t>
  </si>
  <si>
    <t>https://x.com/Toyota/status/5032466377</t>
  </si>
  <si>
    <t>Toyota First Automotive Manufacturer to Participate in SmartGridCity Project http://bit.ly/4Ex2CQ ^AT</t>
  </si>
  <si>
    <t>2009-10-21T01:02:39.000Z</t>
  </si>
  <si>
    <t>https://x.com/Toyota/status/5026320838</t>
  </si>
  <si>
    <t>Lexus of Las Vegas Becomes First LEED EB Gold Certified Dealership for Lexus and Nevada http://bit.ly/1JLm0A ^SD</t>
  </si>
  <si>
    <t>2009-10-20T20:11:29.000Z</t>
  </si>
  <si>
    <t>https://x.com/Toyota/status/5022401684</t>
  </si>
  <si>
    <t>Scion Night at Knott's Halloween Haunt: details available here http://bit.ly/1xX3HV Learn more about the Caravan, RSVP &amp; invite friends. ^DM</t>
  </si>
  <si>
    <t>2009-10-20T16:46:23.000Z</t>
  </si>
  <si>
    <t>https://x.com/Toyota/status/5022366947</t>
  </si>
  <si>
    <t>Scion Night at Knott’s ‘Scary’ Farm: check it out at http://bit.ly/2hbfOS ^DM</t>
  </si>
  <si>
    <t>2009-10-20T16:44:42.000Z</t>
  </si>
  <si>
    <t>https://x.com/Toyota/status/4999401836</t>
  </si>
  <si>
    <t>Experienced Pecha Kucha yet? Lexus designers (from Calty) will be among the presenters in OC tomorrow evening. http://bit.ly/v8KDp ^SD</t>
  </si>
  <si>
    <t>2009-10-19T20:14:46.000Z</t>
  </si>
  <si>
    <t>https://x.com/Toyota/status/4995798184</t>
  </si>
  <si>
    <t>@JenBoynton Please start here: http://bit.ly/100nm1 You can drop the text from your letter into this form.  Thanks.</t>
  </si>
  <si>
    <t>2009-10-19T17:23:18.000Z</t>
  </si>
  <si>
    <t>https://x.com/Toyota/status/4995464775</t>
  </si>
  <si>
    <t>@JenBoynton Hi Jen.  Please start by contacting our Customer Experience Center at 800-331-4331.  Thanks. ^SD</t>
  </si>
  <si>
    <t>2009-10-19T17:07:48.000Z</t>
  </si>
  <si>
    <t>https://x.com/Toyota/status/4926056437</t>
  </si>
  <si>
    <t>Photos: Images of the Prius Harmony Solar Flowers in Los Angeles - http://bit.ly/3lyJZW #toyota #prius @3genprius ^SD</t>
  </si>
  <si>
    <t>2009-10-16T21:04:52.000Z</t>
  </si>
  <si>
    <t>https://x.com/Toyota/status/4921518389</t>
  </si>
  <si>
    <t>Feds release 2010 Fuel Economy Guide, Prius still most miserly http://bit.ly/3ROlnR (via @therealautoblog) #Toyota ^SD</t>
  </si>
  <si>
    <t>2009-10-16T17:48:00.000Z</t>
  </si>
  <si>
    <t>https://x.com/Toyota/status/4898981255</t>
  </si>
  <si>
    <t>@gopacificmobile Thanks.  Will do. ^SD</t>
  </si>
  <si>
    <t>2009-10-15T21:25:22.000Z</t>
  </si>
  <si>
    <t>https://x.com/Toyota/status/4897241411</t>
  </si>
  <si>
    <t>Have you experienced Pecha Kucha yet?  Lexus designers (from Calty) will be among the presenters in OC on 10/20. http://bit.ly/v8KDp ^SD</t>
  </si>
  <si>
    <t>2009-10-15T20:02:14.000Z</t>
  </si>
  <si>
    <t>https://x.com/Toyota/status/4874297894</t>
  </si>
  <si>
    <t>VID: Meet Dan, Dave, @hollybeck27 and Nathan: real 4Runner owners who took the 2010 4Runner on a 48hr adventure http://bit.ly/4ypPEX ^SD</t>
  </si>
  <si>
    <t>2009-10-14T23:05:03.000Z</t>
  </si>
  <si>
    <t>https://x.com/Toyota/status/4871103159</t>
  </si>
  <si>
    <t>Great idea from Toyota partner Audubon and TogetherGreen in Baltimore : "Cash for Lawn Guzzlers" http://tinyurl.com/yf8orhk ^DS</t>
  </si>
  <si>
    <t>2009-10-14T20:38:22.000Z</t>
  </si>
  <si>
    <t>https://x.com/Toyota/status/4866125101</t>
  </si>
  <si>
    <t>Toyota Wants Prius Fans to Better The World, One Random Act at a Time http://bit.ly/3RqAZN @3genprius ^SD</t>
  </si>
  <si>
    <t>2009-10-14T16:49:21.000Z</t>
  </si>
  <si>
    <t>https://x.com/Toyota/status/4865776909</t>
  </si>
  <si>
    <t>RT @Jalopnik Toyota FT-86: Now With High-Res Mega-Gallery! ^SD</t>
  </si>
  <si>
    <t>2009-10-14T16:34:32.000Z</t>
  </si>
  <si>
    <t>https://x.com/Toyota/status/4865535849</t>
  </si>
  <si>
    <t>Lexus RX and Toyota 4Runner up for 2010 Motor Trend Sport/Utility of the Year http://bit.ly/IUHBZ</t>
  </si>
  <si>
    <t>2009-10-14T16:24:07.000Z</t>
  </si>
  <si>
    <t>https://x.com/Toyota/status/4818068123</t>
  </si>
  <si>
    <t>Lexus LF-A Sounds Awesome Even When Tested By Auto Journalists http://jalopnik.com/5379864 #newcars #lexuslfa via @jalopnik</t>
  </si>
  <si>
    <t>2009-10-12T21:35:11.000Z</t>
  </si>
  <si>
    <t>https://x.com/Toyota/status/4716853320</t>
  </si>
  <si>
    <t>Got trees?  College campuses across the U.S. will get more thanks to the Arbor Day Foundation: http://tinyurl.com/yzuoohu ^DS</t>
  </si>
  <si>
    <t>2009-10-08T21:00:24.000Z</t>
  </si>
  <si>
    <t>https://x.com/Toyota/status/4711155258</t>
  </si>
  <si>
    <t>48 Innovation Grants announced for the 2nd year of TogetherGreen, a Audubon-Toyota initiative: http://tinyurl.com/y8hjthl ^DS</t>
  </si>
  <si>
    <t>2009-10-08T15:43:06.000Z</t>
  </si>
  <si>
    <t>https://x.com/Toyota/status/4709982861</t>
  </si>
  <si>
    <t>Toyota Launches Highlander Production in Indiana http://bit.ly/pdSpb ^SD</t>
  </si>
  <si>
    <t>2009-10-08T14:33:04.000Z</t>
  </si>
  <si>
    <t>https://x.com/Toyota/status/4688829628</t>
  </si>
  <si>
    <t>@highmileage I'll stay in touch as I gather info. to share. Thanks. ^SD</t>
  </si>
  <si>
    <t>2009-10-07T18:39:44.000Z</t>
  </si>
  <si>
    <t>@highmileage</t>
  </si>
  <si>
    <t>https://x.com/Toyota/status/4684144338</t>
  </si>
  <si>
    <t>Five finalists announced for the 2010 Green Car of the Year  http://bit.ly/13hUXN #Toyota #Prius ^SD</t>
  </si>
  <si>
    <t>2009-10-07T15:11:27.000Z</t>
  </si>
  <si>
    <t>@microcarmag</t>
  </si>
  <si>
    <t>@raulm17</t>
  </si>
  <si>
    <t>https://x.com/Toyota/status/4638754685</t>
  </si>
  <si>
    <t>Toyota Launches New Corporate Advertising Campaign, Focusing on Company’s Commitment “Beyond Cars” http://bit.ly/tyzol</t>
  </si>
  <si>
    <t>2009-10-05T21:55:38.000Z</t>
  </si>
  <si>
    <t>https://x.com/Toyota/status/4629693415</t>
  </si>
  <si>
    <t>@tim_oneil Please call the Customer Experience Center at: 800-331-4331</t>
  </si>
  <si>
    <t>2009-10-05T15:04:24.000Z</t>
  </si>
  <si>
    <t>https://x.com/Toyota/status/4561506056</t>
  </si>
  <si>
    <t>@ShredderFeeder In order to follow up I need the case number/contact info. to provide to Toyota Customer Experience Center. Please DM that.</t>
  </si>
  <si>
    <t>2009-10-02T19:48:50.000Z</t>
  </si>
  <si>
    <t>https://x.com/Toyota/status/4557109490</t>
  </si>
  <si>
    <t>@ShredderFeeder Can you DM me any contact info./case file number you have?</t>
  </si>
  <si>
    <t>2009-10-02T16:47:43.000Z</t>
  </si>
  <si>
    <t>https://x.com/Toyota/status/4556268634</t>
  </si>
  <si>
    <t>@ShredderFeeder Have you opened a case with the Toyota Customer Experience Center? http://bit.ly/4cAEA</t>
  </si>
  <si>
    <t>2009-10-02T16:14:41.000Z</t>
  </si>
  <si>
    <t>https://x.com/Toyota/status/4531132922</t>
  </si>
  <si>
    <t>Toyota reports 2009 September Sales  http://bit.ly/2wNWHu ^DM</t>
  </si>
  <si>
    <t>2009-10-01T18:25:10.000Z</t>
  </si>
  <si>
    <t>https://x.com/Toyota/status/4505715613</t>
  </si>
  <si>
    <t>http://twitpic.com/jqy45 - Toyota's Irv Miller &amp; Chris Reynolds present keys to the first '10 Prius sold in CA to Linda Adams from Cal/E ...</t>
  </si>
  <si>
    <t>2009-09-30T20:02:03.000Z</t>
  </si>
  <si>
    <t>@GoAngelo</t>
  </si>
  <si>
    <t>https://x.com/Toyota/status/4480555436</t>
  </si>
  <si>
    <t>Toyota and Lexus Consumer Safety Advisory - Potential Floor Mat Interference with Accelerator Pedal: http://bit.ly/puEtg</t>
  </si>
  <si>
    <t>2009-09-29T21:34:41.000Z</t>
  </si>
  <si>
    <t>https://x.com/Toyota/status/4477767177</t>
  </si>
  <si>
    <t>Pew Center for Climate Change launches portal for corporate energy efficiency, funded by Toyota: http://tinyurl.com/y9n6g63</t>
  </si>
  <si>
    <t>2009-09-29T19:29:46.000Z</t>
  </si>
  <si>
    <t>https://x.com/Toyota/status/4455839403</t>
  </si>
  <si>
    <t>Toyota Financial Services launches 8yr/125K extended service plan http://tinyurl.com/yatqwge ^DM</t>
  </si>
  <si>
    <t>2009-09-28T23:28:49.000Z</t>
  </si>
  <si>
    <t>https://x.com/Toyota/status/4455656241</t>
  </si>
  <si>
    <t>The team from www.fourwheeler.com went along on the 4Runner Rubicon Trail trip...check out their footage: http://bit.ly/fe5OX ^SD</t>
  </si>
  <si>
    <t>2009-09-28T23:20:44.000Z</t>
  </si>
  <si>
    <t>https://x.com/Toyota/status/4455529851</t>
  </si>
  <si>
    <t>VIDEO: Watch the fifth generation 4Runner take on the Rubicon Trail http://bit.ly/EgqN2 #toyota #4Runner ^SD</t>
  </si>
  <si>
    <t>2009-09-28T23:15:14.000Z</t>
  </si>
  <si>
    <t>https://x.com/Toyota/status/4452944392</t>
  </si>
  <si>
    <t>@stopbeck We (Lexus) are not currently advertising on Glenn Beck.</t>
  </si>
  <si>
    <t>2009-09-28T21:19:48.000Z</t>
  </si>
  <si>
    <t>https://x.com/Toyota/status/4450910248</t>
  </si>
  <si>
    <t>@stopbeck FYI...Lexus is not advertising on Glenn Beck. @Afthought @sevenish @JackDeTate @ishtarmuz @dreaminghope @shh71 @EnviroChem</t>
  </si>
  <si>
    <t>2009-09-28T19:48:33.000Z</t>
  </si>
  <si>
    <t>https://x.com/Toyota/status/4380520105</t>
  </si>
  <si>
    <t>More National Public Lands Day news...Hundreds expected for cleanup effort near Station fire burn area http://bit.ly/14TOxv ^SD #NPLD</t>
  </si>
  <si>
    <t>2009-09-25T23:05:54.000Z</t>
  </si>
  <si>
    <t>RT @toyota4teachers Tomorrow is National Public Lands Day sponsored by @Toyota ! See how to get involved: http://bit.ly/1ANCqz!</t>
  </si>
  <si>
    <t>https://x.com/Toyota/status/4377240895</t>
  </si>
  <si>
    <t>2009-09-25T20:23:33.000Z</t>
  </si>
  <si>
    <t>https://x.com/Toyota/status/4374024804</t>
  </si>
  <si>
    <t>Toyota Announces Prices on Five 2010 Models Including All-New 4Runner http://bit.ly/lU4GV ^SD</t>
  </si>
  <si>
    <t>2009-09-25T17:54:37.000Z</t>
  </si>
  <si>
    <t>https://x.com/Toyota/status/4354096452</t>
  </si>
  <si>
    <t>@OFRD_GRL This is just for modified Lexus'. ^SD</t>
  </si>
  <si>
    <t>2009-09-24T23:10:59.000Z</t>
  </si>
  <si>
    <t>@UnaSchade</t>
  </si>
  <si>
    <t>https://x.com/Toyota/status/4353124498</t>
  </si>
  <si>
    <t>Lexus wants to show your mod Lexus at SEMA. Send 3 jpgs, mods, contact info to lexus.sema@teamone-usa.com. Rules http://tinyurl.com/yb5ldrz</t>
  </si>
  <si>
    <t>2009-09-24T22:25:32.000Z</t>
  </si>
  <si>
    <t>https://x.com/Toyota/status/4351981420</t>
  </si>
  <si>
    <t>Just added large 2010 4Runner playlist on YouTube. Includes series of new "how to" overview videos: http://bit.ly/KSXE8 ^SD #toyota</t>
  </si>
  <si>
    <t>2009-09-24T21:32:34.000Z</t>
  </si>
  <si>
    <t>@AutoTrader_com</t>
  </si>
  <si>
    <t>https://x.com/Toyota/status/4349755525</t>
  </si>
  <si>
    <t>@AutoTrader_com “party mode” raises the bass and transfers the equalization to the rear to provide excellent outside audio for tailgating.</t>
  </si>
  <si>
    <t>2009-09-24T19:42:24.000Z</t>
  </si>
  <si>
    <t>https://x.com/Toyota/status/4348004483</t>
  </si>
  <si>
    <t>@cfiltz Here you go... http://bit.ly/2c8ou5 (this is a PDF file)</t>
  </si>
  <si>
    <t>2009-09-24T18:20:57.000Z</t>
  </si>
  <si>
    <t>https://x.com/Toyota/status/4346424242</t>
  </si>
  <si>
    <t>@JeffSBartlett Pricing should be released tomorrow...stay tuned.  We'll post a link on Twitter.  Thanks. ^SD</t>
  </si>
  <si>
    <t>2009-09-24T17:09:59.000Z</t>
  </si>
  <si>
    <t>https://x.com/Toyota/status/4346076787</t>
  </si>
  <si>
    <t>@jhutt75 2010 Toyota 4Runner specs: http://bit.ly/BFfCg (Note: PDF File)</t>
  </si>
  <si>
    <t>2009-09-24T16:54:56.000Z</t>
  </si>
  <si>
    <t>@jhutt75</t>
  </si>
  <si>
    <t>https://x.com/Toyota/status/4346014683</t>
  </si>
  <si>
    <t>2010 Toyota 4Runner specs: http://bit.ly/BFfCg (Note: PDF File)</t>
  </si>
  <si>
    <t>2009-09-24T16:52:13.000Z</t>
  </si>
  <si>
    <t>https://x.com/Toyota/status/4345306026</t>
  </si>
  <si>
    <t>http://twitpic.com/iya5o - 4Runner's optional 3rd row folds flat for more cargo space.</t>
  </si>
  <si>
    <t>2009-09-24T16:21:46.000Z</t>
  </si>
  <si>
    <t>https://x.com/Toyota/status/4345161467</t>
  </si>
  <si>
    <t>RT: @AsianMartin Love the 4-Runner. If you build a Hybrid counterpart I can guarantee you the company I work for will buy a dozen...so don't</t>
  </si>
  <si>
    <t>2009-09-24T16:15:35.000Z</t>
  </si>
  <si>
    <t>https://x.com/Toyota/status/4345148107</t>
  </si>
  <si>
    <t>RT: @AboutCars @Toyota Nice-looking SUV.</t>
  </si>
  <si>
    <t>2009-09-24T16:15:03.000Z</t>
  </si>
  <si>
    <t>https://x.com/Toyota/status/4345096121</t>
  </si>
  <si>
    <t>I'll give you all a 4Runner break for now...Stay tuned...a series of 2010 4Runner "How To" videos to come! ^SD #toyota</t>
  </si>
  <si>
    <t>2009-09-24T16:12:46.000Z</t>
  </si>
  <si>
    <t>https://x.com/Toyota/status/4345084538</t>
  </si>
  <si>
    <t>http://twitpic.com/iy8w6 - 43unner's sliding rear cargo deck hlds 440 lbd</t>
  </si>
  <si>
    <t>2009-09-24T16:12:16.000Z</t>
  </si>
  <si>
    <t>https://x.com/Toyota/status/4345061188</t>
  </si>
  <si>
    <t>Images...2010 Toyota 4Runner Trail: http://bit.ly/aKBmR</t>
  </si>
  <si>
    <t>2009-09-24T16:11:15.000Z</t>
  </si>
  <si>
    <t>https://x.com/Toyota/status/4345032009</t>
  </si>
  <si>
    <t>Images...2010 Toyota 4Runner SR5: http://bit.ly/g8kLS</t>
  </si>
  <si>
    <t>2009-09-24T16:10:02.000Z</t>
  </si>
  <si>
    <t>https://x.com/Toyota/status/4345012724</t>
  </si>
  <si>
    <t>Images...2010 Toyota 4Runner Limited: http://bit.ly/lJtRd</t>
  </si>
  <si>
    <t>2009-09-24T16:09:12.000Z</t>
  </si>
  <si>
    <t>https://x.com/Toyota/status/4344985293</t>
  </si>
  <si>
    <t>http://twitpic.com/iy8d4 - New 4Runner Limited with standard 20-in. Wheels.</t>
  </si>
  <si>
    <t>2009-09-24T16:08:01.000Z</t>
  </si>
  <si>
    <t>https://x.com/Toyota/status/4344979421</t>
  </si>
  <si>
    <t>Images...2010 Toyota 4Runner on the Rubicon Trail: http://bit.ly/nUhtp</t>
  </si>
  <si>
    <t>2009-09-24T16:07:45.000Z</t>
  </si>
  <si>
    <t>https://x.com/Toyota/status/4344939007</t>
  </si>
  <si>
    <t>2010 Toyota 4Runner first look video: http://bit.ly/3GxQm3</t>
  </si>
  <si>
    <t>2009-09-24T16:06:01.000Z</t>
  </si>
  <si>
    <t>https://x.com/Toyota/status/4344895834</t>
  </si>
  <si>
    <t>Here comes the 2010 Toyota 4Runner assault....News release: http://bit.ly/zLFio ^SD</t>
  </si>
  <si>
    <t>2009-09-24T16:04:11.000Z</t>
  </si>
  <si>
    <t>https://x.com/Toyota/status/4344862394</t>
  </si>
  <si>
    <t>http://twitpic.com/iy7pn - 4Runner SR5 offers 270-hp V6 or 2.7" L4</t>
  </si>
  <si>
    <t>2009-09-24T16:02:45.000Z</t>
  </si>
  <si>
    <t>https://x.com/Toyota/status/4344305499</t>
  </si>
  <si>
    <t>http://twitpic.com/iy4lx -</t>
  </si>
  <si>
    <t>2009-09-24T15:38:31.000Z</t>
  </si>
  <si>
    <t>https://x.com/Toyota/status/4344213789</t>
  </si>
  <si>
    <t>All-new 5th Generation 4Runner makes its world debut at the State Fair of Texas.</t>
  </si>
  <si>
    <t>2009-09-24T15:34:32.000Z</t>
  </si>
  <si>
    <t>https://x.com/Toyota/status/4343924749</t>
  </si>
  <si>
    <t>@jeffpollard I know...but we'll have better/more content. Thanks Jeff! ^SD</t>
  </si>
  <si>
    <t>2009-09-24T15:21:48.000Z</t>
  </si>
  <si>
    <t>@jeffpollard</t>
  </si>
  <si>
    <t>https://x.com/Toyota/status/4343459634</t>
  </si>
  <si>
    <t>@highmileage Sounds cool.  Good luck with the connectivity! ^SD</t>
  </si>
  <si>
    <t>2009-09-24T15:01:42.000Z</t>
  </si>
  <si>
    <t>https://x.com/Toyota/status/4343378646</t>
  </si>
  <si>
    <t>Good morning everyone!  Feels like a 4Runner kind of day. Stay tunded.  ^SD #toyota #4Runner</t>
  </si>
  <si>
    <t>2009-09-24T14:58:16.000Z</t>
  </si>
  <si>
    <t>https://x.com/Toyota/status/4333880046</t>
  </si>
  <si>
    <t>The 2010 Toyota 4Runner makes its world debut tomorrow at the State Fair of Texas...Stay tuned for news, images and video! ^SD</t>
  </si>
  <si>
    <t>2009-09-24T03:50:41.000Z</t>
  </si>
  <si>
    <t>https://x.com/Toyota/status/4320981202</t>
  </si>
  <si>
    <t>Loaded new Toyota Product Leadership ads highlighting 6 themes such as dependability &amp; reliability http://bit.ly/SrCCR  ^DM</t>
  </si>
  <si>
    <t>2009-09-23T17:54:02.000Z</t>
  </si>
  <si>
    <t>https://x.com/Toyota/status/4319032736</t>
  </si>
  <si>
    <t>@TankaBar I drive a Yaris on the highway everyday. Suits me just fine. Camry is more comfortable and has more options. ^SD</t>
  </si>
  <si>
    <t>2009-09-23T16:27:00.000Z</t>
  </si>
  <si>
    <t>https://x.com/Toyota/status/4318739873</t>
  </si>
  <si>
    <t>Fantasy Football fans...time to up your game! Check out the Toyota Sponsored Yahoo! Fantasy Football Enhancer http://bit.ly/ZQI39 ^SD</t>
  </si>
  <si>
    <t>2009-09-23T16:14:17.000Z</t>
  </si>
  <si>
    <t>https://x.com/Toyota/status/4299570661</t>
  </si>
  <si>
    <t>Hi @jefedelospollos Please contact the Customer Experience Ctr http://bit.ly/4cAEA</t>
  </si>
  <si>
    <t>2009-09-22T22:04:29.000Z</t>
  </si>
  <si>
    <t>https://x.com/Toyota/status/4297575172</t>
  </si>
  <si>
    <t>Toyota Launches New Product Leadership Campaign http://bit.ly/11CkJf  Toyota.com page: http://bit.ly/16fm6i</t>
  </si>
  <si>
    <t>2009-09-22T20:33:50.000Z</t>
  </si>
  <si>
    <t>https://x.com/Toyota/status/4176214768</t>
  </si>
  <si>
    <t>RT @scotty321 @Toyota, love my new 2010 Prius!! :)  (Good to hear...Thanks! ^SD)</t>
  </si>
  <si>
    <t>2009-09-22T16:59:06.000Z</t>
  </si>
  <si>
    <t>https://x.com/Toyota/status/4151423900</t>
  </si>
  <si>
    <t>Tell us what you thought about the Lexus LF-Ch Concept shown in Frankfurt. http://bit.ly/1azvdA Photos: http://bit.ly/BMrE5 ^SD</t>
  </si>
  <si>
    <t>2009-09-21T17:52:56.000Z</t>
  </si>
  <si>
    <t>https://x.com/Toyota/status/4147907043</t>
  </si>
  <si>
    <t>@KristynBurtt Wow...you parked next to "thee" Barbie?  Were you in Malibu? ^SD</t>
  </si>
  <si>
    <t>2009-09-21T15:07:30.000Z</t>
  </si>
  <si>
    <t>https://x.com/Toyota/status/4034642472</t>
  </si>
  <si>
    <t>VIDEO: Interview with Toyota driver Joey Logano and his family: http://bit.ly/2GZ6s6 @jlogano #toyotaracing ^SD</t>
  </si>
  <si>
    <t>2009-09-16T18:11:02.000Z</t>
  </si>
  <si>
    <t>https://x.com/Toyota/status/4031152578</t>
  </si>
  <si>
    <t>Bloomberg: Toyota Remains With Nickel After Lithium Prius Test  http://bit.ly/10GEGF ^AT</t>
  </si>
  <si>
    <t>2009-09-16T15:23:56.000Z</t>
  </si>
  <si>
    <t>https://x.com/Toyota/status/4011938442</t>
  </si>
  <si>
    <t>@khivi Can you provide more background on what you're referring to? ^SD</t>
  </si>
  <si>
    <t>2009-09-15T19:57:08.000Z</t>
  </si>
  <si>
    <t>@khivi</t>
  </si>
  <si>
    <t>https://x.com/Toyota/status/3991098091</t>
  </si>
  <si>
    <t>@KevanRay New sources and new types will be needed as the auto industry continues to proliferate hybrid technology. ^AT</t>
  </si>
  <si>
    <t>2009-09-14T23:08:58.000Z</t>
  </si>
  <si>
    <t>https://x.com/Toyota/status/3991087338</t>
  </si>
  <si>
    <t>@KevanRay Various rare earth metals are used in our advanced hybrid systems. ^AT</t>
  </si>
  <si>
    <t>2009-09-14T23:08:25.000Z</t>
  </si>
  <si>
    <t>@smiyao</t>
  </si>
  <si>
    <t>https://x.com/Toyota/status/3916351672</t>
  </si>
  <si>
    <t>Just posted Toyota's teen driver program video to the Toyota youtube channel http://bit.ly/2lRTKa  ^DM</t>
  </si>
  <si>
    <t>2009-09-11T18:14:04.000Z</t>
  </si>
  <si>
    <t>https://x.com/Toyota/status/3912994034</t>
  </si>
  <si>
    <t>Wonder how solar panels work? From 93M miles away to the roof of the 3rd gen Prius... http://bit.ly/3LBWax #toyota ^SD</t>
  </si>
  <si>
    <t>2009-09-11T15:24:12.000Z</t>
  </si>
  <si>
    <t>@NicoleCDenton</t>
  </si>
  <si>
    <t>https://x.com/Toyota/status/3898228655</t>
  </si>
  <si>
    <t>@PRNicoleV Hi Nicole. Can you DM over a phone number or VIN number of the vehicle? I will forward the info. to our CR group. ^SD</t>
  </si>
  <si>
    <t>2009-09-10T22:54:12.000Z</t>
  </si>
  <si>
    <t>https://x.com/Toyota/status/3895866950</t>
  </si>
  <si>
    <t>Toyota continues support of 4-H's water conservation programs, expands to 6 states: http://tinyurl.com/pnuf8z ^DS</t>
  </si>
  <si>
    <t>2009-09-10T20:55:22.000Z</t>
  </si>
  <si>
    <t>https://x.com/Toyota/status/3888880394</t>
  </si>
  <si>
    <t>Lexus LF-Ch Premium Compact Hybrid Concept to Make North American Debut at 2009 LA Auto Show http://bit.ly/YNlQ3 ^SD</t>
  </si>
  <si>
    <t>2009-09-10T15:05:21.000Z</t>
  </si>
  <si>
    <t>https://x.com/Toyota/status/3888440715</t>
  </si>
  <si>
    <t>@bastasia In some cases, perforated corrosion was found on Tacoma frames...not to be confused w/ surface rust. Hence the warranty extension</t>
  </si>
  <si>
    <t>2009-09-10T14:42:42.000Z</t>
  </si>
  <si>
    <t>https://x.com/Toyota/status/3872864234</t>
  </si>
  <si>
    <t>2010 Prius Plug-in Hybrid Debuts at Frankfurt Motor Show http://bit.ly/gvUD4 #Toyota ^SD</t>
  </si>
  <si>
    <t>2009-09-09T22:09:01.000Z</t>
  </si>
  <si>
    <t>https://x.com/Toyota/status/3872775332</t>
  </si>
  <si>
    <t>RT @evanslusher Have you driven a @toyota prius? Seriously... like driving a spaceship... pretty sweet ride for sure, and 44MPG!!!!</t>
  </si>
  <si>
    <t>2009-09-09T22:04:40.000Z</t>
  </si>
  <si>
    <t>https://x.com/Toyota/status/3864350462</t>
  </si>
  <si>
    <t>Lexus Introduces Drivers to its new HS and “Hello Someday” http://bit.ly/WtvXD #lexushs ^SD</t>
  </si>
  <si>
    <t>2009-09-09T14:47:52.000Z</t>
  </si>
  <si>
    <t>https://x.com/Toyota/status/3845187835</t>
  </si>
  <si>
    <t>RT @mashable HOW TO: Do Good on LinkedIn http://bit.ly/48Gwqj #prius #toyota ^SD</t>
  </si>
  <si>
    <t>2009-09-08T18:15:58.000Z</t>
  </si>
  <si>
    <t>https://x.com/Toyota/status/3841820851</t>
  </si>
  <si>
    <t>Love the photo Kristyn...RT @KristynBurtt http://twitpic.com/gt4gw - Me and my @Toyota Prius. :)  ^SD</t>
  </si>
  <si>
    <t>2009-09-08T15:15:51.000Z</t>
  </si>
  <si>
    <t>https://x.com/Toyota/status/3788675509</t>
  </si>
  <si>
    <t>@lilmomthatcould Sounds like another phishing scheme. ^SD</t>
  </si>
  <si>
    <t>2009-09-06T00:17:47.000Z</t>
  </si>
  <si>
    <t>https://x.com/Toyota/status/3758699240</t>
  </si>
  <si>
    <t>@yBCeditorial Thanks Cam.  Appreciate the support! ^SD</t>
  </si>
  <si>
    <t>2009-09-04T15:20:44.000Z</t>
  </si>
  <si>
    <t>@yBCeditorial</t>
  </si>
  <si>
    <t>https://x.com/Toyota/status/3735152951</t>
  </si>
  <si>
    <t>@carronovo Not sold in the U.S.  I believe it's only been captured in spy shots. ^SD</t>
  </si>
  <si>
    <t>2009-09-03T15:06:02.000Z</t>
  </si>
  <si>
    <t>@CarroNovo</t>
  </si>
  <si>
    <t>https://x.com/Toyota/status/3735028372</t>
  </si>
  <si>
    <t>@raulm17 Have you contacted Toyota de Mexico? http://bit.ly/P8k2G ^SD</t>
  </si>
  <si>
    <t>2009-09-03T14:59:52.000Z</t>
  </si>
  <si>
    <t>https://x.com/Toyota/status/3734940482</t>
  </si>
  <si>
    <t>@yBCeditorial Independent. Run by brand enthusiasts. ^SD</t>
  </si>
  <si>
    <t>2009-09-03T14:55:05.000Z</t>
  </si>
  <si>
    <t>https://x.com/Toyota/status/3720229832</t>
  </si>
  <si>
    <t>RT: @toyota4teachers See how you/your students can get involved w/ Nat. Public Lands Day, sponsored by Toyota, on 9/26: http://bit.ly/19mf3f</t>
  </si>
  <si>
    <t>2009-09-02T22:15:51.000Z</t>
  </si>
  <si>
    <t>https://x.com/Toyota/status/3717715680</t>
  </si>
  <si>
    <t>Sue Cullumber, part of the 2008 Toyota Int’l Teacher Program to Galápagos, has a book with photos of the trip: http://tinyurl.com/nwju6d ^DS</t>
  </si>
  <si>
    <t>2009-09-02T20:06:22.000Z</t>
  </si>
  <si>
    <t>https://x.com/Toyota/status/3714646236</t>
  </si>
  <si>
    <t>@cfiltz Calendar year to date: 7,968 FJs  ^SD</t>
  </si>
  <si>
    <t>2009-09-02T17:05:29.000Z</t>
  </si>
  <si>
    <t>https://x.com/Toyota/status/3695212412</t>
  </si>
  <si>
    <t>Toyota reports August sales: http://bit.ly/4fWcTx</t>
  </si>
  <si>
    <t>2009-09-01T19:45:59.000Z</t>
  </si>
  <si>
    <t>https://x.com/Toyota/status/3693003245</t>
  </si>
  <si>
    <t>Today is Lexus' 20th Anniversary!  Congrats to the Lexus brand!</t>
  </si>
  <si>
    <t>2009-09-01T17:49:08.000Z</t>
  </si>
  <si>
    <t>https://x.com/Toyota/status/3668427100</t>
  </si>
  <si>
    <t>Interesting new tech being tested: TMC, Hino to Test Breathalyzer Ignition-interlock System http://bit.ly/cE5Xv #Toyota</t>
  </si>
  <si>
    <t>2009-08-31T16:21:13.000Z</t>
  </si>
  <si>
    <t>https://x.com/Toyota/status/3634169778</t>
  </si>
  <si>
    <t>@smiyao My pleasure. ^SD</t>
  </si>
  <si>
    <t>2009-08-29T23:13:46.000Z</t>
  </si>
  <si>
    <t>@brewhousegirl</t>
  </si>
  <si>
    <t>https://x.com/Toyota/status/3610871552</t>
  </si>
  <si>
    <t>Speaking of Toyota Motorsports...Check out what Toyota has setup at the track...NHRA Toyota PitPass http://bit.ly/oA8GB</t>
  </si>
  <si>
    <t>2009-08-28T20:42:13.000Z</t>
  </si>
  <si>
    <t>https://x.com/Toyota/status/3610791046</t>
  </si>
  <si>
    <t>RT @RobbyGordon Sorry guys for the delay but here are some photos from Bristol http://bit.ly/zf4KZ  @hardrockhotellv @Toyota</t>
  </si>
  <si>
    <t>2009-08-28T20:38:05.000Z</t>
  </si>
  <si>
    <t>https://x.com/Toyota/status/3608453180</t>
  </si>
  <si>
    <t>RT @highmileage I'll be at @PriusChat &amp; Houston Hypermilers Tweetup tomorrow, aggregating MPG advice from hypermiling legend Dan Bryant.</t>
  </si>
  <si>
    <t>2009-08-28T18:39:08.000Z</t>
  </si>
  <si>
    <t>https://x.com/Toyota/status/3607917028</t>
  </si>
  <si>
    <t>@highmileage @priuschat and @lexusnews are a couple of active outside owner blogs and forums on Twitter.</t>
  </si>
  <si>
    <t>2009-08-28T18:12:11.000Z</t>
  </si>
  <si>
    <t>https://x.com/Toyota/status/3606951302</t>
  </si>
  <si>
    <t>#followfriday @3genprius @sonamoon @amykt @sieger262 @scottdeyager @denisemorrissey</t>
  </si>
  <si>
    <t>2009-08-28T17:23:55.000Z</t>
  </si>
  <si>
    <t>https://x.com/Toyota/status/3605714789</t>
  </si>
  <si>
    <t>@smiyao Have you dealt with the Toyota Customer Experience Center? http://bit.ly/2TBO1</t>
  </si>
  <si>
    <t>2009-08-28T16:23:44.000Z</t>
  </si>
  <si>
    <t>https://x.com/Toyota/status/3605645894</t>
  </si>
  <si>
    <t>@highmileage FYI....Matrix has always been exclusively produced at the Cambridge Plant in Canada.</t>
  </si>
  <si>
    <t>2009-08-28T16:20:18.000Z</t>
  </si>
  <si>
    <t>https://x.com/Toyota/status/3605535919</t>
  </si>
  <si>
    <t>@highmileage Probably move production to Canada and Japan.</t>
  </si>
  <si>
    <t>2009-08-28T16:14:54.000Z</t>
  </si>
  <si>
    <t>https://x.com/Toyota/status/3591357210</t>
  </si>
  <si>
    <t>@highmileage here's a link to the press release ^DM  http://bit.ly/m3G7g</t>
  </si>
  <si>
    <t>2009-08-28T00:07:27.000Z</t>
  </si>
  <si>
    <t>https://x.com/Toyota/status/3583856324</t>
  </si>
  <si>
    <t>@thrashmettler Sorry Andrew...I've got no other products to tease today. ^SD</t>
  </si>
  <si>
    <t>2009-08-27T17:44:59.000Z</t>
  </si>
  <si>
    <t>https://x.com/Toyota/status/3583815185</t>
  </si>
  <si>
    <t>@CarGuyDad Nothing to report at this time. ^SD</t>
  </si>
  <si>
    <t>2009-08-27T17:42:48.000Z</t>
  </si>
  <si>
    <t>https://x.com/Toyota/status/3583008287</t>
  </si>
  <si>
    <t>@mendozacc Please start with www.toyotanewsroom.com. You can also contact the Customer Experience Center http://bit.ly/2TBO1 ^SD</t>
  </si>
  <si>
    <t>2009-08-27T17:01:41.000Z</t>
  </si>
  <si>
    <t>https://x.com/Toyota/status/3582578450</t>
  </si>
  <si>
    <t>@TankaBar Maybe an SUV? ...or do you want to stay in a smaller vehicle? ^SD</t>
  </si>
  <si>
    <t>2009-08-27T16:40:24.000Z</t>
  </si>
  <si>
    <t>https://x.com/Toyota/status/3582021942</t>
  </si>
  <si>
    <t>First Look Tease: All-New 2010 Toyota 4Runner http://bit.ly/11i1VB ^SD</t>
  </si>
  <si>
    <t>2009-08-27T16:13:02.000Z</t>
  </si>
  <si>
    <t>https://x.com/Toyota/status/3580975280</t>
  </si>
  <si>
    <t>@sunnyhunt Will forward the feedback. Thanks Sunny. ^SD</t>
  </si>
  <si>
    <t>2009-08-27T15:19:52.000Z</t>
  </si>
  <si>
    <t>@sunnyhunt</t>
  </si>
  <si>
    <t>https://x.com/Toyota/status/3580908828</t>
  </si>
  <si>
    <t>@PRNicoleV Hi Nicole. I want to get problems you're having into the system. Please contact the Customer Experience Ctr http://bit.ly/4cAEA</t>
  </si>
  <si>
    <t>2009-08-27T15:16:20.000Z</t>
  </si>
  <si>
    <t>https://x.com/Toyota/status/3566413613</t>
  </si>
  <si>
    <t>@ricksciullo Stay tuned Rick...Info. coming soon. ^SD</t>
  </si>
  <si>
    <t>2009-08-26T22:43:40.000Z</t>
  </si>
  <si>
    <t>@ricksciullo</t>
  </si>
  <si>
    <t>https://x.com/Toyota/status/3563848141</t>
  </si>
  <si>
    <t>@yosefsolomon I'll have to look into it. Thanks.</t>
  </si>
  <si>
    <t>2009-08-26T20:29:34.000Z</t>
  </si>
  <si>
    <t>https://x.com/Toyota/status/3558725380</t>
  </si>
  <si>
    <t>@yosefsolomon What type of events are you referring to? ^SD</t>
  </si>
  <si>
    <t>2009-08-26T15:55:21.000Z</t>
  </si>
  <si>
    <t>https://x.com/Toyota/status/3473809526</t>
  </si>
  <si>
    <t>@KristynBurtt Thank you Kristyn. We appreciate the feedback and support. ^SD</t>
  </si>
  <si>
    <t>2009-08-22T16:05:59.000Z</t>
  </si>
  <si>
    <t>https://x.com/Toyota/status/3452172781</t>
  </si>
  <si>
    <t>Toyota to expand Alabama plant, hire 240 people, invest additional $147 million: http://tinyurl.com/m9o46z  ^DS</t>
  </si>
  <si>
    <t>2009-08-21T15:54:07.000Z</t>
  </si>
  <si>
    <t>https://x.com/Toyota/status/3435889325</t>
  </si>
  <si>
    <t>@ThomasBlinn Might have to go through a dealer...Please call Toyota Customer Experience Center for starters: Phone: 800-331-4331 ^SD</t>
  </si>
  <si>
    <t>2009-08-20T21:30:58.000Z</t>
  </si>
  <si>
    <t>@HopeOne11</t>
  </si>
  <si>
    <t>https://x.com/Toyota/status/3435717322</t>
  </si>
  <si>
    <t>@ThomasBlinn copy?</t>
  </si>
  <si>
    <t>2009-08-20T21:21:32.000Z</t>
  </si>
  <si>
    <t>https://x.com/Toyota/status/3435682143</t>
  </si>
  <si>
    <t>@highmileage Toyota decided to cease production on Solara coupe and convertible in CY 2009. ^SD</t>
  </si>
  <si>
    <t>2009-08-20T21:19:38.000Z</t>
  </si>
  <si>
    <t>https://x.com/Toyota/status/3432668360</t>
  </si>
  <si>
    <t>See if Adam Corolla succeeds at his attempt to drive a 3rd gen Prius 100 miles on 2 gallons of gas.http://tinyurl.com/lw865b ^SD #toyota</t>
  </si>
  <si>
    <t>2009-08-20T18:38:36.000Z</t>
  </si>
  <si>
    <t>https://x.com/Toyota/status/3407960382</t>
  </si>
  <si>
    <t>@GuthrieMayesPR thanks for the RT!  don't know who does your Tweets, but please say hi to Dan and Andy for me...</t>
  </si>
  <si>
    <t>2009-08-19T16:28:08.000Z</t>
  </si>
  <si>
    <t>https://x.com/Toyota/status/3407735023</t>
  </si>
  <si>
    <t>Know any teachers who need $10K grants for science ed?  Toyota TAPESTRY program accepting apps: http://tinyurl.com/ll7m6m ^DS</t>
  </si>
  <si>
    <t>2009-08-19T16:15:47.000Z</t>
  </si>
  <si>
    <t>https://x.com/Toyota/status/3392444190</t>
  </si>
  <si>
    <t>@CJontig Here's the news release with all the info: http://tinyurl.com/llt86e</t>
  </si>
  <si>
    <t>2009-08-18T22:40:34.000Z</t>
  </si>
  <si>
    <t>@CJontig</t>
  </si>
  <si>
    <t>https://x.com/Toyota/status/3392147633</t>
  </si>
  <si>
    <t>VIDEO: Check out 1 of the 9 Toyota Prius "Harmony Floralscapes" being put together: http://tinyurl.com/qhgbef ^SD</t>
  </si>
  <si>
    <t>2009-08-18T22:24:58.000Z</t>
  </si>
  <si>
    <t>https://x.com/Toyota/status/3388845249</t>
  </si>
  <si>
    <t>Get in touch with your inner Scorsese and create your own conservation commercial at TogetherGreen!  http://tinyurl.com/phyw6z</t>
  </si>
  <si>
    <t>2009-08-18T19:32:23.000Z</t>
  </si>
  <si>
    <t>https://x.com/Toyota/status/3387446769</t>
  </si>
  <si>
    <t>@YourTuneSpace That's awesome. You're becoming a hypermiler.</t>
  </si>
  <si>
    <t>2009-08-18T18:18:15.000Z</t>
  </si>
  <si>
    <t>@YourTuneSpace</t>
  </si>
  <si>
    <t>https://x.com/Toyota/status/3386517628</t>
  </si>
  <si>
    <t>Toyota Prius “Harmony Floralscapes” Blooming Along Los Angeles Freeways http://tinyurl.com/llt86e ^SD</t>
  </si>
  <si>
    <t>2009-08-18T17:29:23.000Z</t>
  </si>
  <si>
    <t>https://x.com/Toyota/status/3315955619</t>
  </si>
  <si>
    <t>From August 8 - 22, “Solar Flowers” are in full bloom on Chicago’s Navy Pier. Check out the photos: http://tinyurl.com/lothua #prius ^SD</t>
  </si>
  <si>
    <t>2009-08-14T21:24:07.000Z</t>
  </si>
  <si>
    <t>https://x.com/Toyota/status/3287614104</t>
  </si>
  <si>
    <t>VIDEO: Don't know if you've seen the @edmunds 2009 Fuel Sipper Smackdown Comparison Test: http://tinyurl.com/qg42rz #prius ^SD</t>
  </si>
  <si>
    <t>2009-08-13T15:16:11.000Z</t>
  </si>
  <si>
    <t>https://x.com/Toyota/status/3273315236</t>
  </si>
  <si>
    <t>Motorist Choice Awards reveal vehicles that please both hearts and minds http://tinyurl.com/qvz477 #toyota #lexus ^SD</t>
  </si>
  <si>
    <t>2009-08-12T21:24:55.000Z</t>
  </si>
  <si>
    <t>https://x.com/Toyota/status/3273190037</t>
  </si>
  <si>
    <t>Video: Interview w/ Kyle Busch. Kyle talks about competing in 3 national series. http://tinyurl.com/qwz3b3 #toyota #toyotamotorsports ^SD</t>
  </si>
  <si>
    <t>2009-08-12T21:17:30.000Z</t>
  </si>
  <si>
    <t>@twinling</t>
  </si>
  <si>
    <t>https://x.com/Toyota/status/3268786773</t>
  </si>
  <si>
    <t>@twinling I understand your frustration. Cash for Clunkers has created a serious demand for particular products.</t>
  </si>
  <si>
    <t>2009-08-12T17:14:17.000Z</t>
  </si>
  <si>
    <t>https://x.com/Toyota/status/3268537675</t>
  </si>
  <si>
    <t>@twinling Have you tried the "Build Your Toyota" feature on http://www.toyota.com ? Should get you base info. ^SD</t>
  </si>
  <si>
    <t>2009-08-12T17:00:17.000Z</t>
  </si>
  <si>
    <t>https://x.com/Toyota/status/3267876715</t>
  </si>
  <si>
    <t>@twinling What are you referring to? ^SD</t>
  </si>
  <si>
    <t>2009-08-12T16:23:36.000Z</t>
  </si>
  <si>
    <t>https://x.com/Toyota/status/3266348769</t>
  </si>
  <si>
    <t>@ScottBradley Hey Scott...thanks for the feedback and support for @toyota. ^SD</t>
  </si>
  <si>
    <t>2009-08-12T14:56:26.000Z</t>
  </si>
  <si>
    <t>https://x.com/Toyota/status/3248385682</t>
  </si>
  <si>
    <t>Still time to enter Toyota Racing Sweepstakes http://tinyurl.com/l9ausb Win a trip for 2 to a Toyota race. Travel/lodging included. ^SD</t>
  </si>
  <si>
    <t>2009-08-11T16:52:26.000Z</t>
  </si>
  <si>
    <t>https://x.com/Toyota/status/3179690498</t>
  </si>
  <si>
    <t>2009-08-07T16:18:06.000Z</t>
  </si>
  <si>
    <t>https://x.com/Toyota/status/3167769495</t>
  </si>
  <si>
    <t>Toyota NOT replacing ad agencies. New marktg companies will support Japan domestic market &amp; several smaller global markets ^DM</t>
  </si>
  <si>
    <t>2009-08-06T18:53:22.000Z</t>
  </si>
  <si>
    <t>https://x.com/Toyota/status/3167022338</t>
  </si>
  <si>
    <t>Toyota’s FCHV-adv got an est. range of 431 mi. on a single fueling of hydrogen: Watch the youtube vid http://tinyurl.com/avj4nb ^AT</t>
  </si>
  <si>
    <t>2009-08-06T17:36:27.000Z</t>
  </si>
  <si>
    <t>https://x.com/Toyota/status/3166175629</t>
  </si>
  <si>
    <t>Toyota advanced fuel cell hybrid vehicle completes government field evaluation  http://tinyurl.com/kk4jqk ^AKT</t>
  </si>
  <si>
    <t>2009-08-06T15:12:25.000Z</t>
  </si>
  <si>
    <t>https://x.com/Toyota/status/3154449098</t>
  </si>
  <si>
    <t>@rvanprice Have you tried the "Build Your Toyota" function at the top of http://www.toyota.com/ ?</t>
  </si>
  <si>
    <t>2009-08-05T22:32:27.000Z</t>
  </si>
  <si>
    <t>@rvanprice</t>
  </si>
  <si>
    <t>https://x.com/Toyota/status/3146257929</t>
  </si>
  <si>
    <t>Akio Toyoda's "Reinventing the Automobile" speech from this morning's CAR Conf. http://tinyurl.com/ntty6l #toyota ^SD</t>
  </si>
  <si>
    <t>2009-08-05T14:47:02.000Z</t>
  </si>
  <si>
    <t>https://x.com/Toyota/status/3131123494</t>
  </si>
  <si>
    <t>VIDEO: Lexus Magazine road tests the all-new HS 250h http://tinyurl.com/l2scmo ^SD #lexushs</t>
  </si>
  <si>
    <t>2009-08-04T20:26:21.000Z</t>
  </si>
  <si>
    <t>https://x.com/Toyota/status/3126969108</t>
  </si>
  <si>
    <t>@ilovebakelite No news on future products right now. ^SD</t>
  </si>
  <si>
    <t>2009-08-04T16:29:09.000Z</t>
  </si>
  <si>
    <t>https://x.com/Toyota/status/3113507927</t>
  </si>
  <si>
    <t>First week of CARs-related sales saves Toyota customers an estimated 8 million gallons of gas + $20M in gas spending over the next year. ^SM</t>
  </si>
  <si>
    <t>2009-08-03T23:21:09.000Z</t>
  </si>
  <si>
    <t>https://x.com/Toyota/status/3113152853</t>
  </si>
  <si>
    <t>Beginning w/ August production, Prius will come w/ all-new avail. telematics service, Safety Connect. http://tinyurl.com/m6wsqr ^SD</t>
  </si>
  <si>
    <t>2009-08-03T22:59:32.000Z</t>
  </si>
  <si>
    <t>https://x.com/Toyota/status/3113118181</t>
  </si>
  <si>
    <t>Beginning w/ August production, Prius will come w/ an available USB Port w/ iPod® Connectivity http://tinyurl.com/m6wsqr @3genprius ^SD</t>
  </si>
  <si>
    <t>2009-08-03T22:57:24.000Z</t>
  </si>
  <si>
    <t>https://x.com/Toyota/status/3109588231</t>
  </si>
  <si>
    <t>It has been reported that the HS 250h is a Lexus version of the Toyota Prius. That is far from the truth... http://tinyurl.com/mhy69m ^SD</t>
  </si>
  <si>
    <t>2009-08-03T19:17:22.000Z</t>
  </si>
  <si>
    <t>https://x.com/Toyota/status/3108737475</t>
  </si>
  <si>
    <t>Toyota reports July sales: http://bit.ly/YZOe9</t>
  </si>
  <si>
    <t>2009-08-03T18:26:34.000Z</t>
  </si>
  <si>
    <t>https://x.com/Toyota/status/3106329448</t>
  </si>
  <si>
    <t>Audubon Society's Toyota-sponsored Together Green donates $ to develop a way to save birds from fatal impact http://tinyurl.com/mat2we</t>
  </si>
  <si>
    <t>2009-08-03T16:02:16.000Z</t>
  </si>
  <si>
    <t>https://x.com/Toyota/status/3054437869</t>
  </si>
  <si>
    <t>@andrewteman Foldout cover standard on Rav4 Limited...optional on Base and Sport grades. Cover not available on RAV4 with a third row seat.</t>
  </si>
  <si>
    <t>2009-07-31T17:09:18.000Z</t>
  </si>
  <si>
    <t>https://x.com/Toyota/status/2941471465</t>
  </si>
  <si>
    <t>Toyota announces annual subscription Pricing for Safety Connect: Avail on 2010 Prius http://tinyurl.com/mrd38c ^DM</t>
  </si>
  <si>
    <t>2009-07-31T00:38:04.000Z</t>
  </si>
  <si>
    <t>https://x.com/Toyota/status/2915945837</t>
  </si>
  <si>
    <t>RT @edmunds Edmunds Presses NHTSA on Cash for Clunkers Consumer Dilemmas; Decision Expected Today http://budurl.com/6wbe #cashforclunkers</t>
  </si>
  <si>
    <t>2009-07-29T20:09:11.000Z</t>
  </si>
  <si>
    <t>https://x.com/Toyota/status/2912146550</t>
  </si>
  <si>
    <t>@LevenHolliman Thanks. We appreciate the recommendation. ^SD</t>
  </si>
  <si>
    <t>2009-07-29T16:24:14.000Z</t>
  </si>
  <si>
    <t>@LevenHolliman</t>
  </si>
  <si>
    <t>https://x.com/Toyota/status/2912133027</t>
  </si>
  <si>
    <t>@vdheuvel Thanks for the heads-up...I'll check it out. ^SD</t>
  </si>
  <si>
    <t>2009-07-29T16:23:26.000Z</t>
  </si>
  <si>
    <t>https://x.com/Toyota/status/2912070220</t>
  </si>
  <si>
    <t>From the UK: Police force buys a Lexus IS-F http://tinyurl.com/nx7js8 ^SD</t>
  </si>
  <si>
    <t>2009-07-29T16:19:44.000Z</t>
  </si>
  <si>
    <t>https://x.com/Toyota/status/2897541815</t>
  </si>
  <si>
    <t>Interesting AP update: `Clunkers' program draws car buyers in first days http://tinyurl.com/nvpkb7 #cashforclunkers</t>
  </si>
  <si>
    <t>2009-07-28T21:34:36.000Z</t>
  </si>
  <si>
    <t>https://x.com/Toyota/status/2825527104</t>
  </si>
  <si>
    <t>Toyota Launches "Cash for Clunkers" Program http://tinyurl.com/mqh8m6 Commercial: http://tinyurl.com/m9hdgo #cashforclunkers ^SD</t>
  </si>
  <si>
    <t>2009-07-24T20:42:53.000Z</t>
  </si>
  <si>
    <t>https://x.com/Toyota/status/2780271174</t>
  </si>
  <si>
    <t>RT @autoblogrss: Prius promotion plants giant solar flowers with free electricity, WiFi in cities: http://bit.ly/17AGVe</t>
  </si>
  <si>
    <t>2009-07-22T16:15:10.000Z</t>
  </si>
  <si>
    <t>https://x.com/Toyota/status/2759203218</t>
  </si>
  <si>
    <t>TogetherGreen is looking for volunteers for wildlife projects in Maine! http://tinyurl.com/l46z8w @audubonsociety ^DS</t>
  </si>
  <si>
    <t>2009-07-21T15:10:26.000Z</t>
  </si>
  <si>
    <t>https://x.com/Toyota/status/2747009974</t>
  </si>
  <si>
    <t>USA Today: Car transport ships set sail to save money http://bit.ly/mtoQj ^AT</t>
  </si>
  <si>
    <t>2009-07-20T22:41:17.000Z</t>
  </si>
  <si>
    <t>https://x.com/Toyota/status/2741874054</t>
  </si>
  <si>
    <t>New report on top 100 brands online in terms of social media engagement (via @charleneli) http://bit.ly/Tb1Ht ^SM</t>
  </si>
  <si>
    <t>2009-07-20T17:16:58.000Z</t>
  </si>
  <si>
    <t>https://x.com/Toyota/status/2694425408</t>
  </si>
  <si>
    <t>VIDEO: Toyota iQ: Small Car, Font Jockey http://tinyurl.com/ra55su Pretty cool stuff. ^SD #toyota #iQ</t>
  </si>
  <si>
    <t>2009-07-17T20:05:04.000Z</t>
  </si>
  <si>
    <t>https://x.com/Toyota/status/2694354138</t>
  </si>
  <si>
    <t>RT @priusdrivethru http://twitpic.com/amlfb. Prius Drive Thru mobile studio, set up here in Madison for green drive expo. #priusdrivethru</t>
  </si>
  <si>
    <t>2009-07-17T20:00:40.000Z</t>
  </si>
  <si>
    <t>https://x.com/Toyota/status/2671951045</t>
  </si>
  <si>
    <t>RT @icrossing: we're so proud of our work with @Toyota: http://bit.ly/iS3cd</t>
  </si>
  <si>
    <t>2009-07-16T16:34:56.000Z</t>
  </si>
  <si>
    <t>https://x.com/Toyota/status/2670509677</t>
  </si>
  <si>
    <t>I got a ? regarding "Cash for Clunkers" program...click here for info: http://tinyurl.com/lxmpp9 #toyota #cashforclunkers ^SD</t>
  </si>
  <si>
    <t>2009-07-16T14:48:41.000Z</t>
  </si>
  <si>
    <t>https://x.com/Toyota/status/2670258746</t>
  </si>
  <si>
    <t>@HotWheelsOnline RT @clubsciontc: Forums: Hot Wheels Scion tC http://tinyurl.com/lsp7rt (I dig this...I gotta find me one too ^SD)</t>
  </si>
  <si>
    <t>2009-07-16T14:29:56.000Z</t>
  </si>
  <si>
    <t>https://x.com/Toyota/status/2654843570</t>
  </si>
  <si>
    <t>VIDEO: Inside Look: Toyota, NYK Line Unveil Solar-Powered Cargo Ship http://tinyurl.com/lmow24 ^SD</t>
  </si>
  <si>
    <t>2009-07-15T17:54:31.000Z</t>
  </si>
  <si>
    <t>https://x.com/Toyota/status/2653847361</t>
  </si>
  <si>
    <t>RT @priusdrivethru #mpg yesterdays total 520 miles traveled, avg speed 51 mph, 48.4mpg (follow as they go 8k miles in a 2010 Prius)</t>
  </si>
  <si>
    <t>2009-07-15T16:51:20.000Z</t>
  </si>
  <si>
    <t>https://x.com/Toyota/status/2653807967</t>
  </si>
  <si>
    <t>Just uploaded new Tundra comparison vids to our YouTube channel...check them out: http://tinyurl.com/nj79ey #toyota #tundra ^SD</t>
  </si>
  <si>
    <t>2009-07-15T16:48:51.000Z</t>
  </si>
  <si>
    <t>https://x.com/Toyota/status/2653652733</t>
  </si>
  <si>
    <t>Remember tweeps...You can win the opportunity to drive a Lexus HS 250h hybrid free for a year.  http://tinyurl.com/ldnyfw #drivehs</t>
  </si>
  <si>
    <t>2009-07-15T16:39:09.000Z</t>
  </si>
  <si>
    <t>https://x.com/Toyota/status/2640495907</t>
  </si>
  <si>
    <t>RT @natalie_gulbis  http://twitpic.com/a4xqw - By new golf ball Lexus</t>
  </si>
  <si>
    <t>2009-07-14T22:44:09.000Z</t>
  </si>
  <si>
    <t>https://x.com/Toyota/status/2640455653</t>
  </si>
  <si>
    <t>RT @natalie_gulbis http://twitpic.com/a57h2 - Lexus signing</t>
  </si>
  <si>
    <t>2009-07-14T22:41:28.000Z</t>
  </si>
  <si>
    <t>https://x.com/Toyota/status/2639595582</t>
  </si>
  <si>
    <t>Added a "Prius Harmony: Solar Flowers" set of pics to our Flickr account...check it out http://tinyurl.com/lq2um4 #prius ^SD</t>
  </si>
  <si>
    <t>2009-07-14T21:46:51.000Z</t>
  </si>
  <si>
    <t>https://x.com/Toyota/status/2638085318</t>
  </si>
  <si>
    <t>RT @Priusdrivethru http://twitpic.com/acpb0. ContourHD camera in action (follow their travels as they go 8,000 miles in a 2010 Prius. ^SD)</t>
  </si>
  <si>
    <t>2009-07-14T20:12:06.000Z</t>
  </si>
  <si>
    <t>https://x.com/Toyota/status/2637946940</t>
  </si>
  <si>
    <t>Tanner Foust Slides the Scion tC to Victory at Round 4 of the Formula DRIFT Series in Las Vegas http://tinyurl.com/l8fmv8 ^SD</t>
  </si>
  <si>
    <t>2009-07-14T20:03:21.000Z</t>
  </si>
  <si>
    <t>https://x.com/Toyota/status/2635999376</t>
  </si>
  <si>
    <t>@collink You haven't seen me drive. ^SD</t>
  </si>
  <si>
    <t>2009-07-14T17:58:33.000Z</t>
  </si>
  <si>
    <t>@z0mbycide</t>
  </si>
  <si>
    <t>https://x.com/Toyota/status/2635573896</t>
  </si>
  <si>
    <t>@collink I'd of had that thing rolled in a ditch after the first turn. ^SD</t>
  </si>
  <si>
    <t>2009-07-14T17:31:08.000Z</t>
  </si>
  <si>
    <t>https://x.com/Toyota/status/2635271216</t>
  </si>
  <si>
    <t>@collink Thanks.  Sorry.</t>
  </si>
  <si>
    <t>2009-07-14T17:10:58.000Z</t>
  </si>
  <si>
    <t>https://x.com/Toyota/status/2635243663</t>
  </si>
  <si>
    <t>2009-07-14T17:09:16.000Z</t>
  </si>
  <si>
    <t>RT @icrossing: We launched new mobile site for @Toyota http://bit.ly/rRJ9a</t>
  </si>
  <si>
    <t>https://x.com/Toyota/status/2632966898</t>
  </si>
  <si>
    <t>2009-07-14T14:39:30.000Z</t>
  </si>
  <si>
    <t>https://x.com/Toyota/status/2632843337</t>
  </si>
  <si>
    <t>ABC 7 News takes a look at how Toyota is putting teen drivers to the test  #drivingexpectations ^SD http://bit.ly/YATgF</t>
  </si>
  <si>
    <t>2009-07-14T14:30:59.000Z</t>
  </si>
  <si>
    <t>@davidpuner</t>
  </si>
  <si>
    <t>https://x.com/Toyota/status/2621327800</t>
  </si>
  <si>
    <t>@cavecutter The 2010 Highlander has a one piece third row seat...like the 2009. ^SD</t>
  </si>
  <si>
    <t>2009-07-13T22:01:23.000Z</t>
  </si>
  <si>
    <t>https://x.com/Toyota/status/2620891565</t>
  </si>
  <si>
    <t>Be sure and follow the Prius Drive Thru, a month-long road trip across America sponsored by Toyota. http://tinyurl.com/l7d6hy ^SD</t>
  </si>
  <si>
    <t>2009-07-13T21:31:41.000Z</t>
  </si>
  <si>
    <t>https://x.com/Toyota/status/2615493071</t>
  </si>
  <si>
    <t>@MarlonMartinez Nothing to announce.</t>
  </si>
  <si>
    <t>2009-07-13T15:28:29.000Z</t>
  </si>
  <si>
    <t>@tlberglund</t>
  </si>
  <si>
    <t>@Birdiee</t>
  </si>
  <si>
    <t>https://x.com/Toyota/status/2558488977</t>
  </si>
  <si>
    <t>Prius “Harmony Installations” campaign, and the solar flower displays are on-site in Boston JULY 8 - 19 http://tinyurl.com/ljg3w6 ^DM</t>
  </si>
  <si>
    <t>2009-07-09T23:07:50.000Z</t>
  </si>
  <si>
    <t>https://x.com/Toyota/status/2506141098</t>
  </si>
  <si>
    <t>@tlberglund I'm following you on Twitter. Did you get my DM?</t>
  </si>
  <si>
    <t>2009-07-07T00:58:36.000Z</t>
  </si>
  <si>
    <t>https://x.com/Toyota/status/2504145551</t>
  </si>
  <si>
    <t>Just uploaded 3 Lexus commercials to the Lexus vehicles youtube channel http://tinyurl.com/dyhj8z  Check ‘em out! ^DM</t>
  </si>
  <si>
    <t>2009-07-06T22:29:36.000Z</t>
  </si>
  <si>
    <t>https://x.com/Toyota/status/2503455437</t>
  </si>
  <si>
    <t>@suerigler Thanks for posting! I'll make sure to tell Jana &amp; Ed. ^DM</t>
  </si>
  <si>
    <t>2009-07-06T21:39:01.000Z</t>
  </si>
  <si>
    <t>https://x.com/Toyota/status/2502954247</t>
  </si>
  <si>
    <t>@tlberglund I'll be happy to DM you - go ahead and follow me. ^DM</t>
  </si>
  <si>
    <t>2009-07-06T20:58:21.000Z</t>
  </si>
  <si>
    <t>https://x.com/Toyota/status/2502773260</t>
  </si>
  <si>
    <t>@EvelynKanter  Thanks for bringing this up. We consider Toyota newsroom as a source of info for everyone! ^DM</t>
  </si>
  <si>
    <t>2009-07-06T20:45:12.000Z</t>
  </si>
  <si>
    <t>https://x.com/Toyota/status/2500510910</t>
  </si>
  <si>
    <t>Check out new post on the Toyota newsroom: Full hybrids vs. ‘Mild’ hybrids http://tinyurl.com/max3z9</t>
  </si>
  <si>
    <t>2009-07-06T18:05:03.000Z</t>
  </si>
  <si>
    <t>https://x.com/Toyota/status/2500494948</t>
  </si>
  <si>
    <t>Check out new post on the Toyota newsroom: Full hybrids vs. ‘Mild’ hybridshttp://tinyurl.com/max3z9  ^DM</t>
  </si>
  <si>
    <t>2009-07-06T18:03:56.000Z</t>
  </si>
  <si>
    <t>https://x.com/Toyota/status/2444356231</t>
  </si>
  <si>
    <t>@ashe_engineer Hi there. Please contact our Customer Experience Center and let them know the situation: http://tinyurl.com/ctdhlt ^SD</t>
  </si>
  <si>
    <t>2009-07-02T22:23:17.000Z</t>
  </si>
  <si>
    <t>@MikeFabish</t>
  </si>
  <si>
    <t>https://x.com/Toyota/status/2443835856</t>
  </si>
  <si>
    <t>Attention active military! Get $1K, special financing &amp; benefits on purchase or lease of new Scions: www.scion.com/military</t>
  </si>
  <si>
    <t>2009-07-02T21:46:38.000Z</t>
  </si>
  <si>
    <t>https://x.com/Toyota/status/2440102696</t>
  </si>
  <si>
    <t>Lexus F-Sport Accessories are 20% off through July 31st, 2009. Available exclusively on the IS, IS Convertible and GS. http://bit.ly/UxD70</t>
  </si>
  <si>
    <t>2009-07-02T17:25:47.000Z</t>
  </si>
  <si>
    <t>https://x.com/Toyota/status/2439973516</t>
  </si>
  <si>
    <t>LA Times: Solar energy helps to power huge ship at Port of Long Beach http://bit.ly/ZF2No  ^AT</t>
  </si>
  <si>
    <t>2009-07-02T17:17:04.000Z</t>
  </si>
  <si>
    <t>https://x.com/Toyota/status/2428087641</t>
  </si>
  <si>
    <t>@ZachHubbell Awesome. Glad to hear it. Thanks for the update. ^SD</t>
  </si>
  <si>
    <t>2009-07-01T23:25:14.000Z</t>
  </si>
  <si>
    <t>https://x.com/Toyota/status/2427743481</t>
  </si>
  <si>
    <t>@npalefsky Shoot us any questions she has about her new RX. Thanks. ^SD</t>
  </si>
  <si>
    <t>2009-07-01T22:59:36.000Z</t>
  </si>
  <si>
    <t>@npalefsky</t>
  </si>
  <si>
    <t>https://x.com/Toyota/status/2427678653</t>
  </si>
  <si>
    <t>@ZachHubbell Thanks Zach. ^SD</t>
  </si>
  <si>
    <t>2009-07-01T22:54:44.000Z</t>
  </si>
  <si>
    <t>https://x.com/Toyota/status/2427142261</t>
  </si>
  <si>
    <t>RT @realitygal: @Toyota I have decided to sell my Honda and buy a Toyota because you are on Twitter and open to customers  (Thanks, ^SD)</t>
  </si>
  <si>
    <t>2009-07-01T22:15:11.000Z</t>
  </si>
  <si>
    <t>https://x.com/Toyota/status/2426756315</t>
  </si>
  <si>
    <t>@Birdiee Call this number: 800-331-4331 They'll get you're info. ^SD</t>
  </si>
  <si>
    <t>2009-07-01T21:47:18.000Z</t>
  </si>
  <si>
    <t>https://x.com/Toyota/status/2426276442</t>
  </si>
  <si>
    <t>@Birdiee Hi there.  If you're having any issues, please contact our Customer Experience Center: http://tinyurl.com/ctdhlt ^SD</t>
  </si>
  <si>
    <t>2009-07-01T21:12:49.000Z</t>
  </si>
  <si>
    <t>https://x.com/Toyota/status/2425790719</t>
  </si>
  <si>
    <t>Pres. Obama nominates Dr. Brenda Dann-Messier of Toyota partner NCFL to be new Asst Secty at U.S. Dept of Ed. http://tinyurl.com/nq3w2o ^DS</t>
  </si>
  <si>
    <t>2009-07-01T20:38:38.000Z</t>
  </si>
  <si>
    <t>https://x.com/Toyota/status/2423366681</t>
  </si>
  <si>
    <t>Visit www.drivehs.com to begin your campaign to drive a Lexus HS 250h free for a year. Video:  http://tinyurl.com/ncbcxk #drivehs ^SD</t>
  </si>
  <si>
    <t>2009-07-01T17:44:44.000Z</t>
  </si>
  <si>
    <t>https://x.com/Toyota/status/2423283708</t>
  </si>
  <si>
    <t>Toyota reports June and half-year sales: http://bit.ly/vRMLd</t>
  </si>
  <si>
    <t>2009-07-01T17:38:53.000Z</t>
  </si>
  <si>
    <t>https://x.com/Toyota/status/2422860198</t>
  </si>
  <si>
    <t>@dcwilliams84 Still planning...nothing to announce yet.  Thanks, ^SD</t>
  </si>
  <si>
    <t>2009-07-01T17:09:02.000Z</t>
  </si>
  <si>
    <t>@dcwilliams84</t>
  </si>
  <si>
    <t>https://x.com/Toyota/status/2422621007</t>
  </si>
  <si>
    <t>@ZachHubbell Hey Zach, please contact our Customer Experience Center and let them know the situation http://tinyurl.com/ctdhlt Thanks ^SD</t>
  </si>
  <si>
    <t>2009-07-01T16:52:10.000Z</t>
  </si>
  <si>
    <t>https://x.com/Toyota/status/2422518462</t>
  </si>
  <si>
    <t>Enter to win a chance to drive the all-new Lexus HS 250h free for a year (and other great prizes) http://tinyurl.com/ncbcxk #drivehs ^SD</t>
  </si>
  <si>
    <t>2009-07-01T16:44:58.000Z</t>
  </si>
  <si>
    <t>https://x.com/Toyota/status/2406706927</t>
  </si>
  <si>
    <t>Toyota Camry tops this year's Cars.com American-Made Index: http://tinyurl.com/myjn94 #Kentucky #Indiana ^SD</t>
  </si>
  <si>
    <t>2009-06-30T17:34:29.000Z</t>
  </si>
  <si>
    <t>https://x.com/Toyota/status/2405396494</t>
  </si>
  <si>
    <t>VIDEO: Mind Power Moves Toyota Wheelchair http://tinyurl.com/ox3x2h ^SD</t>
  </si>
  <si>
    <t>2009-06-30T16:02:00.000Z</t>
  </si>
  <si>
    <t>https://x.com/Toyota/status/2405371236</t>
  </si>
  <si>
    <t>@suerigler That's cool.  I have a CD case made from one of our billboards http://bit.ly/3XMFP ^SD</t>
  </si>
  <si>
    <t>2009-06-30T16:00:17.000Z</t>
  </si>
  <si>
    <t>https://x.com/Toyota/status/2404776870</t>
  </si>
  <si>
    <t>@InfoWeek_Andrew Hope you enjoy your new ride.  2010 Prius is an incredible vehicle...If you need info on any features, let me know. ^SD</t>
  </si>
  <si>
    <t>2009-06-30T15:17:38.000Z</t>
  </si>
  <si>
    <t>@Drew_CM</t>
  </si>
  <si>
    <t>https://x.com/Toyota/status/2404648164</t>
  </si>
  <si>
    <t>@suerigler Prius is a great choice. We have tons of Prius "How To" videos on our Youtube channel: http://tinyurl.com/mkwum8 ^SD Enjoy!</t>
  </si>
  <si>
    <t>2009-06-30T15:08:15.000Z</t>
  </si>
  <si>
    <t>https://x.com/Toyota/status/2404379444</t>
  </si>
  <si>
    <t>@suerigler Both great vehicles...but very different.  How'd you narrow down to Venza and Prius? ^SD</t>
  </si>
  <si>
    <t>2009-06-30T14:48:43.000Z</t>
  </si>
  <si>
    <t>https://x.com/Toyota/status/2404359134</t>
  </si>
  <si>
    <t>@cait2009 Congrats.  Hope you have a great experience with your new Camry. Enjoy! ^SD #toyota</t>
  </si>
  <si>
    <t>2009-06-30T14:47:15.000Z</t>
  </si>
  <si>
    <t>@cait2009</t>
  </si>
  <si>
    <t>https://x.com/Toyota/status/2394885075</t>
  </si>
  <si>
    <t>@pamkulik We've started combined to build a model and plan for support/sustainment...Plan to eventually break off the brands. ^SD</t>
  </si>
  <si>
    <t>2009-06-29T22:58:00.000Z</t>
  </si>
  <si>
    <t>https://x.com/Toyota/status/2392949673</t>
  </si>
  <si>
    <t>2000 Tundra takes the "Hauling Over $30,000" category in @insideline_com Readers' Most Wanted Awards http://tinyurl.com/kud9fv ^SD</t>
  </si>
  <si>
    <t>2009-06-29T20:34:00.000Z</t>
  </si>
  <si>
    <t>https://x.com/Toyota/status/2388384716</t>
  </si>
  <si>
    <t>Toyota Motor Corporation News Release: Real-time control of wheelchairs with brain waves http://tinyurl.com/ksspe3</t>
  </si>
  <si>
    <t>2009-06-29T15:00:28.000Z</t>
  </si>
  <si>
    <t>https://x.com/Toyota/status/2328696557</t>
  </si>
  <si>
    <t>Toyota Car Allowance Rebate System (CARS)...Government’s trade-in program aka “Cash for Clunkers”  http://tinyurl.com/lxmpp9 ^SD</t>
  </si>
  <si>
    <t>2009-06-25T16:53:13.000Z</t>
  </si>
  <si>
    <t>https://x.com/Toyota/status/2316801747</t>
  </si>
  <si>
    <t>Check out the new episode of  Lisa Kudrow's "Web Therapy" on LStudio.com http://tinyurl.com/mnnn65 #lisakudrow #lexus</t>
  </si>
  <si>
    <t>2009-06-24T21:45:00.000Z</t>
  </si>
  <si>
    <t>https://x.com/Toyota/status/2316152804</t>
  </si>
  <si>
    <t>VIDEO: Lexus Group VP Mark Templin discusses the commitment to making a difference by building the HS 250h http://tinyurl.com/kkne2n ^SD</t>
  </si>
  <si>
    <t>2009-06-24T20:55:18.000Z</t>
  </si>
  <si>
    <t>https://x.com/Toyota/status/2312558011</t>
  </si>
  <si>
    <t>@michaelbanovsky Thanks Michael...I'll pass around the invite.  Appreciate it. ^SD</t>
  </si>
  <si>
    <t>2009-06-24T16:31:40.000Z</t>
  </si>
  <si>
    <t>https://x.com/Toyota/status/2304517409</t>
  </si>
  <si>
    <t>@pamkulik Hi. Currently all the official tweets for Toyota/Lexus/Scion go out via @Toyota ^SD</t>
  </si>
  <si>
    <t>2009-06-24T02:36:17.000Z</t>
  </si>
  <si>
    <t>https://x.com/Toyota/status/2297261648</t>
  </si>
  <si>
    <t>Lisa Kudrow Returns to LStudio.com with Award-Winning Role in “Web Therapy” http://tinyurl.com/ngnsck #lexus ^SD</t>
  </si>
  <si>
    <t>2009-06-23T17:13:29.000Z</t>
  </si>
  <si>
    <t>https://x.com/Toyota/status/2296131695</t>
  </si>
  <si>
    <t>Thr.com: A “Friends” reunion of sorts is coming to the Internet courtesy of Lexus. http://tinyurl.com/mu4hhx #lstudio ^SD</t>
  </si>
  <si>
    <t>2009-06-23T15:48:21.000Z</t>
  </si>
  <si>
    <t>https://x.com/Toyota/status/2283920161</t>
  </si>
  <si>
    <t>2009-06-22T20:14:04.000Z</t>
  </si>
  <si>
    <t>https://x.com/Toyota/status/2281707653</t>
  </si>
  <si>
    <t>Toyota/Lexus Earn 10 Segment Awards in the J.D. Power 2009 Initial Quality Study. Toyota Release: http://tinyurl.com/n9rsap ^SD</t>
  </si>
  <si>
    <t>2009-06-22T17:26:30.000Z</t>
  </si>
  <si>
    <t>https://x.com/Toyota/status/2281568542</t>
  </si>
  <si>
    <t>RT @JDPowerOnline: Toyota captures 10 segment awards—more than any other corporation in the 2009 Initial Quality Study. #JDPowerIQS</t>
  </si>
  <si>
    <t>2009-06-22T17:15:54.000Z</t>
  </si>
  <si>
    <t>https://x.com/Toyota/status/2281536230</t>
  </si>
  <si>
    <t>RT @freepautos: J.D. Power study: Toyota tops in quality; Cadillac is best U.S. brand... http://bit.ly/QvurB</t>
  </si>
  <si>
    <t>2009-06-22T17:13:29.000Z</t>
  </si>
  <si>
    <t>https://x.com/Toyota/status/2279898854</t>
  </si>
  <si>
    <t>"Let Your Love Flow" (from the Prius "Harmony" commercial) is still available for download at: http://tinyurl.com/pv8rja #musicmonday</t>
  </si>
  <si>
    <t>2009-06-22T15:08:40.000Z</t>
  </si>
  <si>
    <t>https://x.com/Toyota/status/2279845155</t>
  </si>
  <si>
    <t>Good morning.  Hope all you dads had a wonderful Father's Day. ^SD</t>
  </si>
  <si>
    <t>2009-06-22T15:04:26.000Z</t>
  </si>
  <si>
    <t>https://x.com/Toyota/status/2223472728</t>
  </si>
  <si>
    <t>Watch a Lexus RX being built from ground up on Discovery's "Factory Made" Fri. June 19 8/11 pm ET. ^SD</t>
  </si>
  <si>
    <t>2009-06-18T15:19:03.000Z</t>
  </si>
  <si>
    <t>https://x.com/Toyota/status/2209131948</t>
  </si>
  <si>
    <t>@jfseattle Thanks...glad you're enjoying your ride. ^SD</t>
  </si>
  <si>
    <t>2009-06-17T17:02:45.000Z</t>
  </si>
  <si>
    <t>https://x.com/Toyota/status/2208958026</t>
  </si>
  <si>
    <t>Check out the latest edition of the Toyota Environmental Update.  http://bit.ly/1vA4wN  Enjoy! ^AT</t>
  </si>
  <si>
    <t>2009-06-17T16:50:18.000Z</t>
  </si>
  <si>
    <t>https://x.com/Toyota/status/2195476800</t>
  </si>
  <si>
    <t>@blowntaco Hey there. We have nothing to announce at this time regarding a Toyota diesel coming to the U.S. market. ^SD</t>
  </si>
  <si>
    <t>2009-06-16T18:10:56.000Z</t>
  </si>
  <si>
    <t>https://x.com/Toyota/status/2193926507</t>
  </si>
  <si>
    <t>Our Point of View: Hybrid Cost Analysis http://tinyurl.com/l6yfbs</t>
  </si>
  <si>
    <t>2009-06-16T16:06:49.000Z</t>
  </si>
  <si>
    <t>https://x.com/Toyota/status/2193846082</t>
  </si>
  <si>
    <t>@SlickRich85 If you get a chance, hit a dealer for a test drive.  It's an amazing vehicle. ^SD</t>
  </si>
  <si>
    <t>2009-06-16T16:00:30.000Z</t>
  </si>
  <si>
    <t>@LeModulicious</t>
  </si>
  <si>
    <t>https://x.com/Toyota/status/2193833315</t>
  </si>
  <si>
    <t>@blowntaco yeah...I guess that would qualify. ^SD</t>
  </si>
  <si>
    <t>2009-06-16T15:59:34.000Z</t>
  </si>
  <si>
    <t>https://x.com/Toyota/status/2193323188</t>
  </si>
  <si>
    <t>Morning everyone. #haveyouever driven a hybrid vehicle? ^SD</t>
  </si>
  <si>
    <t>2009-06-16T15:18:04.000Z</t>
  </si>
  <si>
    <t>https://x.com/Toyota/status/2184349339</t>
  </si>
  <si>
    <t>New Video: take a look at some of the innovative features available on the all-new 2010 Lexus HS 250h http://bit.ly/16GFvl ^SD</t>
  </si>
  <si>
    <t>2009-06-15T22:46:48.000Z</t>
  </si>
  <si>
    <t>https://x.com/Toyota/status/2184308259</t>
  </si>
  <si>
    <t>New Video: Overview of the 2010 Lexus IS C with Lexus VP Mark Templin http://bit.ly/KY1Ei  ^SD</t>
  </si>
  <si>
    <t>2009-06-15T22:43:12.000Z</t>
  </si>
  <si>
    <t>https://x.com/Toyota/status/2184249634</t>
  </si>
  <si>
    <t>New Video: take a look at some of the environmental aspects of the all-new 2010 Lexus HS 250h http://bit.ly/Rapbn ^SD</t>
  </si>
  <si>
    <t>2009-06-15T22:38:11.000Z</t>
  </si>
  <si>
    <t>https://x.com/Toyota/status/2182655670</t>
  </si>
  <si>
    <t>RT @KickingTires: Loving the Toyota Prius sponsored Gawker Hybrid!!! Is this going to stick around? @RayWert? http://gawker.com/hybrid/  ^SD</t>
  </si>
  <si>
    <t>2009-06-15T20:27:38.000Z</t>
  </si>
  <si>
    <t>https://x.com/Toyota/status/2182611237</t>
  </si>
  <si>
    <t>TogetherGreen publishes their first newsletter - check out some great enviro stories at: http://tinyurl.com/msujrk ^DS</t>
  </si>
  <si>
    <t>2009-06-15T20:24:05.000Z</t>
  </si>
  <si>
    <t>https://x.com/Toyota/status/2180909431</t>
  </si>
  <si>
    <t>RT @andybeaupre: Why the new Toyota Prius TV ads are setting the bar higher for socially conscious brands: http://tinyurl.com/luuwej</t>
  </si>
  <si>
    <t>2009-06-15T18:06:25.000Z</t>
  </si>
  <si>
    <t>https://x.com/Toyota/status/2159379731</t>
  </si>
  <si>
    <t>@Magsec4 You're welcome. Enjoy! ^SD</t>
  </si>
  <si>
    <t>2009-06-14T00:01:58.000Z</t>
  </si>
  <si>
    <t>@Magsec4</t>
  </si>
  <si>
    <t>https://x.com/Toyota/status/2137184708</t>
  </si>
  <si>
    <t>@AdAsia If you visit Toyota.com you'll see that it's categorized as a car in our lineup. ^SD</t>
  </si>
  <si>
    <t>2009-06-12T21:47:56.000Z</t>
  </si>
  <si>
    <t>@AdAsia</t>
  </si>
  <si>
    <t>https://x.com/Toyota/status/2136838806</t>
  </si>
  <si>
    <t>FYI...We are now @toyota on twitter.  ^SD</t>
  </si>
  <si>
    <t>2009-06-12T21:17:45.000Z</t>
  </si>
  <si>
    <t>https://x.com/Toyota/status/2133572570</t>
  </si>
  <si>
    <t>TogetherGreen launches Community Passport - learn about volunteering opps - possibly win a bike! http://tinyurl.com/np4b5e</t>
  </si>
  <si>
    <t>2009-06-12T16:54:31.000Z</t>
  </si>
  <si>
    <t>https://x.com/Toyota/status/2122252916</t>
  </si>
  <si>
    <t>@microcarmag DM me your email and I'll shoot you an image. -Scott</t>
  </si>
  <si>
    <t>2009-06-11T21:16:59.000Z</t>
  </si>
  <si>
    <t>https://x.com/Toyota/status/2105573991</t>
  </si>
  <si>
    <t>Scion xD Release Series 2.0 – Final Limited Edition for 2009 http://tinyurl.com/kqgbcd</t>
  </si>
  <si>
    <t>2009-06-10T17:07:54.000Z</t>
  </si>
  <si>
    <t>https://x.com/Toyota/status/2092591277</t>
  </si>
  <si>
    <t>Toyota USA Foundation Announces $3.3 Million in New Grants - support of K-12 math and science continues: http://tinyurl.com/lllapx</t>
  </si>
  <si>
    <t>2009-06-09T18:20:54.000Z</t>
  </si>
  <si>
    <t>https://x.com/Toyota/status/2092116627</t>
  </si>
  <si>
    <t>Song from the Prius "Harmony" commercial available for free download here: http://tinyurl.com/obv4lt</t>
  </si>
  <si>
    <t>2009-06-09T17:40:21.000Z</t>
  </si>
  <si>
    <t>https://x.com/Toyota/status/2092012829</t>
  </si>
  <si>
    <t>@elfurbe Thanks for the feedback.</t>
  </si>
  <si>
    <t>2009-06-09T17:31:21.000Z</t>
  </si>
  <si>
    <t>@elfurbe</t>
  </si>
  <si>
    <t>https://x.com/Toyota/status/2090620902</t>
  </si>
  <si>
    <t>Check out photos from Toyota's experience with the FCHV-adv on the Hydrogen Road Tour 2009  http://bit.ly/8jHAz  - @amykt</t>
  </si>
  <si>
    <t>2009-06-09T15:29:54.000Z</t>
  </si>
  <si>
    <t>https://x.com/Toyota/status/2090534115</t>
  </si>
  <si>
    <t>@DP No problem...Enjoy!</t>
  </si>
  <si>
    <t>2009-06-09T15:22:13.000Z</t>
  </si>
  <si>
    <t>@DP</t>
  </si>
  <si>
    <t>https://x.com/Toyota/status/2090472598</t>
  </si>
  <si>
    <t>@DP That's where the download is available. Look for the green download box to load on the upper right side. You'll see Petra.</t>
  </si>
  <si>
    <t>2009-06-09T15:16:48.000Z</t>
  </si>
  <si>
    <t>https://x.com/Toyota/status/2090362198</t>
  </si>
  <si>
    <t>@DP Click on this link:  http://bit.ly/hJy6B  Look for the box to load on the top upper right side of the page. -Scott</t>
  </si>
  <si>
    <t>2009-06-09T15:06:54.000Z</t>
  </si>
  <si>
    <t>https://x.com/Toyota/status/2090151959</t>
  </si>
  <si>
    <t>Petra Haden's "Let Your Love Flow" is now available as the Toyota Tuesday free MP3 download on Myspace: http://bit.ly/hJy6B #Prius</t>
  </si>
  <si>
    <t>2009-06-09T14:48:18.000Z</t>
  </si>
  <si>
    <t>https://x.com/Toyota/status/2090084604</t>
  </si>
  <si>
    <t>Petra Haden's "Let Your Love Flow" is now available as the Toyota Tuesday free MP3 download on Myspace: http://bit.ly/hJy6B</t>
  </si>
  <si>
    <t>2009-06-09T14:42:11.000Z</t>
  </si>
  <si>
    <t>https://x.com/Toyota/status/2080812016</t>
  </si>
  <si>
    <t>@AOLAutos Tried through Twitter help for 3 months. Might have to take another "less friendly" route.</t>
  </si>
  <si>
    <t>2009-06-08T20:30:51.000Z</t>
  </si>
  <si>
    <t>@AOLAutos</t>
  </si>
  <si>
    <t>https://x.com/Toyota/status/2080723678</t>
  </si>
  <si>
    <t>20 Twitter Brands Behaving Badly: http://bit.ly/BgKfh Guess the author doesn't realize most of these brands are taken by squatters.</t>
  </si>
  <si>
    <t>2009-06-08T20:23:14.000Z</t>
  </si>
  <si>
    <t>https://x.com/Toyota/status/2079230045</t>
  </si>
  <si>
    <t>A Lexus LX 570 took the class win on it's maiden start in the 2009 SCORE Tecate Baja 500. Unofficial Results: http://bit.ly/12tswH</t>
  </si>
  <si>
    <t>2009-06-08T18:22:39.000Z</t>
  </si>
  <si>
    <t>https://x.com/Toyota/status/2077790746</t>
  </si>
  <si>
    <t>Just added the 2010 Toyota Prius "Solar" TV Commercial http://bit.ly/PriusSolarCommercial -Scott</t>
  </si>
  <si>
    <t>2009-06-08T16:25:35.000Z</t>
  </si>
  <si>
    <t>https://x.com/Toyota/status/2077044922</t>
  </si>
  <si>
    <t>@sirmenace Hi Dennis.  The best route to get info. regarding our dealers is to contact our Customer Experience Center: http://bit.ly/4cAEA</t>
  </si>
  <si>
    <t>2009-06-08T15:19:12.000Z</t>
  </si>
  <si>
    <t>@sirmenace</t>
  </si>
  <si>
    <t>https://x.com/Toyota/status/2056224080</t>
  </si>
  <si>
    <t>@KatGamer Hi. We had some server staging issues.  The track will be available early next week. Tweets will be sent out. -Scott</t>
  </si>
  <si>
    <t>2009-06-06T17:45:12.000Z</t>
  </si>
  <si>
    <t>@SailorBrite</t>
  </si>
  <si>
    <t>https://x.com/Toyota/status/2056222022</t>
  </si>
  <si>
    <t>@feistyred Hi. We had some server staging issues.  The track will be available early next week. Tweets will be sent out. -Scott</t>
  </si>
  <si>
    <t>2009-06-06T17:44:59.000Z</t>
  </si>
  <si>
    <t>@heycharity</t>
  </si>
  <si>
    <t>https://x.com/Toyota/status/2045908700</t>
  </si>
  <si>
    <t>@peepscreative &amp; @SteaminDimSum "Harmony" commercial track will be available early next week on Toyota.com</t>
  </si>
  <si>
    <t>2009-06-05T18:24:58.000Z</t>
  </si>
  <si>
    <t>@davidsutula</t>
  </si>
  <si>
    <t>https://x.com/Toyota/status/2045778230</t>
  </si>
  <si>
    <t>@peepscreative  Still working out the details - we'll send more info as soon as it's available on toyota.com</t>
  </si>
  <si>
    <t>2009-06-05T18:13:19.000Z</t>
  </si>
  <si>
    <t>https://x.com/Toyota/status/2044857652</t>
  </si>
  <si>
    <t>Watch a Lexus LX 570 race in the SCORE Tecate Baja 500 this weekend! http://tinyurl.com/kmndqk Look for us...we're #879</t>
  </si>
  <si>
    <t>2009-06-05T16:54:49.000Z</t>
  </si>
  <si>
    <t>https://x.com/Toyota/status/2039733159</t>
  </si>
  <si>
    <t>@SteaminDimSum Just "Let Your Love Flow"</t>
  </si>
  <si>
    <t>2009-06-05T05:40:09.000Z</t>
  </si>
  <si>
    <t>@SteaminDimSum</t>
  </si>
  <si>
    <t>https://x.com/Toyota/status/2008403817</t>
  </si>
  <si>
    <t>2009 Meeting of the Minds gathered political, business &amp; civic leaders in NYC today. Read Irv Miller's remarks at  http://bit.ly/13Q1C4</t>
  </si>
  <si>
    <t>2009-06-02T21:04:49.000Z</t>
  </si>
  <si>
    <t>https://x.com/Toyota/status/2006295685</t>
  </si>
  <si>
    <t>Toyota reports May sales: http://tinyurl.com/qg8z62</t>
  </si>
  <si>
    <t>2009-06-02T17:57:25.000Z</t>
  </si>
  <si>
    <t>https://x.com/Toyota/status/2004787826</t>
  </si>
  <si>
    <t>Toyota sponsors National Safety Month’s Teen Driving Week June 1-7 and offers its free driver safety program: http://tinyurl.com/nkdsl3</t>
  </si>
  <si>
    <t>2009-06-02T15:44:38.000Z</t>
  </si>
  <si>
    <t>https://x.com/Toyota/status/2004310610</t>
  </si>
  <si>
    <t>Toyota partner Audubon and the TogetherGreen program covered in the Sun-Sentinel: http://tinyurl.com/lm4xbz</t>
  </si>
  <si>
    <t>2009-06-02T15:00:17.000Z</t>
  </si>
  <si>
    <t>https://x.com/Toyota/status/1996737454</t>
  </si>
  <si>
    <t>@auto_bird Hope that helps! Although, industry reports May sales tomorrow so it may change. -Sona</t>
  </si>
  <si>
    <t>2009-06-01T22:36:05.000Z</t>
  </si>
  <si>
    <t>https://x.com/Toyota/status/1996725869</t>
  </si>
  <si>
    <t>@Auto_Bird For Toyota, mkt share this year thru April = 16.1%; For Toyota Div., mkt share this year thru April = 14.2%. -Sona</t>
  </si>
  <si>
    <t>2009-06-01T22:34:52.000Z</t>
  </si>
  <si>
    <t>https://x.com/Toyota/status/1996310914</t>
  </si>
  <si>
    <t>@auto_bird Want to clarify some #s. Toyota U.S. market share this year through April is 16.1%. Please let me know if you have any Qs. -Sona</t>
  </si>
  <si>
    <t>2009-06-01T21:52:26.000Z</t>
  </si>
  <si>
    <t>https://x.com/Toyota/status/1991743407</t>
  </si>
  <si>
    <t>Very nice recognition of Toyota's corporate citizenship from our local KY paper: http://tinyurl.com/ndctvw</t>
  </si>
  <si>
    <t>2009-06-01T14:35:12.000Z</t>
  </si>
  <si>
    <t>https://x.com/Toyota/status/1964844200</t>
  </si>
  <si>
    <t>http://twitpic.com/67mhl - FCHV-adv in Redding, Calif. The temp is 98F so the guys are fighting over who gets to sit in the "Ride and Dr ...</t>
  </si>
  <si>
    <t>2009-05-29T21:54:05.000Z</t>
  </si>
  <si>
    <t>https://x.com/Toyota/status/1964480843</t>
  </si>
  <si>
    <t>http://twitpic.com/67j6o - Fueling the Toyota FCHV-adv with the mobile 70 MPa fueler at the Sierra Nevada Brewery on the Hydrogen Road T ...</t>
  </si>
  <si>
    <t>2009-05-29T21:18:12.000Z</t>
  </si>
  <si>
    <t>https://x.com/Toyota/status/1964454235</t>
  </si>
  <si>
    <t>http://twitpic.com/67iyf - First time fuel cell driver got great MPG in the FCHV-adv on the West Sacramento to Chico leg of the Hydrogen ...</t>
  </si>
  <si>
    <t>2009-05-29T21:15:39.000Z</t>
  </si>
  <si>
    <t>RT @Toyota: 10/29 #Scion #SEMA car preview party video featuring the Kogi xD mobile kitchen  http://bit.ly/4vkM55 ^DM</t>
  </si>
  <si>
    <t>10/29 #Scion #SEMA car preview party video featuring the Kogi xD mobile kitchen  http://bit.ly/4vkM55 ^DM</t>
  </si>
  <si>
    <t>Chicago Solar Flowers Bloom on Navy Pier Display August 8-22, 2009  http://tinyurl.com/ltywrv ^DM</t>
  </si>
  <si>
    <t>ToyotaVIDEO: Rod Millen's Toyota Tacoma charges up the hill http://tinyurl.com/nobwd2  (via @therealautoblog ) Man that thing cooks! ^SD</t>
  </si>
  <si>
    <t>Adage.com: Month's Top 10 Most-Liked, Most-Recalled New TV Spots http://tinyurl.com/lo3kyl (Those Prius ads get in your head ^SD)</t>
  </si>
  <si>
    <t>@AutoblogGreen</t>
  </si>
  <si>
    <t>@audubonsociety</t>
  </si>
  <si>
    <t>@autoblogrss</t>
  </si>
  <si>
    <t>@icrossing</t>
  </si>
  <si>
    <t>@clubsciontc</t>
  </si>
  <si>
    <t>@realitygal</t>
  </si>
  <si>
    <t>@JDPowerOnline</t>
  </si>
  <si>
    <t>@KickingTires</t>
  </si>
  <si>
    <t>@andybeaupre</t>
  </si>
  <si>
    <t>Time posted</t>
  </si>
  <si>
    <t>Date posted</t>
  </si>
  <si>
    <t>Total Engagement</t>
  </si>
  <si>
    <t>Engagement Level</t>
  </si>
  <si>
    <t>https://twitter.com/VW/status/677238454585987072</t>
  </si>
  <si>
    <t>Volkswagen</t>
  </si>
  <si>
    <t>@VW</t>
  </si>
  <si>
    <t>@CassieHannon Thanks for getting in touch, Cassie! You can find contact info at http://media.vw.com/contacts.htm.</t>
  </si>
  <si>
    <t>2015-12-16T21:26:44.000Z</t>
  </si>
  <si>
    <t>@CassieHannon</t>
  </si>
  <si>
    <t/>
  </si>
  <si>
    <t>https://twitter.com/VW/status/677238450278428672</t>
  </si>
  <si>
    <t>@TheRhysma We always look for ways to help our drivers. Please DM us your VIN and email address so we can look further into this #VWCares</t>
  </si>
  <si>
    <t>2015-12-16T21:26:43.000Z</t>
  </si>
  <si>
    <t>@TheRhysma</t>
  </si>
  <si>
    <t>https://twitter.com/VW/status/677237613019791360</t>
  </si>
  <si>
    <t>@CornelivsW Good question! The numbers indicate how far you have to go until it’s time for your service. #VWCares</t>
  </si>
  <si>
    <t>2015-12-16T21:23:24.000Z</t>
  </si>
  <si>
    <t>https://twitter.com/VW/status/677237608750039040</t>
  </si>
  <si>
    <t>@alleycats4u Thank you, Stephanie. One of our colleagues will reach out to you soon.</t>
  </si>
  <si>
    <t>2015-12-16T21:23:23.000Z</t>
  </si>
  <si>
    <t>@EatAtlantallc</t>
  </si>
  <si>
    <t>https://twitter.com/VW/status/677237607185571840</t>
  </si>
  <si>
    <t>@IamSuperFrankie We’re sorry to hear this happened. You can reach out to VW Credit at 800-428-4034. They will be happy to assist you.</t>
  </si>
  <si>
    <t>2015-12-16T21:23:22.000Z</t>
  </si>
  <si>
    <t>@IamSuperFrankie</t>
  </si>
  <si>
    <t>https://twitter.com/VW/status/677207636853456896</t>
  </si>
  <si>
    <t>@CarolGuttery We’re sorry to hear of that. Try http://vw.com/contact and you can Live Chat with us right away or even drop us an email.</t>
  </si>
  <si>
    <t>2015-12-16T19:24:17.000Z</t>
  </si>
  <si>
    <t>@CarolGuttery</t>
  </si>
  <si>
    <t>https://twitter.com/VW/status/677177198017572864</t>
  </si>
  <si>
    <t>@DAmaya1012 DM us your email address and we’ll gladly reach out to you to make it happen. #VWCares</t>
  </si>
  <si>
    <t>2015-12-16T17:23:20.000Z</t>
  </si>
  <si>
    <t>@DAmaya1012</t>
  </si>
  <si>
    <t>https://twitter.com/VW/status/677177196151091200</t>
  </si>
  <si>
    <t>@DAmaya1012 Congratulations on your achievement, David! We’d love to send you something to commemorate the occasion.</t>
  </si>
  <si>
    <t>2015-12-16T17:23:19.000Z</t>
  </si>
  <si>
    <t>https://twitter.com/VW/status/677177193085009920</t>
  </si>
  <si>
    <t>@CornelivsW This indicator usually means it is time for service. We recommend making an appointment with your local VW dealership. #VWCares</t>
  </si>
  <si>
    <t>2015-12-16T17:23:18.000Z</t>
  </si>
  <si>
    <t>https://twitter.com/VW/status/677159732608503809</t>
  </si>
  <si>
    <t>@the_gar_spot Thanks for reaching out to us; we appreciate your feedback! If you’d like to talk more, please give us a call at 800-822-8987.</t>
  </si>
  <si>
    <t>2015-12-16T16:13:55.000Z</t>
  </si>
  <si>
    <t>@GarMcVeyRussell</t>
  </si>
  <si>
    <t>https://twitter.com/VW/status/677152611640807426</t>
  </si>
  <si>
    <t>@dnp1015 In the meantime, if you questions, please call us at 800-822-8987.</t>
  </si>
  <si>
    <t>2015-12-16T15:45:38.000Z</t>
  </si>
  <si>
    <t>@dnp1015</t>
  </si>
  <si>
    <t>https://twitter.com/VW/status/677152609816326145</t>
  </si>
  <si>
    <t>@dnp1015 We see you’re working with our Customer Care team. We’ll be reaching out to you today to talk more.</t>
  </si>
  <si>
    <t>2015-12-16T15:45:37.000Z</t>
  </si>
  <si>
    <t>https://twitter.com/VW/status/677138609598676993</t>
  </si>
  <si>
    <t>@PS3GAMER1997 Cool pic, Will! Thanks for sharing! #VWCares</t>
  </si>
  <si>
    <t>2015-12-16T14:49:59.000Z</t>
  </si>
  <si>
    <t>https://twitter.com/VW/status/677138607975436288</t>
  </si>
  <si>
    <t>@katiek485 We’re glad to hear it, Kate! Congratulations and happy driving! #VWCares</t>
  </si>
  <si>
    <t>https://twitter.com/VW/status/677138604682969088</t>
  </si>
  <si>
    <t>@aaronjblack90 Please feel free to reach out to us again if you’d like to discuss your case further. We’re always listening.</t>
  </si>
  <si>
    <t>2015-12-16T14:49:58.000Z</t>
  </si>
  <si>
    <t>@aaronjblack90</t>
  </si>
  <si>
    <t>https://twitter.com/VW/status/677135956353277952</t>
  </si>
  <si>
    <t>@aaronjblack90 We see you’ve already spoken with our colleagues about your concerns and we regret we were unable to meet your expectations.</t>
  </si>
  <si>
    <t>2015-12-16T14:39:27.000Z</t>
  </si>
  <si>
    <t>https://twitter.com/VW/status/676846364064518146</t>
  </si>
  <si>
    <t>@ospunx We’d like to look further into this to see how we could help. Please DM us your VIN and email address and we’ll follow up. #VWCares</t>
  </si>
  <si>
    <t>2015-12-15T19:28:43.000Z</t>
  </si>
  <si>
    <t>@ospunx</t>
  </si>
  <si>
    <t>https://twitter.com/VW/status/676841891510403072</t>
  </si>
  <si>
    <t>@OohSusieQ Congrats, Susie! We’re excited to have you join the VW family! If you have questions, give us a call at 800-822-8987.</t>
  </si>
  <si>
    <t>2015-12-15T19:10:56.000Z</t>
  </si>
  <si>
    <t>@oohsusieq206</t>
  </si>
  <si>
    <t>https://twitter.com/VW/status/676841889841057792</t>
  </si>
  <si>
    <t>@will_VS_chris We’d like to hear more about what’s happening. Please DM us your VIN and email so we can get in touch. #VWCares</t>
  </si>
  <si>
    <t>@BillyHoOfficial</t>
  </si>
  <si>
    <t>https://twitter.com/VW/status/676841887928483841</t>
  </si>
  <si>
    <t>@JamesFreePBX We’d like to see how we might be able to help. Please DM us your VIN and email address and a colleague of ours will reach out.</t>
  </si>
  <si>
    <t>2015-12-15T19:10:55.000Z</t>
  </si>
  <si>
    <t>https://twitter.com/VW/status/676841886078775297</t>
  </si>
  <si>
    <t>@alleycats4u We would be happy to research your concerns further. If you’d like, DM your VIN and email address and we’ll reach out to you.</t>
  </si>
  <si>
    <t>https://twitter.com/VW/status/676829568133533696</t>
  </si>
  <si>
    <t>@bonchristian0 Head over to http://vw.com/contact and there's a button for LIVE CHAT on the top right of the page #VWCares</t>
  </si>
  <si>
    <t>2015-12-15T18:21:58.000Z</t>
  </si>
  <si>
    <t>@paloaltoicu</t>
  </si>
  <si>
    <t>https://twitter.com/VW/status/676820929050099712</t>
  </si>
  <si>
    <t>@NJ_Dubbin Okay great to hear it's back up! Please let us know if there's anything else we can assist with in the future.</t>
  </si>
  <si>
    <t>2015-12-15T17:47:38.000Z</t>
  </si>
  <si>
    <t>https://twitter.com/VW/status/676812993527582722</t>
  </si>
  <si>
    <t>@cswanger You can also try our http://parts.vw.com site. We recommend the dealer so they can confirm the correct part number for you.</t>
  </si>
  <si>
    <t>2015-12-15T17:16:06.000Z</t>
  </si>
  <si>
    <t>@cswanger</t>
  </si>
  <si>
    <t>https://twitter.com/VW/status/676811284067717122</t>
  </si>
  <si>
    <t>@GrandyManFTW21 This isn’t what we hoped for you, and we’d like to hear more. Please DM us your VIN and email so we can reach out.</t>
  </si>
  <si>
    <t>2015-12-15T17:09:19.000Z</t>
  </si>
  <si>
    <t>https://twitter.com/VW/status/676811282431893504</t>
  </si>
  <si>
    <t>@ptorgus We would like to find out how we might be able to help. Please DM us your VIN and email address and we’ll gladly reach out to you.</t>
  </si>
  <si>
    <t>2015-12-15T17:09:18.000Z</t>
  </si>
  <si>
    <t>@ptorgus</t>
  </si>
  <si>
    <t>https://twitter.com/VW/status/676811280326377472</t>
  </si>
  <si>
    <t>@JHightman We’re very sorry for the inconvenience. Please DM us your email address and we’ll gladly reach out to you to hear more. #VWCares</t>
  </si>
  <si>
    <t>https://twitter.com/VW/status/676811277394567169</t>
  </si>
  <si>
    <t>@NJ_Dubbin One of our colleagues will be reaching out to you shortly with the next steps. #VWCares</t>
  </si>
  <si>
    <t>2015-12-15T17:09:17.000Z</t>
  </si>
  <si>
    <t>https://twitter.com/VW/status/676811275561664512</t>
  </si>
  <si>
    <t>@NJ_Dubbin We’re sorry to hear of your touchscreen. We want to look further into this to see how we can help.</t>
  </si>
  <si>
    <t>https://twitter.com/VW/status/676811274370482176</t>
  </si>
  <si>
    <t>@Itaryn1 Please DM us your VIN and email address and we will reach out to you soon. #VWCares</t>
  </si>
  <si>
    <t>@taryn_mckenna</t>
  </si>
  <si>
    <t>https://twitter.com/VW/status/676811272613072896</t>
  </si>
  <si>
    <t>@Itaryn1 We’re sorry to hear of the issues you’ve been experiencing. We’d like to look further into this to see how we might be able to help</t>
  </si>
  <si>
    <t>2015-12-15T17:09:16.000Z</t>
  </si>
  <si>
    <t>https://twitter.com/VW/status/676805016166862848</t>
  </si>
  <si>
    <t>@cswanger The parts department at your local dealer would be able to see what’s possible for your Jetta. http://vw.com/find-a-dealer</t>
  </si>
  <si>
    <t>2015-12-15T16:44:24.000Z</t>
  </si>
  <si>
    <t>https://twitter.com/VW/status/676805014686269440</t>
  </si>
  <si>
    <t>@20Facts We want a pleasurable experience when working with the dealership so we’re sorry to hear you’ve had anything but that.</t>
  </si>
  <si>
    <t>@20Facts</t>
  </si>
  <si>
    <t>https://twitter.com/VW/status/676803278810710016</t>
  </si>
  <si>
    <t>@20Facts We’d like to look further into this to see how we might be able to help. Please DM us your VIN and email and we will reach out.</t>
  </si>
  <si>
    <t>2015-12-15T16:37:30.000Z</t>
  </si>
  <si>
    <t>https://twitter.com/VW/status/676800635698700288</t>
  </si>
  <si>
    <t>@aaronjblack90 If it is easier for you, we're available over Live Chat  at http://vw.com 7 days a week. #VWCares</t>
  </si>
  <si>
    <t>2015-12-15T16:27:00.000Z</t>
  </si>
  <si>
    <t>https://twitter.com/VW/status/676800634171998208</t>
  </si>
  <si>
    <t>@aaronjblack90 We’re very sorry for the inconvenience. If you have any additional questions, please feel free to reach out to us again.</t>
  </si>
  <si>
    <t>https://twitter.com/VW/status/676530164344360960</t>
  </si>
  <si>
    <t>@PS3GAMER1997 We’d love to help! Check out http://vw.com/contact. It provides our live chat, phone number, and a place to leave a message.</t>
  </si>
  <si>
    <t>2015-12-14T22:32:15.000Z</t>
  </si>
  <si>
    <t>https://twitter.com/VW/status/676525722639319040</t>
  </si>
  <si>
    <t>@zoe_ann35 We can go over all of the features with you and see what we can do to help. #VWCares</t>
  </si>
  <si>
    <t>2015-12-14T22:14:36.000Z</t>
  </si>
  <si>
    <t>https://twitter.com/VW/status/676525720735121408</t>
  </si>
  <si>
    <t>@zoe_ann35 We’d love to help! Check out http://vw.com/contact where you can Live Chat with us or give us a call 1-800-822-8987</t>
  </si>
  <si>
    <t>2015-12-14T22:14:35.000Z</t>
  </si>
  <si>
    <t>@zoe_ann35</t>
  </si>
  <si>
    <t>https://twitter.com/VW/status/676523950264881152</t>
  </si>
  <si>
    <t>@InkM3Out We look for every opportunity to help our drivers. Please DM us your VIN and email so we can see look into this #VWCares</t>
  </si>
  <si>
    <t>2015-12-14T22:07:33.000Z</t>
  </si>
  <si>
    <t>https://twitter.com/VW/status/676516970611642368</t>
  </si>
  <si>
    <t>@BJSmithStrategy We're glad the dealer was able to help. Please give us a call at 800-822-8987 if you have any additional questions #VWCares</t>
  </si>
  <si>
    <t>2015-12-14T21:39:49.000Z</t>
  </si>
  <si>
    <t>@BJSmithArt</t>
  </si>
  <si>
    <t>https://twitter.com/VW/status/676509870619668480</t>
  </si>
  <si>
    <t>@raneycat We’re sorry to hear about this, and would like to look into it further. Please DM us your VIN and email so we get in touch.</t>
  </si>
  <si>
    <t>2015-12-14T21:11:36.000Z</t>
  </si>
  <si>
    <t>@raneycat</t>
  </si>
  <si>
    <t>https://twitter.com/VW/status/676499144282759168</t>
  </si>
  <si>
    <t>@runcnc7 Please DM us your VIN and email address and we’ll gladly reach out to you. #VWCares</t>
  </si>
  <si>
    <t>2015-12-14T20:28:59.000Z</t>
  </si>
  <si>
    <t>https://twitter.com/VW/status/676499142466625537</t>
  </si>
  <si>
    <t>@runcnc7 We’re sorry to hear about your VW and would be happy to find out how we might be able to help.</t>
  </si>
  <si>
    <t>2015-12-14T20:28:58.000Z</t>
  </si>
  <si>
    <t>https://twitter.com/VW/status/676499139383791616</t>
  </si>
  <si>
    <t>@BJSmithStrategy Please DM us your VIN and email address and we’ll gladly reach out to you. #VWCares</t>
  </si>
  <si>
    <t>https://twitter.com/VW/status/676499137357996032</t>
  </si>
  <si>
    <t>@BJSmithStrategy We’re very sorry for the inconvenience and would be happy to find out how we can help.</t>
  </si>
  <si>
    <t>2015-12-14T20:28:57.000Z</t>
  </si>
  <si>
    <t>https://twitter.com/VW/status/676474419988987904</t>
  </si>
  <si>
    <t>@EastCoastGeo Since your financial information is kept protected, we recommend that you continue to work with VW Credit.</t>
  </si>
  <si>
    <t>2015-12-14T18:50:44.000Z</t>
  </si>
  <si>
    <t>https://twitter.com/VW/status/676474418751606785</t>
  </si>
  <si>
    <t>@EastCoastGeo We sincerely apologize for the inconvenience you have experienced trying to obtain your title from VW Credit.</t>
  </si>
  <si>
    <t>https://twitter.com/VW/status/676474417224912896</t>
  </si>
  <si>
    <t>@EastCoastGeo We know how important it is to be with your family for the holidays and we want you to be there with them too.</t>
  </si>
  <si>
    <t>https://twitter.com/VW/status/676434266138349568</t>
  </si>
  <si>
    <t>@robertltotten We want a better experience for you as a VW driver and we're here to help! Please let us know if there's anything we can do.</t>
  </si>
  <si>
    <t>2015-12-14T16:11:11.000Z</t>
  </si>
  <si>
    <t>https://twitter.com/VW/status/676434264238325760</t>
  </si>
  <si>
    <t>@HCIDME We're here to help! Please let us know if there's anything we can do. #VWCares</t>
  </si>
  <si>
    <t>2015-12-14T16:11:10.000Z</t>
  </si>
  <si>
    <t>@HCIDME</t>
  </si>
  <si>
    <t>https://twitter.com/VW/status/676434262409666561</t>
  </si>
  <si>
    <t>@HpGregory We'd like to look further into this for you. Can you DM us your VIN and email address so we can reach out?</t>
  </si>
  <si>
    <t>https://twitter.com/VW/status/675416271840669696</t>
  </si>
  <si>
    <t>@blitchiz We're so glad to hear that you're okay! Thanks for sharing with us. If you'd like to tell us more, please reach out to us #VWCares</t>
  </si>
  <si>
    <t>2015-12-11T20:46:02.000Z</t>
  </si>
  <si>
    <t>@blitchiz</t>
  </si>
  <si>
    <t>https://twitter.com/VW/status/675400363512430592</t>
  </si>
  <si>
    <t>@PaulFromChicago We'd like to look further into this for you. Please DM us your VIN and email address and we will reach out for more info.</t>
  </si>
  <si>
    <t>2015-12-11T19:42:49.000Z</t>
  </si>
  <si>
    <t>@PaulFromChicago</t>
  </si>
  <si>
    <t>https://twitter.com/VW/status/675385181998460931</t>
  </si>
  <si>
    <t>@Technolomen We're sorry to hear of this. Please reach out to us if there's anything we can do to help http://vw.com/contact</t>
  </si>
  <si>
    <t>2015-12-11T18:42:30.000Z</t>
  </si>
  <si>
    <t>https://twitter.com/VW/status/675082097950859268</t>
  </si>
  <si>
    <t>@cryptokiely We’re sorry to hear about your concerns. If there’s anything we can do to help, please give us a call at 800-822-8987. #VWCares</t>
  </si>
  <si>
    <t>2015-12-10T22:38:09.000Z</t>
  </si>
  <si>
    <t>@cryptokiely</t>
  </si>
  <si>
    <t>https://twitter.com/VW/status/675082095883100160</t>
  </si>
  <si>
    <t>@KeithGiglio Please DM us your VIN and email address and we’ll gladly reach out to you to hear more. #VWCares</t>
  </si>
  <si>
    <t>2015-12-10T22:38:08.000Z</t>
  </si>
  <si>
    <t>@KeithGiglio</t>
  </si>
  <si>
    <t>https://twitter.com/VW/status/675080222434291713</t>
  </si>
  <si>
    <t>@KeithGiglio We are very sorry to hear about your concerns and would be happy to find out how we might be able to help.</t>
  </si>
  <si>
    <t>2015-12-10T22:30:42.000Z</t>
  </si>
  <si>
    <t>https://twitter.com/VW/status/675021385350033408</t>
  </si>
  <si>
    <t>@gotLUCHEii_iiDO Sorry to hear of your issues with your VW. Please DM us your VIN and email address if there's anything we can do to help.</t>
  </si>
  <si>
    <t>2015-12-10T18:36:54.000Z</t>
  </si>
  <si>
    <t>@gotLUCHEii_iiDO</t>
  </si>
  <si>
    <t>https://twitter.com/VW/status/675010708463943684</t>
  </si>
  <si>
    <t>@StrutnWuf Thanks for the heads up! We are currently working on it and should be back up soon.</t>
  </si>
  <si>
    <t>2015-12-10T17:54:28.000Z</t>
  </si>
  <si>
    <t>@StrutnWuf</t>
  </si>
  <si>
    <t>https://twitter.com/VW/status/675006398422384640</t>
  </si>
  <si>
    <t>@_cynthialoyolaa Please DM us your VIN and email address if there's anything we can do to assist after your dealer appointment #VWCares</t>
  </si>
  <si>
    <t>2015-12-10T17:37:21.000Z</t>
  </si>
  <si>
    <t>@_cynthialoyolaa</t>
  </si>
  <si>
    <t>https://twitter.com/VW/status/675006396815970304</t>
  </si>
  <si>
    <t>@_cynthialoyolaa We're sorry to hear of the noise that's going on with your VW. We want your VW in the best hands so that would be a dealer.</t>
  </si>
  <si>
    <t>2015-12-10T17:37:20.000Z</t>
  </si>
  <si>
    <t>https://twitter.com/VW/status/674995739504721920</t>
  </si>
  <si>
    <t>@PhishSchaefer We’re happy to hear that we’re working on this for you. Please reach out if there’s anything else in the future. #VWCares</t>
  </si>
  <si>
    <t>2015-12-10T16:54:59.000Z</t>
  </si>
  <si>
    <t>https://twitter.com/VW/status/674989482530115584</t>
  </si>
  <si>
    <t>@ESnow4th Thanks for the #VDubLove, Ed! We're thrilled you're enjoying your Golf! If you have questions, let us know; we're happy to help.</t>
  </si>
  <si>
    <t>2015-12-10T16:30:07.000Z</t>
  </si>
  <si>
    <t>https://twitter.com/VW/status/674989481091399680</t>
  </si>
  <si>
    <t>@Shawnvelopes We're sorry to hear about your GTI. Our Region Case Manager team will be reaching out to you to discuss any updates.</t>
  </si>
  <si>
    <t>@Shawnvelopes</t>
  </si>
  <si>
    <t>https://twitter.com/VW/status/674989479426322433</t>
  </si>
  <si>
    <t>@wise_marcia We're sorry we weren't able to meet your expectations this time. Please let us know if there's anything in the future.</t>
  </si>
  <si>
    <t>@wise_marcia</t>
  </si>
  <si>
    <t>https://twitter.com/VW/status/674717941334577152</t>
  </si>
  <si>
    <t>@davebacci We see you're working with our Customer Care team. They'll be reaching out to you soon. Let us know if there's anything else.</t>
  </si>
  <si>
    <t>2015-12-09T22:31:07.000Z</t>
  </si>
  <si>
    <t>https://twitter.com/VW/status/674710977103814656</t>
  </si>
  <si>
    <t>@niki_green If you’d like for us to follow up on your appointment, feel free to give us a call at 800-822-8987. #VWCares</t>
  </si>
  <si>
    <t>2015-12-09T22:03:27.000Z</t>
  </si>
  <si>
    <t>@pilotnikib</t>
  </si>
  <si>
    <t>https://twitter.com/VW/status/674710131905396736</t>
  </si>
  <si>
    <t>@niki_green We apologize that you are having concerns with your Golf R. We recommend working with your VW dealer to find out more.</t>
  </si>
  <si>
    <t>2015-12-09T22:00:05.000Z</t>
  </si>
  <si>
    <t>https://twitter.com/VW/status/674710129866989569</t>
  </si>
  <si>
    <t>@ColinWatts14 We're sorry to hear about your lights. The best place for your VW is at the dealership. Find one at http://vw.com/find-a-dealer</t>
  </si>
  <si>
    <t>@ColinWatts14</t>
  </si>
  <si>
    <t>https://twitter.com/VW/status/674709259146256384</t>
  </si>
  <si>
    <t>@bellaaarose Please DM us your email and VIN so we can look into how we might be able to help #VWCares</t>
  </si>
  <si>
    <t>2015-12-09T21:56:37.000Z</t>
  </si>
  <si>
    <t>@bellaaarose</t>
  </si>
  <si>
    <t>https://twitter.com/VW/status/674704000239861761</t>
  </si>
  <si>
    <t>@bellaaarose We want your VW in the best hands possible so we recommend having a VW dealer take a look at it.</t>
  </si>
  <si>
    <t>2015-12-09T21:35:43.000Z</t>
  </si>
  <si>
    <t>https://twitter.com/VW/status/674684753560272896</t>
  </si>
  <si>
    <t>@CardiacCrusher We want the best for you at our dealers so we're sorry to hear of this. We'd like to look further into this for you.</t>
  </si>
  <si>
    <t>2015-12-09T20:19:14.000Z</t>
  </si>
  <si>
    <t>@CardiacCrusher</t>
  </si>
  <si>
    <t>https://twitter.com/VW/status/674674247046848512</t>
  </si>
  <si>
    <t>@GreenMtnCloud We'd like to see how we might be able to help. Please DM us your VIN and email address so we can get in touch. #VWCares</t>
  </si>
  <si>
    <t>2015-12-09T19:37:29.000Z</t>
  </si>
  <si>
    <t>@GreenMtnCloud</t>
  </si>
  <si>
    <t>https://twitter.com/VW/status/674669843795148801</t>
  </si>
  <si>
    <t>@MsDesiNicole We are very sorry to hear about your experience. Please DM your VIN and email address and we’ll reach out to you. #VWCares</t>
  </si>
  <si>
    <t>2015-12-09T19:20:00.000Z</t>
  </si>
  <si>
    <t>@MsDesiNicole</t>
  </si>
  <si>
    <t>https://twitter.com/VW/status/674654838316142592</t>
  </si>
  <si>
    <t>@NeilSnell We'd like to hear more about what's happened. Please DM us your VIN and email so we can reach out to you. #VWCares</t>
  </si>
  <si>
    <t>2015-12-09T18:20:22.000Z</t>
  </si>
  <si>
    <t>https://twitter.com/VW/status/674654836835483649</t>
  </si>
  <si>
    <t>@MichaelEatsSF Please DM us your VIN and email address and we’ll gladly reach out to you. #VWCares</t>
  </si>
  <si>
    <t>@MichaelEatsSF</t>
  </si>
  <si>
    <t>https://twitter.com/VW/status/674654835224870913</t>
  </si>
  <si>
    <t>@MichaelEatsSF We want owning a VW to be something to smile about, so we’re very sorry you’ve had concerns with the radio in your Jetta.</t>
  </si>
  <si>
    <t>2015-12-09T18:20:21.000Z</t>
  </si>
  <si>
    <t>https://twitter.com/VW/status/674353957876051968</t>
  </si>
  <si>
    <t>@Sharif_Shaalan Please DM us your VIN and email address so we can find out how we might be able to help. #VWCares</t>
  </si>
  <si>
    <t>2015-12-08T22:24:47.000Z</t>
  </si>
  <si>
    <t>@Sharif_Shaalan</t>
  </si>
  <si>
    <t>https://twitter.com/VW/status/674353095153872897</t>
  </si>
  <si>
    <t>@Sharif_Shaalan We want nothing but a carefree ownership experience so we're sorry to hear of a repair needed early in the life of your VW.</t>
  </si>
  <si>
    <t>2015-12-08T22:21:21.000Z</t>
  </si>
  <si>
    <t>https://twitter.com/VW/status/674353093140611072</t>
  </si>
  <si>
    <t>@the_real_ddd We would be happy to research your concerns further. Please DM your VIN and email address and we’ll reach out to you #VWCares</t>
  </si>
  <si>
    <t>2015-12-08T22:21:20.000Z</t>
  </si>
  <si>
    <t>https://twitter.com/VW/status/674352159148740610</t>
  </si>
  <si>
    <t>@Missit420 Thank you for the additional info. Please DM us your VIN and email address and we’ll be happy to research further for you.</t>
  </si>
  <si>
    <t>2015-12-08T22:17:38.000Z</t>
  </si>
  <si>
    <t>@Marissy420</t>
  </si>
  <si>
    <t>https://twitter.com/VW/status/674327236456026112</t>
  </si>
  <si>
    <t>@Sigroy We would be happy to find out how we might be able to help. Please DM your VIN and email address and we’ll gladly reach out to you.</t>
  </si>
  <si>
    <t>2015-12-08T20:38:36.000Z</t>
  </si>
  <si>
    <t>@Sigroy</t>
  </si>
  <si>
    <t>https://twitter.com/VW/status/674303984643870720</t>
  </si>
  <si>
    <t>@actsleazy You're welcome! We love your Jetta too! If you ever have questions, please let us know at 800-822-8987.</t>
  </si>
  <si>
    <t>2015-12-08T19:06:12.000Z</t>
  </si>
  <si>
    <t>@actsleazy</t>
  </si>
  <si>
    <t>https://twitter.com/VW/status/674280971261239296</t>
  </si>
  <si>
    <t>@PapaBearMunoz We are very sorry to hear this was your experience. Please DM us your email address and we’ll reach out to you. #VWCares</t>
  </si>
  <si>
    <t>2015-12-08T17:34:45.000Z</t>
  </si>
  <si>
    <t>@CoachMunoz</t>
  </si>
  <si>
    <t>https://twitter.com/VW/status/674274904087224320</t>
  </si>
  <si>
    <t>@brettewarner We're sorry to hear of the issues with your Jetta. Please DM us your VIN and email so we can see how we might be able to help.</t>
  </si>
  <si>
    <t>2015-12-08T17:10:39.000Z</t>
  </si>
  <si>
    <t>https://twitter.com/VW/status/674274902761865216</t>
  </si>
  <si>
    <t>@Phonic Please DM us your VIN, email address, and a little more information and one of our colleagues will reach out soon #VWCares</t>
  </si>
  <si>
    <t>2015-12-08T17:10:38.000Z</t>
  </si>
  <si>
    <t>@Phonic</t>
  </si>
  <si>
    <t>https://twitter.com/VW/status/674274900815679488</t>
  </si>
  <si>
    <t>@Phonic We're sorry to hear of this and would like to look further into it to see how we might be able to help.</t>
  </si>
  <si>
    <t>https://twitter.com/VW/status/674274020745830401</t>
  </si>
  <si>
    <t>@Norbyboo We'd like to learn more about what's happened. Please DM us your VIN and email so we can reach out to you. #VWCares</t>
  </si>
  <si>
    <t>2015-12-08T17:07:08.000Z</t>
  </si>
  <si>
    <t>https://twitter.com/VW/status/674274018841657344</t>
  </si>
  <si>
    <t>@hellomrbungle Congrats on your #VWGTI! We'd love to see how we can help with this. Please DM us your VIN and email so we can look into it.</t>
  </si>
  <si>
    <t>@hellomrbungle</t>
  </si>
  <si>
    <t>https://twitter.com/VW/status/673989748415815682</t>
  </si>
  <si>
    <t>@LizzyLizzyLiz23 We're excited that you're loving your VW! If you have questions, we're here to help. Call us at 800-822-8987.</t>
  </si>
  <si>
    <t>2015-12-07T22:17:32.000Z</t>
  </si>
  <si>
    <t>@LizzyLizzyLiz23</t>
  </si>
  <si>
    <t>https://twitter.com/VW/status/673981874604085249</t>
  </si>
  <si>
    <t>@stulipper We'd like to see how we can help you with this! Please give us a call at 800-822-8987.</t>
  </si>
  <si>
    <t>2015-12-07T21:46:15.000Z</t>
  </si>
  <si>
    <t>@stulipper</t>
  </si>
  <si>
    <t>https://twitter.com/VW/status/673978329507086336</t>
  </si>
  <si>
    <t>@MandaJCollins We're sorry we weren't able to meet your expectations, Amanda. If you have any other questions, we hope you'll reach out.</t>
  </si>
  <si>
    <t>2015-12-07T21:32:10.000Z</t>
  </si>
  <si>
    <t>@MandaJCollins</t>
  </si>
  <si>
    <t>https://twitter.com/VW/status/673967693385469952</t>
  </si>
  <si>
    <t>@sjschnick1 We'd love to help! Please DM us your VIN and email address and one of our colleagues will reach out with the next steps #VWCares</t>
  </si>
  <si>
    <t>2015-12-07T20:49:54.000Z</t>
  </si>
  <si>
    <t>@sjschnick1</t>
  </si>
  <si>
    <t>https://twitter.com/VW/status/673956155228491776</t>
  </si>
  <si>
    <t>@son_adam72 Thank you for your additional information. One of our colleagues will be reaching out to you soon.</t>
  </si>
  <si>
    <t>2015-12-07T20:04:03.000Z</t>
  </si>
  <si>
    <t>@son_adam72</t>
  </si>
  <si>
    <t>https://twitter.com/VW/status/673937085972148225</t>
  </si>
  <si>
    <t>@heldiehelder We're sorry to hear of this. Please DM us your VIN and email address so we can look further into it.</t>
  </si>
  <si>
    <t>2015-12-07T18:48:17.000Z</t>
  </si>
  <si>
    <t>@heldiehelder</t>
  </si>
  <si>
    <t>https://twitter.com/VW/status/673937084416004096</t>
  </si>
  <si>
    <t>@DouglasRayworth If you’d like to discuss your vehicle in more detail, please feel free to give us a call at 800-822-8987. #VWCares</t>
  </si>
  <si>
    <t>2015-12-07T18:48:16.000Z</t>
  </si>
  <si>
    <t>@DouglasRayworth</t>
  </si>
  <si>
    <t>https://twitter.com/VW/status/673934443199918080</t>
  </si>
  <si>
    <t>@DouglasRayworth It’s important that your ownership is carefree, so we’re sorry you’re having concerns with the radio in your Jetta TDI.</t>
  </si>
  <si>
    <t>2015-12-07T18:37:47.000Z</t>
  </si>
  <si>
    <t>https://twitter.com/VW/status/673932616710553600</t>
  </si>
  <si>
    <t>@Missit420 We recommend working with your local VW dealership to ensure everything is functioning the way it was designed. #VWCares</t>
  </si>
  <si>
    <t>2015-12-07T18:30:31.000Z</t>
  </si>
  <si>
    <t>https://twitter.com/VW/status/673930824396374016</t>
  </si>
  <si>
    <t>@Missit420 We appreciate your feedback and are sorry you’re having concerns with the MDI cable for your Passat.</t>
  </si>
  <si>
    <t>2015-12-07T18:23:24.000Z</t>
  </si>
  <si>
    <t>https://twitter.com/VW/status/673929944276144129</t>
  </si>
  <si>
    <t>@MsHoughton We're sorry to hear of the concerns with your Beetle. Please let us know if we can help! http://vw.com/contact</t>
  </si>
  <si>
    <t>2015-12-07T18:19:54.000Z</t>
  </si>
  <si>
    <t>https://twitter.com/VW/status/673904031379513344</t>
  </si>
  <si>
    <t>@Bandonker We’re very sorry to hear about your experience, Andrew. DM us your email address and we’ll gladly reach out to you. #VWCares</t>
  </si>
  <si>
    <t>2015-12-07T16:36:56.000Z</t>
  </si>
  <si>
    <t>@Bandonker</t>
  </si>
  <si>
    <t>https://twitter.com/VW/status/673901273767251968</t>
  </si>
  <si>
    <t>@son_adam72 Hi Adam! You can reply to this message with your VIN, email address, and specifics. One of our colleagues will reach out soon.</t>
  </si>
  <si>
    <t>2015-12-07T16:25:58.000Z</t>
  </si>
  <si>
    <t>https://twitter.com/VW/status/673899453313474560</t>
  </si>
  <si>
    <t>@PhishSchaefer Please DM us your VIN and email address so one of our colleagues can reach out and look further into this for you. #VWCares</t>
  </si>
  <si>
    <t>2015-12-07T16:18:44.000Z</t>
  </si>
  <si>
    <t>https://twitter.com/VW/status/673899451891625984</t>
  </si>
  <si>
    <t>@PhishSchaefer Our goal is to have a pleasant, carefree experience at our dealers so we're sorry to hear that wasn't the case for you.</t>
  </si>
  <si>
    <t>https://twitter.com/VW/status/672903071656120321</t>
  </si>
  <si>
    <t>@SheLaughsBlog  If you’d like us to follow up on your repairs, please feel free to give us a call at 800-822-8987. #VWCares</t>
  </si>
  <si>
    <t>2015-12-04T22:19:28.000Z</t>
  </si>
  <si>
    <t>@idrownoceans</t>
  </si>
  <si>
    <t>https://twitter.com/VW/status/672903069517000705</t>
  </si>
  <si>
    <t>@SheLaughsBlog We’re sorry to hear you’re having concerns with your Routan, Sarah. We recommend bringing it to a VW dealer for a diagnosis.</t>
  </si>
  <si>
    <t>https://twitter.com/VW/status/672903068233555968</t>
  </si>
  <si>
    <t>@NJ_Dubbin We wish you luck finding it, and hope you’ll let us know when you do!</t>
  </si>
  <si>
    <t>@itsjustafatkid</t>
  </si>
  <si>
    <t>https://twitter.com/VW/status/672903066799071232</t>
  </si>
  <si>
    <t>@NJ_Dubbin We checked our DriverGear site, and it looks like the sweater is not available.</t>
  </si>
  <si>
    <t>2015-12-04T22:19:27.000Z</t>
  </si>
  <si>
    <t>https://twitter.com/VW/status/672903064114696192</t>
  </si>
  <si>
    <t>@Jmd1033 We're sorry we were unable to meet your expectations, Jon. If you have any further questions, we hope you will reach out to us.</t>
  </si>
  <si>
    <t>https://twitter.com/VW/status/672854058378510336</t>
  </si>
  <si>
    <t>@DLicorice We want a better experience for you as a driver. Please let us know if we can help out. http://vw.com/contact #VWCares</t>
  </si>
  <si>
    <t>2015-12-04T19:04:43.000Z</t>
  </si>
  <si>
    <t>https://twitter.com/VW/status/672821363850141696</t>
  </si>
  <si>
    <t>@backdoorcurve We'd like to hear more about what happened. Please DM us your VIN and email so we can see how we might be able to help.</t>
  </si>
  <si>
    <t>2015-12-04T16:54:48.000Z</t>
  </si>
  <si>
    <t>@chinesebatvirus</t>
  </si>
  <si>
    <t>https://twitter.com/VW/status/672817823580721153</t>
  </si>
  <si>
    <t>@CarlSorvino We’re sorry to hear about the repairs needed. If there’s anything we can do, let us know! http://vw.com/contact #VWCares</t>
  </si>
  <si>
    <t>2015-12-04T16:40:44.000Z</t>
  </si>
  <si>
    <t>@CarlSorvino</t>
  </si>
  <si>
    <t>https://twitter.com/VW/status/672817040776822785</t>
  </si>
  <si>
    <t>@Awwatchdog1 You can keep up with any VW news and vehicle releases at http://media.vw.com</t>
  </si>
  <si>
    <t>2015-12-04T16:37:37.000Z</t>
  </si>
  <si>
    <t>@JMGiuffreJr</t>
  </si>
  <si>
    <t>https://twitter.com/VW/status/672817037345861632</t>
  </si>
  <si>
    <t>@Awwatchdog1 A new bus sounds great, but we don't have any confirmed plans right now.</t>
  </si>
  <si>
    <t>2015-12-04T16:37:36.000Z</t>
  </si>
  <si>
    <t>https://twitter.com/VW/status/672817035512909824</t>
  </si>
  <si>
    <t>@kvancil We’re glad you like the heated seats. When it’s cold, you do deserve it! Stay warm and happy driving! #VWCares</t>
  </si>
  <si>
    <t>@kentvancil</t>
  </si>
  <si>
    <t>https://twitter.com/VW/status/672816079148683264</t>
  </si>
  <si>
    <t>@P0LARIS7 Thanks for the love, Marcelo! We're thrilled you're enjoying your Jetta and wish you many happy miles! #VWDubLove</t>
  </si>
  <si>
    <t>2015-12-04T16:33:48.000Z</t>
  </si>
  <si>
    <t>@P0LARIS7</t>
  </si>
  <si>
    <t>https://twitter.com/VW/status/672816077089337344</t>
  </si>
  <si>
    <t>@Joncacosta We'd like to find out more. Please DM us your VIN and email so we can reach out to you.</t>
  </si>
  <si>
    <t>2015-12-04T16:33:47.000Z</t>
  </si>
  <si>
    <t>https://twitter.com/VW/status/672809206160863232</t>
  </si>
  <si>
    <t>@rocket644 It’s important that your ownership is carefree, so we’re sorry to hear you’re having concerns with the Bluetooth in your Passat.</t>
  </si>
  <si>
    <t>2015-12-04T16:06:29.000Z</t>
  </si>
  <si>
    <t>@rocket644</t>
  </si>
  <si>
    <t>https://twitter.com/VW/status/672546734141145088</t>
  </si>
  <si>
    <t>@vRoxz22 We’re sorry to hear about your experience. If there’s anything we can do to help, please give us a call at 800-822-8987. #VWCares</t>
  </si>
  <si>
    <t>2015-12-03T22:43:31.000Z</t>
  </si>
  <si>
    <t>@vRoxz22</t>
  </si>
  <si>
    <t>https://twitter.com/VW/status/672544193818968064</t>
  </si>
  <si>
    <t>@jen_knits We would be happy to find out how we might be able to help. DM your VIN and email address and we’ll gladly reach out to you.</t>
  </si>
  <si>
    <t>2015-12-03T22:33:25.000Z</t>
  </si>
  <si>
    <t>@Purl_Wise</t>
  </si>
  <si>
    <t>https://twitter.com/VW/status/672544192258707456</t>
  </si>
  <si>
    <t>@jen_knits We want your ownership to be carefree, so we’re very sorry to hear you’re having concerns with your Jetta.</t>
  </si>
  <si>
    <t>https://twitter.com/VW/status/672479954852954112</t>
  </si>
  <si>
    <t>@missjadelily Adulthood does have its advantages! Congrats on your new #Tiguan! If you have questions, let us know at 800-822-8987.</t>
  </si>
  <si>
    <t>2015-12-03T18:18:09.000Z</t>
  </si>
  <si>
    <t>@missjadelily</t>
  </si>
  <si>
    <t>https://twitter.com/VW/status/672479950377631744</t>
  </si>
  <si>
    <t>@_Mikedaniel Please DM us your VIN and email address and one of our colleagues will reach out to you as soon as possible #VWCares</t>
  </si>
  <si>
    <t>2015-12-03T18:18:08.000Z</t>
  </si>
  <si>
    <t>@MD71_</t>
  </si>
  <si>
    <t>https://twitter.com/VW/status/672479948771221504</t>
  </si>
  <si>
    <t>@_Mikedaniel We're sorry for the delay in getting back to you. We can definitely check further into this for you.</t>
  </si>
  <si>
    <t>https://twitter.com/VW/status/672479947475185664</t>
  </si>
  <si>
    <t>@KnoetzeMartie Please reach out to our friends in #NewZealand at http://volkswagen.co.nz/contact. They'll be glad to help!</t>
  </si>
  <si>
    <t>@KnoetzeMartie</t>
  </si>
  <si>
    <t>https://twitter.com/VW/status/672479945868730368</t>
  </si>
  <si>
    <t>@KnoetzeMartie We're sorry to hear you're having concerns, Martie.</t>
  </si>
  <si>
    <t>2015-12-03T18:18:07.000Z</t>
  </si>
  <si>
    <t>https://twitter.com/VW/status/672472119612051456</t>
  </si>
  <si>
    <t>@drty_130 We're sorry about the delay and we'd like to look further into this. Please DM us your VIN and email address for us to research.</t>
  </si>
  <si>
    <t>2015-12-03T17:47:01.000Z</t>
  </si>
  <si>
    <t>@drty_130</t>
  </si>
  <si>
    <t>https://twitter.com/VW/status/672470320905752576</t>
  </si>
  <si>
    <t>@B_Hernandez23 We want your Jetta ownership to be something to smile about! If there's any way we can help, please call us at 800-822-8987.</t>
  </si>
  <si>
    <t>2015-12-03T17:39:53.000Z</t>
  </si>
  <si>
    <t>https://twitter.com/VW/status/672171754450653185</t>
  </si>
  <si>
    <t>@Jenz_GolfR We recommend working with your local VW dealership. They will be in the best position let you know if this would be possible.</t>
  </si>
  <si>
    <t>2015-12-02T21:53:29.000Z</t>
  </si>
  <si>
    <t>@Jenz_GolfR</t>
  </si>
  <si>
    <t>https://twitter.com/VW/status/672168166756249600</t>
  </si>
  <si>
    <t>@Jenz_GolfR We can certainly see why you’d like active air filtration in your Golf R, keeping your cabin smelling fresh isn’t always easy!</t>
  </si>
  <si>
    <t>2015-12-02T21:39:13.000Z</t>
  </si>
  <si>
    <t>https://twitter.com/VW/status/672164560086827008</t>
  </si>
  <si>
    <t>@CSUDA05 We would be happy to find out how we can help. Please DM your VIN and email address and we’ll gladly reach out to you. #VWCares</t>
  </si>
  <si>
    <t>2015-12-02T21:24:53.000Z</t>
  </si>
  <si>
    <t>https://twitter.com/VW/status/672156516061872128</t>
  </si>
  <si>
    <t>@Shawnvelopes Thanks for your info! One of our colleagues will be in touch soon.</t>
  </si>
  <si>
    <t>2015-12-02T20:52:56.000Z</t>
  </si>
  <si>
    <t>https://twitter.com/VW/status/672102972969451520</t>
  </si>
  <si>
    <t>@ESnow4th We'd like to see how we can help! Please DM us your VIN and email so we can reach out to you. #VWCares</t>
  </si>
  <si>
    <t>2015-12-02T17:20:10.000Z</t>
  </si>
  <si>
    <t>https://twitter.com/VW/status/672102969999953921</t>
  </si>
  <si>
    <t>@Shawnvelopes We'd like to hear more about what's happening, Shawn. Please DM us your VIN and email so we can reach out to you. #VWCares</t>
  </si>
  <si>
    <t>2015-12-02T17:20:09.000Z</t>
  </si>
  <si>
    <t>https://twitter.com/VW/status/671804648156561408</t>
  </si>
  <si>
    <t>@loganthefirst You can stay up to date on all the latest news at http://media.vw.com. When the news comes, it will appear there first!</t>
  </si>
  <si>
    <t>2015-12-01T21:34:44.000Z</t>
  </si>
  <si>
    <t>@loganthefrst</t>
  </si>
  <si>
    <t>https://twitter.com/VW/status/671804646734741504</t>
  </si>
  <si>
    <t>@loganthefirst We’re glad you’re excited about the e-Golf! We regret we don’t yet have a timeline for its release to Colorado, though. (1/2)</t>
  </si>
  <si>
    <t>2015-12-01T21:34:43.000Z</t>
  </si>
  <si>
    <t>https://twitter.com/VW/status/671802911559573504</t>
  </si>
  <si>
    <t>@Santinelli This isn't the ownership experience we hoped for you! Please DM us your VIN and email so we can see how we can help. #VWCares</t>
  </si>
  <si>
    <t>2015-12-01T21:27:50.000Z</t>
  </si>
  <si>
    <t>@Santinelli</t>
  </si>
  <si>
    <t>https://twitter.com/VW/status/671802021536657408</t>
  </si>
  <si>
    <t>@Buck_Lao If you’d like us to follow up on your appointment, feel free to give us a call at 800-822-8987. #VWCares</t>
  </si>
  <si>
    <t>2015-12-01T21:24:18.000Z</t>
  </si>
  <si>
    <t>https://twitter.com/VW/status/671802019972145152</t>
  </si>
  <si>
    <t>@Buck_Lao We’re sorry you’re having concerns with your VW. We recommend having your local VW dealer perform a diagnosis on your vehicle. (1/</t>
  </si>
  <si>
    <t>2015-12-01T21:24:17.000Z</t>
  </si>
  <si>
    <t>https://twitter.com/VW/status/671802017195528193</t>
  </si>
  <si>
    <t>@son_adam72 We're sorry to hear of your recent experiences with your Tiguan. We look for every opportunity to assist when we can. (1/2)</t>
  </si>
  <si>
    <t>https://twitter.com/VW/status/671802016071454720</t>
  </si>
  <si>
    <t>@son_adam72 Please DM us your VIN, email address, and current mileage and we can start to research this for you. (2/2)</t>
  </si>
  <si>
    <t>2015-12-01T21:24:16.000Z</t>
  </si>
  <si>
    <t>https://twitter.com/VW/status/671801185204985856</t>
  </si>
  <si>
    <t>@IanSweetser We're here to help! Please DM us your VIN and email address and we’ll look deeper into this for you.</t>
  </si>
  <si>
    <t>2015-12-01T21:20:58.000Z</t>
  </si>
  <si>
    <t>@IanSweetser</t>
  </si>
  <si>
    <t>https://twitter.com/VW/status/671726145897783296</t>
  </si>
  <si>
    <t>@TylerFriedrich_ We'd like to hear more about what's going on. Please DM us your VIN and email so we can reach out to you. #VWCares</t>
  </si>
  <si>
    <t>2015-12-01T16:22:47.000Z</t>
  </si>
  <si>
    <t>@TylerFriedrich_</t>
  </si>
  <si>
    <t>https://twitter.com/VW/status/671725317564719104</t>
  </si>
  <si>
    <t>@ChenaeKY28 We were able to look further into your concerns and we apologize that we were unable to meet your expectations at this time.</t>
  </si>
  <si>
    <t>2015-12-01T16:19:30.000Z</t>
  </si>
  <si>
    <t>@ChenaeKY28</t>
  </si>
  <si>
    <t>https://twitter.com/VW/status/671435560238497792</t>
  </si>
  <si>
    <t>@MandaJCollins After researching your VIN, we suggest continuing to work with the Region Case Manager. If we can help further, let us know.</t>
  </si>
  <si>
    <t>2015-11-30T21:08:06.000Z</t>
  </si>
  <si>
    <t>https://twitter.com/VW/status/671409083992305664</t>
  </si>
  <si>
    <t>@justmemonkey We're sorry to hear about your Tiguan's headliner! If there's anything we can do to help, please call us at 800-822-8987.</t>
  </si>
  <si>
    <t>2015-11-30T19:22:54.000Z</t>
  </si>
  <si>
    <t>@justmemonkey</t>
  </si>
  <si>
    <t>https://twitter.com/VW/status/671394252304216064</t>
  </si>
  <si>
    <t>@GiiLLY_PoP We would love the opportunity to look further into this for you. Please DM us your VIN and email address and we'll follow up.</t>
  </si>
  <si>
    <t>2015-11-30T18:23:58.000Z</t>
  </si>
  <si>
    <t>@noname51881</t>
  </si>
  <si>
    <t>https://twitter.com/VW/status/671381038568902656</t>
  </si>
  <si>
    <t>@k_hurley8 If you’d like, DM us her VIN and email address and we’ll gladly reach out to her to find out how we can help. #VWCares</t>
  </si>
  <si>
    <t>2015-11-30T17:31:27.000Z</t>
  </si>
  <si>
    <t>https://twitter.com/VW/status/671381037188976641</t>
  </si>
  <si>
    <t>@k_hurley8 We want a world-class experience for our drivers at their dealers, so we’re sorry to hear your Aunt’s visit was anything less.</t>
  </si>
  <si>
    <t>https://twitter.com/VW/status/671379275891666944</t>
  </si>
  <si>
    <t>@IamSuperFrankie If there's anything we can do to do assist, please DM us your VIN and email address and we will follow up soon #VWCares</t>
  </si>
  <si>
    <t>2015-11-30T17:24:27.000Z</t>
  </si>
  <si>
    <t>https://twitter.com/VW/status/671379274218102785</t>
  </si>
  <si>
    <t>@IamSuperFrankie We want a pleasurable experience at the dealer and we're sorry that wasn't the case for you.</t>
  </si>
  <si>
    <t>https://twitter.com/VW/status/671377394876354560</t>
  </si>
  <si>
    <t>@needleonwax Thanks for letting us know! Can you DM us your email and the VW you're looking at? We can send over the trim info for you.</t>
  </si>
  <si>
    <t>2015-11-30T17:16:59.000Z</t>
  </si>
  <si>
    <t>@drunkbysixx</t>
  </si>
  <si>
    <t>https://twitter.com/VW/status/671377393378918400</t>
  </si>
  <si>
    <t>@Christi6 We recommend continuing to work with VW Credit on this. Please let us know if there's anything else we can do to help #VWCares</t>
  </si>
  <si>
    <t>2015-11-30T17:16:58.000Z</t>
  </si>
  <si>
    <t>@Christi_Noe</t>
  </si>
  <si>
    <t>https://twitter.com/VW/status/671374739491782659</t>
  </si>
  <si>
    <t>@Christi6 We want the holidays to be a special time for our drivers and we're sorry to hear of this.</t>
  </si>
  <si>
    <t>2015-11-30T17:06:26.000Z</t>
  </si>
  <si>
    <t>https://twitter.com/VW/status/671372043984568320</t>
  </si>
  <si>
    <t>@ccopeland04 If there's anything we can do to help with the headlights, please DM us your VIN and email address and we'll reach out #VWCares</t>
  </si>
  <si>
    <t>2015-11-30T16:55:43.000Z</t>
  </si>
  <si>
    <t>@ccopeland04</t>
  </si>
  <si>
    <t>https://twitter.com/VW/status/671372042294312960</t>
  </si>
  <si>
    <t>@ccopeland04 We're sorry to hear of the frustration, Connie. That's the last thing we want for our drivers when owning a VW.</t>
  </si>
  <si>
    <t>https://twitter.com/VW/status/671331869477093378</t>
  </si>
  <si>
    <t>@FunkmasterKicks You can reach us here: http://vw.com/contact/</t>
  </si>
  <si>
    <t>2015-11-30T14:16:05.000Z</t>
  </si>
  <si>
    <t>@SneakerNursery</t>
  </si>
  <si>
    <t>https://twitter.com/VW/status/670384936759640065</t>
  </si>
  <si>
    <t>@BriexZee We're sorry to hear about this and hope you're doing all right! If there's anything we can do to help, call us at 800-822-8987.</t>
  </si>
  <si>
    <t>2015-11-27T23:33:18.000Z</t>
  </si>
  <si>
    <t>@BriexZee</t>
  </si>
  <si>
    <t>https://twitter.com/VW/status/670383296770011136</t>
  </si>
  <si>
    <t>@joescialfa Please DM us your VIN and email address and we’ll gladly reach out to you about your experience. #VWCares</t>
  </si>
  <si>
    <t>2015-11-27T23:26:47.000Z</t>
  </si>
  <si>
    <t>@joescialfa</t>
  </si>
  <si>
    <t>https://twitter.com/VW/status/670383295155167232</t>
  </si>
  <si>
    <t>@joescialfa We’re very sorry to hear about your Passat TDI and are happy to find out how we might be able to help.</t>
  </si>
  <si>
    <t>https://twitter.com/VW/status/670383291157995521</t>
  </si>
  <si>
    <t>@slowbikesociety We would be happy to see how we might be able to help. Please DM your VIN and email address and we’ll reach out to you.</t>
  </si>
  <si>
    <t>2015-11-27T23:26:46.000Z</t>
  </si>
  <si>
    <t>@slowbikesociety</t>
  </si>
  <si>
    <t>https://twitter.com/VW/status/670383287508951040</t>
  </si>
  <si>
    <t>@glennstrachan We'd like to hear more about what's going on, Glenn. Please DM us your VIN and email so we can reach out to you. #VWCares</t>
  </si>
  <si>
    <t>2015-11-27T23:26:45.000Z</t>
  </si>
  <si>
    <t>@Thseldo4me</t>
  </si>
  <si>
    <t>https://twitter.com/VW/status/670383284023484416</t>
  </si>
  <si>
    <t>@ChrisEJay We are very sorry to hear this was your experience. Please DM your VIN and email address and we’ll reach out to you. #VWCares</t>
  </si>
  <si>
    <t>2015-11-27T23:26:44.000Z</t>
  </si>
  <si>
    <t>@ChrisEJay</t>
  </si>
  <si>
    <t>https://twitter.com/VW/status/669659286696390656</t>
  </si>
  <si>
    <t>@schwartz1375 We’re sorry to hear about your experience. If there’s anything we can do to help, please give us a call at 800-822-8987.</t>
  </si>
  <si>
    <t>2015-11-25T23:29:50.000Z</t>
  </si>
  <si>
    <t>@schwartz1375</t>
  </si>
  <si>
    <t>https://twitter.com/VW/status/669625171372740609</t>
  </si>
  <si>
    <t>@VictoriaBabun We’d like to see how we can help. Please DM us your VIN and email so we can reach out to you.</t>
  </si>
  <si>
    <t>2015-11-25T21:14:16.000Z</t>
  </si>
  <si>
    <t>https://twitter.com/VW/status/669621587281244160</t>
  </si>
  <si>
    <t>@Jmd1033 This isn’t the experience we envisioned for you. Please DM us your VIN and email so we can see how we might be able to help.</t>
  </si>
  <si>
    <t>2015-11-25T21:00:02.000Z</t>
  </si>
  <si>
    <t>https://twitter.com/VW/status/669608453879369728</t>
  </si>
  <si>
    <t>@kurthartwig We’d be happy to find out how we might be able to help. Please DM us your VIN and email address and we’ll reach out to you.</t>
  </si>
  <si>
    <t>2015-11-25T20:07:50.000Z</t>
  </si>
  <si>
    <t>https://twitter.com/VW/status/669291029149847552</t>
  </si>
  <si>
    <t>@Official_Ang Please DM us your VIN and email and we can send you something to commemorate such a great achievement! #VWCares</t>
  </si>
  <si>
    <t>2015-11-24T23:06:30.000Z</t>
  </si>
  <si>
    <t>@Official_Ang</t>
  </si>
  <si>
    <t>https://twitter.com/VW/status/669291027228852225</t>
  </si>
  <si>
    <t>@Official_Ang We're so glad to hear your Jetta Sportwagen has been great to you throughout all those miles! We appreciate the pic!</t>
  </si>
  <si>
    <t>https://twitter.com/VW/status/669224476400193536</t>
  </si>
  <si>
    <t>@Lumbardh If you’d like for us to follow up on your appointment, please give us a call at 800-822-8987. #VWCares</t>
  </si>
  <si>
    <t>2015-11-24T18:42:03.000Z</t>
  </si>
  <si>
    <t>@Lumbardh</t>
  </si>
  <si>
    <t>https://twitter.com/VW/status/669224472931491840</t>
  </si>
  <si>
    <t>@Lumbardh We recommend working with your local VW dealership for assistance with your Jetta. They are in the best position to help.</t>
  </si>
  <si>
    <t>2015-11-24T18:42:02.000Z</t>
  </si>
  <si>
    <t>https://twitter.com/VW/status/669221714904002560</t>
  </si>
  <si>
    <t>@lukesand We'd like to look further into this for you. Please DM us your VIN and email and one of our colleagues will reach out #VWcares</t>
  </si>
  <si>
    <t>2015-11-24T18:31:05.000Z</t>
  </si>
  <si>
    <t>@lukesand</t>
  </si>
  <si>
    <t>https://twitter.com/VW/status/669217201832902656</t>
  </si>
  <si>
    <t>@cappuccinoxpink We want your experience to be carefree. If there’s anything we can do to help, please give us a call at 800-822-8987.</t>
  </si>
  <si>
    <t>2015-11-24T18:13:09.000Z</t>
  </si>
  <si>
    <t>https://twitter.com/VW/status/669211989445505024</t>
  </si>
  <si>
    <t>@nathanyoung96 This maintenance is important for the health of your vehicle, so we’re glad you took the time have it performed #VWCares</t>
  </si>
  <si>
    <t>2015-11-24T17:52:26.000Z</t>
  </si>
  <si>
    <t>@nathanyoung96</t>
  </si>
  <si>
    <t>https://twitter.com/VW/status/669211987805495296</t>
  </si>
  <si>
    <t>@nathanyoung96 Your 40k maintenance includes more involved services which require more time and labor to complete than other maintenances.</t>
  </si>
  <si>
    <t>2015-11-24T17:52:25.000Z</t>
  </si>
  <si>
    <t>https://twitter.com/VW/status/669203962952704000</t>
  </si>
  <si>
    <t>@w5xvham Thank you for the info. One of our colleagues will reach out to you soon.</t>
  </si>
  <si>
    <t>2015-11-24T17:20:32.000Z</t>
  </si>
  <si>
    <t>https://twitter.com/VW/status/669203961723785217</t>
  </si>
  <si>
    <t>@ruizman1986 We regret that we were unable to meet your expectations. If you have any additional questions, please reach out to us again.</t>
  </si>
  <si>
    <t>@ruizman1986</t>
  </si>
  <si>
    <t>https://twitter.com/VW/status/669203089111384066</t>
  </si>
  <si>
    <t>@tfcatfan20 We’re very sorry for the delayed reply. If there’s anything we can do to help, please DM your VIN and we’ll reach out to you.</t>
  </si>
  <si>
    <t>2015-11-24T17:17:04.000Z</t>
  </si>
  <si>
    <t>https://twitter.com/VW/status/669203087773462529</t>
  </si>
  <si>
    <t>@JustinSummerlin We see you’ve been working with our colleagues at CARE. They will be in the best position to help answer your questions.</t>
  </si>
  <si>
    <t>2015-11-24T17:17:03.000Z</t>
  </si>
  <si>
    <t>@JustinSummerlin</t>
  </si>
  <si>
    <t>https://twitter.com/VW/status/669203086343192576</t>
  </si>
  <si>
    <t>@JustinSummerlin We’re very sorry to hear that you have had concerns with your GTI so soon in your ownership.</t>
  </si>
  <si>
    <t>https://twitter.com/VW/status/669203083738505216</t>
  </si>
  <si>
    <t>@stormie_t We’re very sorry for the inconvenience. If there’s anything we can do to help, please give us a call at 800-822-8987. #VWCares</t>
  </si>
  <si>
    <t>https://twitter.com/VW/status/669203082408951808</t>
  </si>
  <si>
    <t>@DavisR_T If you’d like to discuss your vehicle in more detail, please feel free to give us a call at 800-822-8987. #VWCares</t>
  </si>
  <si>
    <t>2015-11-24T17:17:02.000Z</t>
  </si>
  <si>
    <t>@DavisR_T</t>
  </si>
  <si>
    <t>https://twitter.com/VW/status/669203080882188288</t>
  </si>
  <si>
    <t>@DavisR_T It’s important that owning a VW is something to smile about, so we’re very sorry you’ve been having concerns with your Passat TDI.</t>
  </si>
  <si>
    <t>https://twitter.com/VW/status/669200484989714432</t>
  </si>
  <si>
    <t>@alexiscbcs We see one of our colleagues has been researching your case. They would be in the best position to assist you further.</t>
  </si>
  <si>
    <t>2015-11-24T17:06:43.000Z</t>
  </si>
  <si>
    <t>@alexiscbcs</t>
  </si>
  <si>
    <t>https://twitter.com/VW/status/669200483471364096</t>
  </si>
  <si>
    <t>@alexiscbcs We want your ownership experience to be carefree and easy. We're sorry this hasn't been the case for you.</t>
  </si>
  <si>
    <t>https://twitter.com/VW/status/669200479717425152</t>
  </si>
  <si>
    <t>@AlexEee_ We're sorry to hear of your wait time. If there's anything we can do to help, please reach out to us at http://vw.com/contact/</t>
  </si>
  <si>
    <t>2015-11-24T17:06:42.000Z</t>
  </si>
  <si>
    <t>@AlexEee_</t>
  </si>
  <si>
    <t>https://twitter.com/VW/status/668900731030605825</t>
  </si>
  <si>
    <t>2015-11-23T21:15:36.000Z</t>
  </si>
  <si>
    <t>https://twitter.com/VW/status/668889983931973632</t>
  </si>
  <si>
    <t>@w5xvham We would be happy to research your concerns further. Please DM us your VIN and email address and we’ll reach out to you. #VWCares</t>
  </si>
  <si>
    <t>2015-11-23T20:32:54.000Z</t>
  </si>
  <si>
    <t>https://twitter.com/VW/status/668889089769234432</t>
  </si>
  <si>
    <t>@Thony_Diperte Sorry about your experience at the dealer. Please let us know if there's anything we can do to help http://vw.com/contact</t>
  </si>
  <si>
    <t>2015-11-23T20:29:21.000Z</t>
  </si>
  <si>
    <t>@sensualdad</t>
  </si>
  <si>
    <t>https://twitter.com/VW/status/668879440655417344</t>
  </si>
  <si>
    <t>@jbnlbnbb3 Please DM us your VIN and email address and one of our colleagues will reach out to you as soon as possible #VWCares</t>
  </si>
  <si>
    <t>2015-11-23T19:51:00.000Z</t>
  </si>
  <si>
    <t>@jbnlbnbb3</t>
  </si>
  <si>
    <t>https://twitter.com/VW/status/668879438960984065</t>
  </si>
  <si>
    <t>@jbnlbnbb3 We're sorry to hear of that, Janet. We would like to get some more info from you to look further into this.</t>
  </si>
  <si>
    <t>https://twitter.com/VW/status/668864577229094912</t>
  </si>
  <si>
    <t>@driq12 If you’d like us to follow up on your appointment, please feel free to give us a call at 800-822-8987. #VWCares</t>
  </si>
  <si>
    <t>2015-11-23T18:51:56.000Z</t>
  </si>
  <si>
    <t>@driq12</t>
  </si>
  <si>
    <t>https://twitter.com/VW/status/668864575207399424</t>
  </si>
  <si>
    <t>@driq12 We’re very sorry to hear you’re having concerns with your VW. We recommend bringing your car to a VW dealership for diagnosis.</t>
  </si>
  <si>
    <t>https://twitter.com/VW/status/668862772579401728</t>
  </si>
  <si>
    <t>@ruizman1986 Please DM us your VIN and email address and we’ll be glad to take a closer look at your concerns. #VWCares</t>
  </si>
  <si>
    <t>2015-11-23T18:44:46.000Z</t>
  </si>
  <si>
    <t>https://twitter.com/VW/status/668861858762194944</t>
  </si>
  <si>
    <t>@ruizman1986 We’re sorry you’re having concerns with your VW and would be happy to research further for you.</t>
  </si>
  <si>
    <t>2015-11-23T18:41:08.000Z</t>
  </si>
  <si>
    <t>https://twitter.com/VW/status/668861853917777920</t>
  </si>
  <si>
    <t>@rivetingpics We’re very sorry we were unable to meet your expectations, Lisa. Please reach out to us if you have any further questions.</t>
  </si>
  <si>
    <t>2015-11-23T18:41:07.000Z</t>
  </si>
  <si>
    <t>https://twitter.com/VW/status/667846148212690944</t>
  </si>
  <si>
    <t>@EdwardjohnM If you’d like, please DM us your email address and VIN and we’ll gladly reach out to you to hear more. #VWCares</t>
  </si>
  <si>
    <t>2015-11-20T23:25:04.000Z</t>
  </si>
  <si>
    <t>@EdwardjohnM</t>
  </si>
  <si>
    <t>https://twitter.com/VW/status/667846146430074880</t>
  </si>
  <si>
    <t>@EdwardjohnM We’re very sorry to hear about your experience, Eddie. We would be happy to find out how we can help.</t>
  </si>
  <si>
    <t>2015-11-20T23:25:03.000Z</t>
  </si>
  <si>
    <t>https://twitter.com/VW/status/667846144714764289</t>
  </si>
  <si>
    <t>@bnekic If you have any additional questions, please feel free to reach out to us again. We’re always listening.</t>
  </si>
  <si>
    <t>@bnekic</t>
  </si>
  <si>
    <t>https://twitter.com/VW/status/667838154406129664</t>
  </si>
  <si>
    <t>@dmitry_h Please feel free to reach out to us again if you have any additional questions or concerns. We’re always listening.</t>
  </si>
  <si>
    <t>2015-11-20T22:53:18.000Z</t>
  </si>
  <si>
    <t>@dmitry_h</t>
  </si>
  <si>
    <t>https://twitter.com/VW/status/667837290291466240</t>
  </si>
  <si>
    <t>@dmitry_h We see you recently spoke with our colleagues and we regret we were unable to meet your expectations.</t>
  </si>
  <si>
    <t>2015-11-20T22:49:52.000Z</t>
  </si>
  <si>
    <t>https://twitter.com/VW/status/667837288437542912</t>
  </si>
  <si>
    <t>@dmitry_h We’re very sorry to hear that you’ve had concerns with your VW. We know it can be frustrating to face such an expensive repair.</t>
  </si>
  <si>
    <t>https://twitter.com/VW/status/667837284599762944</t>
  </si>
  <si>
    <t>@faggleton If there’s anything we can do to assist you, please feel free to give us a call at 800-822-8987. #VWCares</t>
  </si>
  <si>
    <t>2015-11-20T22:49:51.000Z</t>
  </si>
  <si>
    <t>@thor0din50n</t>
  </si>
  <si>
    <t>https://twitter.com/VW/status/667837283026907136</t>
  </si>
  <si>
    <t>@faggleton We’re sorry for the inconvenience. We recommend contacting your local VW dealership to obtain the tool you’re looking for.</t>
  </si>
  <si>
    <t>2015-11-20T22:49:50.000Z</t>
  </si>
  <si>
    <t>https://twitter.com/VW/status/667837281282101248</t>
  </si>
  <si>
    <t>@52isoblue If you’d like to share more about what happened. Please feel free to reach out to us at http://vw.com/contact. #VWCares</t>
  </si>
  <si>
    <t>@52isoblue</t>
  </si>
  <si>
    <t>https://twitter.com/VW/status/667836363392204800</t>
  </si>
  <si>
    <t>@52isoblue You’re welcome, Marianne. We are truly relieved to know that you and your dogs made it out safely. Accidents can be very scary.</t>
  </si>
  <si>
    <t>2015-11-20T22:46:11.000Z</t>
  </si>
  <si>
    <t>https://twitter.com/VW/status/667782184955043840</t>
  </si>
  <si>
    <t>@xotaylor55 We would be happy to find out how we can help. Please DM your VIN and email address and we’ll reach out to you. #VWCares</t>
  </si>
  <si>
    <t>2015-11-20T19:10:54.000Z</t>
  </si>
  <si>
    <t>https://twitter.com/VW/status/667782183558381568</t>
  </si>
  <si>
    <t>@jonjon29506 Please DM us your VIN and email address and we’ll make contacting you a priority. #VWCares</t>
  </si>
  <si>
    <t>https://twitter.com/VW/status/667782181717061632</t>
  </si>
  <si>
    <t>@jonjon29506 Thank you for reaching out to us, Jonathan. We would be happy to reach out to you to talk about your Passat.</t>
  </si>
  <si>
    <t>2015-11-20T19:10:53.000Z</t>
  </si>
  <si>
    <t>https://twitter.com/VW/status/667780482659028992</t>
  </si>
  <si>
    <t>@akohser They are in the best position to assist you with the concerns you’re having with your vehicle. #VWCares</t>
  </si>
  <si>
    <t>2015-11-20T19:04:08.000Z</t>
  </si>
  <si>
    <t>@akohser</t>
  </si>
  <si>
    <t>https://twitter.com/VW/status/667780481115553792</t>
  </si>
  <si>
    <t>@akohser We want to help make your experience better. We see you’re currently working with our colleagues at Customer CARE.</t>
  </si>
  <si>
    <t>https://twitter.com/VW/status/667740837401366529</t>
  </si>
  <si>
    <t>@Bmillerpgh We’re very sorry for the delay, Brent. One of our colleagues will be reaching out to you soon about your concerns. #VWCares</t>
  </si>
  <si>
    <t>2015-11-20T16:26:36.000Z</t>
  </si>
  <si>
    <t>@Bmillerpgh</t>
  </si>
  <si>
    <t>https://twitter.com/VW/status/667738237310373889</t>
  </si>
  <si>
    <t>@tfcatfan20 We would be happy to find out how we might be able to help. DM your VIN and email address and we’ll gladly reach out to you.</t>
  </si>
  <si>
    <t>2015-11-20T16:16:16.000Z</t>
  </si>
  <si>
    <t>https://twitter.com/VW/status/667738235213230080</t>
  </si>
  <si>
    <t>@DBessLady We’re very sorry we were unable to meet your expectations. Please reach out to us again if you have any additional questions.</t>
  </si>
  <si>
    <t>2015-11-20T16:16:15.000Z</t>
  </si>
  <si>
    <t>https://twitter.com/VW/status/667717965849038850</t>
  </si>
  <si>
    <t>@Tmackd If there’s anything we can do to help. Please give us a call at 800-822-8987. We’re always listening. #VWCares</t>
  </si>
  <si>
    <t>2015-11-20T14:55:43.000Z</t>
  </si>
  <si>
    <t>@tmackd</t>
  </si>
  <si>
    <t>https://twitter.com/VW/status/667717964074893312</t>
  </si>
  <si>
    <t>@Tmackd We’re very sorry to hear that your experience turning in your lease has caused you to reconsider your relationship with Volkswagen.</t>
  </si>
  <si>
    <t>2015-11-20T14:55:42.000Z</t>
  </si>
  <si>
    <t>https://twitter.com/VW/status/667714394055282688</t>
  </si>
  <si>
    <t>@hauntedsunshine We’re very sorry to hear about your experience, Paige. If you’d like, DM us your VIN and email and we’ll reach out to you.</t>
  </si>
  <si>
    <t>2015-11-20T14:41:31.000Z</t>
  </si>
  <si>
    <t>@hauntedsunshine</t>
  </si>
  <si>
    <t>https://twitter.com/VW/status/667469187283972096</t>
  </si>
  <si>
    <t>@MkhungoMan As we are only able to assist with U.S. vehicles and dealers, we recommend reaching out to the VW branch in your region.</t>
  </si>
  <si>
    <t>2015-11-19T22:27:09.000Z</t>
  </si>
  <si>
    <t>https://twitter.com/VW/status/667469184608014337</t>
  </si>
  <si>
    <t>@ScreamnBanshee If you’d like, please DM us your VIN and email address and we’ll reach out to you with more information. #VWCares</t>
  </si>
  <si>
    <t>@ScreamnBanshee</t>
  </si>
  <si>
    <t>https://twitter.com/VW/status/667469182183739392</t>
  </si>
  <si>
    <t>@ScreamnBanshee There are a wide variety of services performed at the 40k mile maintenance. This can vary depending on which VW you have.</t>
  </si>
  <si>
    <t>2015-11-19T22:27:08.000Z</t>
  </si>
  <si>
    <t>https://twitter.com/VW/status/667109786995945472</t>
  </si>
  <si>
    <t>@JayPichardo Keep up with http://media.vw.com for all the latest Volkswagen news! #VWCares</t>
  </si>
  <si>
    <t>2015-11-18T22:39:02.000Z</t>
  </si>
  <si>
    <t>@JayPichardo</t>
  </si>
  <si>
    <t>https://twitter.com/VW/status/667109785007820800</t>
  </si>
  <si>
    <t>@JayPichardo We’re sorry, Jay. We don’t yet have a release date for the Car-Net app compatible with the Apple Watch.</t>
  </si>
  <si>
    <t>2015-11-18T22:39:01.000Z</t>
  </si>
  <si>
    <t>https://twitter.com/VW/status/667105378560139264</t>
  </si>
  <si>
    <t>@shellblackley We recommend working with your local VW dealership about the best tires for winter driving in your Tiguan. #VWCares</t>
  </si>
  <si>
    <t>2015-11-18T22:21:31.000Z</t>
  </si>
  <si>
    <t>https://twitter.com/VW/status/667095904663433216</t>
  </si>
  <si>
    <t>@Zeitgeist33 We see you’re already working with our colleagues at Customer CARE. They are in the best position to assist you.</t>
  </si>
  <si>
    <t>2015-11-18T21:43:52.000Z</t>
  </si>
  <si>
    <t>@Zeitgeist33</t>
  </si>
  <si>
    <t>https://twitter.com/VW/status/667095902755012608</t>
  </si>
  <si>
    <t>@Zeitgeist33 We want every mile in your VW to be another to smile about, so we’re very sorry to hear about your experience.</t>
  </si>
  <si>
    <t>2015-11-18T21:43:51.000Z</t>
  </si>
  <si>
    <t>https://twitter.com/VW/status/667094954016047104</t>
  </si>
  <si>
    <t>@MkhungoMan We’re very sorry to hear about your experience. Please DM us your VIN and email address and we’ll be happy to reach out you.</t>
  </si>
  <si>
    <t>2015-11-18T21:40:05.000Z</t>
  </si>
  <si>
    <t>https://twitter.com/VW/status/667088666716606464</t>
  </si>
  <si>
    <t>@NickDelsignore Please give us a call at 800-822-8987 and we’ll be happy to talk about your vehicle. #VWCares</t>
  </si>
  <si>
    <t>2015-11-18T21:15:06.000Z</t>
  </si>
  <si>
    <t>@NickDelsignore</t>
  </si>
  <si>
    <t>https://twitter.com/VW/status/667088665001070592</t>
  </si>
  <si>
    <t>@NickDelsignore We want every mile to be another to smile about, so we’re very sorry to hear you’re having concerns with your VW.</t>
  </si>
  <si>
    <t>https://twitter.com/VW/status/667088663600193536</t>
  </si>
  <si>
    <t>@monikamartin Please DM us your VIN and email address and we’ll gladly reach out to you to find out more. #VWCares</t>
  </si>
  <si>
    <t>2015-11-18T21:15:05.000Z</t>
  </si>
  <si>
    <t>https://twitter.com/VW/status/667087803734355968</t>
  </si>
  <si>
    <t>@monikamartin We’re very sorry to hear you’re having concerns with your CC, Monika. We’re happy to find out how we might be able to help.</t>
  </si>
  <si>
    <t>2015-11-18T21:11:40.000Z</t>
  </si>
  <si>
    <t>https://twitter.com/VW/status/667075329412870144</t>
  </si>
  <si>
    <t>@Bmillerpgh If it’s easier for you, you can DM us your email address and we’ll gladly reach out to you. #VWCares</t>
  </si>
  <si>
    <t>2015-11-18T20:22:06.000Z</t>
  </si>
  <si>
    <t>https://twitter.com/VW/status/667073455922135040</t>
  </si>
  <si>
    <t>@Bmillerpgh Thank you for reaching out to us. You can contact our Customer CARE Center at http://vw.com/contact.</t>
  </si>
  <si>
    <t>2015-11-18T20:14:40.000Z</t>
  </si>
  <si>
    <t>https://twitter.com/VW/status/667059313383346177</t>
  </si>
  <si>
    <t>@alexahumada91 If you’d like us to follow up on your repairs, give us a call at 800-822-8987. We’re always listening! #VWCares</t>
  </si>
  <si>
    <t>2015-11-18T19:18:28.000Z</t>
  </si>
  <si>
    <t>@alexelgreatish</t>
  </si>
  <si>
    <t>https://twitter.com/VW/status/667059311122616320</t>
  </si>
  <si>
    <t>@alexahumada91 We’re very sorry to hear about your GTI. We recommend bringing your vehicle to your local VW dealership for a diagnosis.</t>
  </si>
  <si>
    <t>2015-11-18T19:18:27.000Z</t>
  </si>
  <si>
    <t>https://twitter.com/VW/status/667058432399138816</t>
  </si>
  <si>
    <t>@slgoines1 If you have any additional questions or concerns, please feel free to reach out to us again at http://vw.com/contact.</t>
  </si>
  <si>
    <t>2015-11-18T19:14:58.000Z</t>
  </si>
  <si>
    <t>@slgoines1</t>
  </si>
  <si>
    <t>https://twitter.com/VW/status/667057619559837696</t>
  </si>
  <si>
    <t>@slgoines1 We’re very sorry to hear about your Volkswagen and regret we were unable to meet your expectations.</t>
  </si>
  <si>
    <t>2015-11-18T19:11:44.000Z</t>
  </si>
  <si>
    <t>https://twitter.com/VW/status/667046414606667776</t>
  </si>
  <si>
    <t>@MelissaDayVB You can check for open recall campaigns at http://vw.com/content/vwcom/en/owners-recalls.html…. If you have any questions, give us a call at 800-822-8987.</t>
  </si>
  <si>
    <t>2015-11-18T18:27:13.000Z</t>
  </si>
  <si>
    <t>https://twitter.com/VW/status/666996830027124736</t>
  </si>
  <si>
    <t>@robSanJr We want a world-class experience for you at your dealership. Please DM us your VIN and email address and we’ll reach out to you.</t>
  </si>
  <si>
    <t>2015-11-18T15:10:11.000Z</t>
  </si>
  <si>
    <t>@robsanjr</t>
  </si>
  <si>
    <t>https://twitter.com/VW/status/666996822968156163</t>
  </si>
  <si>
    <t>@teamDWA If you’d like, DM us your VIN and email address and we’ll gladly reach out to you. #VWCares</t>
  </si>
  <si>
    <t>2015-11-18T15:10:09.000Z</t>
  </si>
  <si>
    <t>@teamDWA</t>
  </si>
  <si>
    <t>https://twitter.com/VW/status/666995934392283136</t>
  </si>
  <si>
    <t>@teamDWA We’re very sorry to hear that you’re still experiencing a check engine light following your turbocharger repair.</t>
  </si>
  <si>
    <t>2015-11-18T15:06:37.000Z</t>
  </si>
  <si>
    <t>https://twitter.com/VW/status/666995932592889856</t>
  </si>
  <si>
    <t>@jamiedykes We would be happy to find out how we might be able to help. Please DM us your VIN and email address and we’ll reach out to you.</t>
  </si>
  <si>
    <t>@jamiedykes</t>
  </si>
  <si>
    <t>https://twitter.com/VW/status/666995929593966592</t>
  </si>
  <si>
    <t>@jamiedykes We want every visit to your dealership to be carefree, so we’re very sorry to hear about your experience.</t>
  </si>
  <si>
    <t>2015-11-18T15:06:36.000Z</t>
  </si>
  <si>
    <t>https://twitter.com/VW/status/666699228408774656</t>
  </si>
  <si>
    <t>@TheBaconDiaries We’re very sorry for the inconvenience, Kylie. Please DM us your email address and we’ll gladly reach out to you. #VWCares</t>
  </si>
  <si>
    <t>2015-11-17T19:27:37.000Z</t>
  </si>
  <si>
    <t>@TheBaconDiaries</t>
  </si>
  <si>
    <t>https://twitter.com/VW/status/666699226152210432</t>
  </si>
  <si>
    <t>@MarkCox100 We would be happy to find out how we might be able to help. Please DM us your VIN and email address and we’ll reach out to you.</t>
  </si>
  <si>
    <t>2015-11-17T19:27:36.000Z</t>
  </si>
  <si>
    <t>@MarkCox100</t>
  </si>
  <si>
    <t>https://twitter.com/VW/status/666699222498959361</t>
  </si>
  <si>
    <t>@TechRecruit4U We want your ownership to be carefree, so we’re sorry you’re having concerns with the windows in your VW. (1/2)</t>
  </si>
  <si>
    <t>2015-11-17T19:27:35.000Z</t>
  </si>
  <si>
    <t>@TechRecruit4U</t>
  </si>
  <si>
    <t>https://twitter.com/VW/status/666664617607852032</t>
  </si>
  <si>
    <t>2015-11-17T17:10:05.000Z</t>
  </si>
  <si>
    <t>https://twitter.com/VW/status/666332712953753600</t>
  </si>
  <si>
    <t>@gagansaggar We see you’re contacting us from outside the U.S. We recommend contacting the VW branch in your region for the best support.</t>
  </si>
  <si>
    <t>2015-11-16T19:11:13.000Z</t>
  </si>
  <si>
    <t>@gagansaggar</t>
  </si>
  <si>
    <t>https://twitter.com/VW/status/666332711414423553</t>
  </si>
  <si>
    <t>@gagansaggar We’re sorry to hear you had concerns with your service experience. We want your ownership to be carefree.</t>
  </si>
  <si>
    <t>2015-11-16T19:11:12.000Z</t>
  </si>
  <si>
    <t>https://twitter.com/VW/status/666330996921401344</t>
  </si>
  <si>
    <t>@riaapolo If you would like, DM us your email address and we’ll reach out to you to hear more about it. #VWCares</t>
  </si>
  <si>
    <t>2015-11-16T19:04:24.000Z</t>
  </si>
  <si>
    <t>https://twitter.com/VW/status/666321278299541504</t>
  </si>
  <si>
    <t>@ifollowonlyos If you’d like, please DM us your email address and we’ll gladly reach out to you to hear more about what happened. #VWCares</t>
  </si>
  <si>
    <t>2015-11-16T18:25:47.000Z</t>
  </si>
  <si>
    <t>https://twitter.com/VW/status/666321276219211776</t>
  </si>
  <si>
    <t>@ifollowonlyos We want every interaction with our brand to be carefree, so we’re very sorry to hear this was your experience.</t>
  </si>
  <si>
    <t>2015-11-16T18:25:46.000Z</t>
  </si>
  <si>
    <t>https://twitter.com/VW/status/666321274629525504</t>
  </si>
  <si>
    <t>@scubafranky We’re very sorry for the inconvenience, Frank. If there’s anything we can do to help, please give us a call at 800-822-8987.</t>
  </si>
  <si>
    <t>@scubafranky</t>
  </si>
  <si>
    <t>https://twitter.com/VW/status/666309461061951489</t>
  </si>
  <si>
    <t>@akohser We apologize that you have had concerns so soon in your ownership. We want a better experience for you.</t>
  </si>
  <si>
    <t>2015-11-16T17:38:49.000Z</t>
  </si>
  <si>
    <t>https://twitter.com/VW/status/666309459598159873</t>
  </si>
  <si>
    <t>@NotoriousPIG22 We’re very sorry for the inconvenience, Jake. Please DM your VIN and email address and we’ll reach out to you. #VWCares</t>
  </si>
  <si>
    <t>@JakePirri22</t>
  </si>
  <si>
    <t>https://twitter.com/VW/status/666309458344079360</t>
  </si>
  <si>
    <t>@ZeeZeeee_ If you’d like us to follow up on your appointment, please reach out to us at http://vw.com/contact. #VWCares</t>
  </si>
  <si>
    <t>2015-11-16T17:38:48.000Z</t>
  </si>
  <si>
    <t>https://twitter.com/VW/status/666309455223517184</t>
  </si>
  <si>
    <t>@ZeeZeeee_ We recommend working with your local VW dealership for the best information about servicing your vehicle.</t>
  </si>
  <si>
    <t>https://twitter.com/VW/status/665219363692085248</t>
  </si>
  <si>
    <t>@BastardChef We would be happy to look into this further for you. Please DM your VIN and email address and we’ll reach out to you. #VWCares</t>
  </si>
  <si>
    <t>2015-11-13T17:27:10.000Z</t>
  </si>
  <si>
    <t>@BastardChef</t>
  </si>
  <si>
    <t>https://twitter.com/VW/status/665219361859198976</t>
  </si>
  <si>
    <t>@BastardChef We’re sorry to hear you’re having concerns with your Golf R. We know it can be frustrating to be without your car.</t>
  </si>
  <si>
    <t>2015-11-13T17:27:09.000Z</t>
  </si>
  <si>
    <t>https://twitter.com/VW/status/664927575009918976</t>
  </si>
  <si>
    <t>@dolbeare14 These concerns have since been resolved. If you’d like, DM us your VIN and email address and we’ll reach out to you. #VWCares</t>
  </si>
  <si>
    <t>2015-11-12T22:07:42.000Z</t>
  </si>
  <si>
    <t>https://twitter.com/VW/status/664927573139304448</t>
  </si>
  <si>
    <t>@dolbeare14 We’re very sorry to hear this happened, we were experiencing technical issues with our phones earlier today.</t>
  </si>
  <si>
    <t>2015-11-12T22:07:41.000Z</t>
  </si>
  <si>
    <t>https://twitter.com/VW/status/664907240982245377</t>
  </si>
  <si>
    <t>@fhmiv If you’d like us to follow up on a repair at a VW dealership, please give us a call at 800-822-8987. We’re always happy to help!</t>
  </si>
  <si>
    <t>2015-11-12T20:46:54.000Z</t>
  </si>
  <si>
    <t>https://twitter.com/VW/status/664907239304499200</t>
  </si>
  <si>
    <t>@fhmiv We’re sorry closing your sunroof by hand took so much work, Frank. We want owning your VW to be easy and carefree.</t>
  </si>
  <si>
    <t>2015-11-12T20:46:53.000Z</t>
  </si>
  <si>
    <t>https://twitter.com/VW/status/664907234854375425</t>
  </si>
  <si>
    <t>@theekanes We see he is already working with our colleagues at Customer CARE. They are in the best position to help you with your vehicle.</t>
  </si>
  <si>
    <t>2015-11-12T20:46:52.000Z</t>
  </si>
  <si>
    <t>@theekanes</t>
  </si>
  <si>
    <t>https://twitter.com/VW/status/664907232039952384</t>
  </si>
  <si>
    <t>@theekanes We’re very sorry to hear about the concerns your husband is having with his Passat. We want a better experience for you.</t>
  </si>
  <si>
    <t>https://twitter.com/VW/status/664844735148769281</t>
  </si>
  <si>
    <t>@opsmommy 1/3 Hello, Paula. Thank you for taking the time to reach out to us.</t>
  </si>
  <si>
    <t>2015-11-12T16:38:31.000Z</t>
  </si>
  <si>
    <t>@opsmommy</t>
  </si>
  <si>
    <t>https://twitter.com/VW/status/664530233337380864</t>
  </si>
  <si>
    <t>@JDelveneri Please DM us your email address and VIN and we will be happy to research your concerns further. #VWCares</t>
  </si>
  <si>
    <t>2015-11-11T19:48:48.000Z</t>
  </si>
  <si>
    <t>https://twitter.com/VW/status/664530231403806720</t>
  </si>
  <si>
    <t>@JDelveneri We’re very sorry to hear about your experience. We would be happy to find out how we might be able to help.</t>
  </si>
  <si>
    <t>https://twitter.com/VW/status/664529324347789312</t>
  </si>
  <si>
    <t>@Sour_Oneism We’d be happy to find out what we can do to help. Please DM us your email address and we’ll reach out to you. #VWCares</t>
  </si>
  <si>
    <t>2015-11-11T19:45:11.000Z</t>
  </si>
  <si>
    <t>@Sour_Oneism</t>
  </si>
  <si>
    <t>https://twitter.com/VW/status/664529322896568320</t>
  </si>
  <si>
    <t>@Sour_Oneism We’re very sorry to hear you’re receiving unwanted phone calls about your GTI.</t>
  </si>
  <si>
    <t>https://twitter.com/VW/status/664529321462108160</t>
  </si>
  <si>
    <t>@EastmanTiffany We’re sorry to hear you had bad experience. Please give us a call at 800-822-8987 if there’s anything we can do to help.</t>
  </si>
  <si>
    <t>@rodtif</t>
  </si>
  <si>
    <t>https://twitter.com/VW/status/664524103559196672</t>
  </si>
  <si>
    <t>@Mr_Disneyland We’re sorry to hear about your disappointment. If you ever need anything in the future, please let us know. #VWCares</t>
  </si>
  <si>
    <t>2015-11-11T19:24:27.000Z</t>
  </si>
  <si>
    <t>@EctoFlapjack</t>
  </si>
  <si>
    <t>https://twitter.com/VW/status/664481038798745600</t>
  </si>
  <si>
    <t>@sarahryvre We recommend consulting your local VW dealership and your Owner’s Manual for more information. #VWCares</t>
  </si>
  <si>
    <t>2015-11-11T16:33:19.000Z</t>
  </si>
  <si>
    <t>@sarahryvre</t>
  </si>
  <si>
    <t>https://twitter.com/VW/status/664481037016133632</t>
  </si>
  <si>
    <t>@sarahryvre Although we do not recommend using your vehicle for towing, it is still possible to install a trailer hitch.</t>
  </si>
  <si>
    <t>https://twitter.com/VW/status/664478358311297024</t>
  </si>
  <si>
    <t>@Kiki_Talks Thank you for providing us your information. One of our colleagues will reach out to you soon. #VWCares</t>
  </si>
  <si>
    <t>2015-11-11T16:22:40.000Z</t>
  </si>
  <si>
    <t>@Kiki_Talks</t>
  </si>
  <si>
    <t>https://twitter.com/VW/status/664478357178855424</t>
  </si>
  <si>
    <t>@rivetingpics They are in the best position to assist you going forward. Feel free to reach out to us again if you have any questions.</t>
  </si>
  <si>
    <t>https://twitter.com/VW/status/664478355622727680</t>
  </si>
  <si>
    <t>@rivetingpics We’re very sorry for the inconvenience. We see you recently chatted with us and are now working with our colleagues.</t>
  </si>
  <si>
    <t>https://twitter.com/VW/status/664478354117033984</t>
  </si>
  <si>
    <t>@kurthartwig We would be happy to find out how we can help make it better. Please DM your VIN and email address and we’ll reach out to you.</t>
  </si>
  <si>
    <t>2015-11-11T16:22:39.000Z</t>
  </si>
  <si>
    <t>https://twitter.com/VW/status/664478349352275970</t>
  </si>
  <si>
    <t>@ShootJoeC We’re sorry to see your Jetta’s wheel like this. If there’s anything we can do to help, please call us at 800-822-8987. #VWCares</t>
  </si>
  <si>
    <t>2015-11-11T16:22:38.000Z</t>
  </si>
  <si>
    <t>@NotShootJoeC</t>
  </si>
  <si>
    <t>https://twitter.com/VW/status/664478347754278913</t>
  </si>
  <si>
    <t>@tls_46 We’re very sorry to hear this. Please DM your VIN and email and we’ll reach out to you to find out more. #VWCares</t>
  </si>
  <si>
    <t>@tls_46</t>
  </si>
  <si>
    <t>https://twitter.com/VW/status/664213096324468736</t>
  </si>
  <si>
    <t>@dustbeta If there’s anything we can do to assist you, please give us a call at 800-822-8987. We’re always happy to help! #VWCares</t>
  </si>
  <si>
    <t>2015-11-10T22:48:37.000Z</t>
  </si>
  <si>
    <t>https://twitter.com/VW/status/664213094617354240</t>
  </si>
  <si>
    <t>@dustbeta We’re sorry we were unable to meet your expectations for these features. We’ll be sure to pass your comments along for review.</t>
  </si>
  <si>
    <t>2015-11-10T22:48:36.000Z</t>
  </si>
  <si>
    <t>https://twitter.com/VW/status/664208727977783296</t>
  </si>
  <si>
    <t>@Erick407A We’re sorry to hear about your experience. Please give us a call at 800-822-8987 if there’s anything we can do to help. #VWCares</t>
  </si>
  <si>
    <t>2015-11-10T22:31:15.000Z</t>
  </si>
  <si>
    <t>@Eeiiick</t>
  </si>
  <si>
    <t>https://twitter.com/VW/status/664145573121912832</t>
  </si>
  <si>
    <t>@juliamarie9292 Please feel free to reach out to us again if you’d like to discuss your case further. We’re always listening. #VWCares</t>
  </si>
  <si>
    <t>2015-11-10T18:20:18.000Z</t>
  </si>
  <si>
    <t>https://twitter.com/VW/status/664145571695882240</t>
  </si>
  <si>
    <t>@juliamarie9292 We see you’ve already spoken with our colleagues at Customer CARE and we regret we were unable to meet your expectations.</t>
  </si>
  <si>
    <t>https://twitter.com/VW/status/664145568554291200</t>
  </si>
  <si>
    <t>@juliamarie9292 We’re very sorry you’re having concerns with your Eos so soon in your ownership. This isn’t the experience we want for you.</t>
  </si>
  <si>
    <t>2015-11-10T18:20:17.000Z</t>
  </si>
  <si>
    <t>https://twitter.com/VW/status/663841323288387584</t>
  </si>
  <si>
    <t>@olhandley If you would like to discuss your vehicle further, please feel free to reach out to us again. We’re always listening.</t>
  </si>
  <si>
    <t>2015-11-09T22:11:19.000Z</t>
  </si>
  <si>
    <t>@olhandley</t>
  </si>
  <si>
    <t>https://twitter.com/VW/status/663841320780206080</t>
  </si>
  <si>
    <t>@olhandley We’re sorry about the concerns you’ve had with your radio and regret we did not meet your expectations from Customer CARE.</t>
  </si>
  <si>
    <t>https://twitter.com/VW/status/663787645697286144</t>
  </si>
  <si>
    <t>@Kiki_Talks We would be glad to find out how we can help. Please DM your VIN and email address and we’ll contact you to hear more. #VWCares</t>
  </si>
  <si>
    <t>2015-11-09T18:38:01.000Z</t>
  </si>
  <si>
    <t>https://twitter.com/VW/status/663750596143398912</t>
  </si>
  <si>
    <t>@GJBrizgys We would be glad to find out how we can help. Please DM your email address and we’ll reach out to you to find out more. #VWCares</t>
  </si>
  <si>
    <t>2015-11-09T16:10:48.000Z</t>
  </si>
  <si>
    <t>https://twitter.com/VW/status/663720373553266689</t>
  </si>
  <si>
    <t>@DeepakF4i Your satisfaction is very important to us. Please DM us your VIN and Phone Number and we will make reaching out to you a priority</t>
  </si>
  <si>
    <t>2015-11-09T14:10:43.000Z</t>
  </si>
  <si>
    <t>@DeepakF4i</t>
  </si>
  <si>
    <t>https://twitter.com/VW/status/662706147523059712</t>
  </si>
  <si>
    <t>@Jocelyn7Castro We’re very sorry you’ve had concerns with your GLI. Please DM us your email address and we’ll reach out to you. #VWCares</t>
  </si>
  <si>
    <t>2015-11-06T19:00:32.000Z</t>
  </si>
  <si>
    <t>@Jocelyn7Castro</t>
  </si>
  <si>
    <t>https://twitter.com/VW/status/662702570582880257</t>
  </si>
  <si>
    <t>@Prokthabo We’re very sorry to hear that this was your experience. Please DM your VIN and email and we’ll gladly reach out to you. #VWCares</t>
  </si>
  <si>
    <t>2015-11-06T18:46:19.000Z</t>
  </si>
  <si>
    <t>@Prokthabo</t>
  </si>
  <si>
    <t>https://twitter.com/VW/status/662647720612499456</t>
  </si>
  <si>
    <t>@JohnTruestar If there’s anything we can do to help, please give us a call at 800-822-8987. We’re always listening and happy to help.</t>
  </si>
  <si>
    <t>2015-11-06T15:08:22.000Z</t>
  </si>
  <si>
    <t>@Johnny_switzz</t>
  </si>
  <si>
    <t>https://twitter.com/VW/status/662647718255263744</t>
  </si>
  <si>
    <t>@JohnTruestar We want every experience with your dealership to be carefree, so we’re very sorry to hear this.</t>
  </si>
  <si>
    <t>https://twitter.com/VW/status/662647716376215552</t>
  </si>
  <si>
    <t>@m3zm0r1z0r Please DM us your VIN and email address and we’ll gladly reach out to you to find out more. #VWCares</t>
  </si>
  <si>
    <t>2015-11-06T15:08:21.000Z</t>
  </si>
  <si>
    <t>@m3zm0r1z0r</t>
  </si>
  <si>
    <t>https://twitter.com/VW/status/662645964507738112</t>
  </si>
  <si>
    <t>@m3zm0r1z0r We’re sorry your wife is having concerns with her Beetle so soon in her ownership. We’re happy to find out how we can help.</t>
  </si>
  <si>
    <t>2015-11-06T15:01:23.000Z</t>
  </si>
  <si>
    <t>https://twitter.com/VW/status/662643345424912384</t>
  </si>
  <si>
    <t>@ZootsAlures We’re glad you love your TDI! Your Passat has a timing belt which should be replaced every 130,000 miles. #VWCares</t>
  </si>
  <si>
    <t>2015-11-06T14:50:59.000Z</t>
  </si>
  <si>
    <t>@ZootsAlures</t>
  </si>
  <si>
    <t>https://twitter.com/VW/status/662369892411162625</t>
  </si>
  <si>
    <t>@dgarces97 We’re sorry for the inconvenience, Diego. Please DM your VIN and email and we’ll reach out to you to find out how we can help.</t>
  </si>
  <si>
    <t>2015-11-05T20:44:23.000Z</t>
  </si>
  <si>
    <t>https://twitter.com/VW/status/662369891102552065</t>
  </si>
  <si>
    <t>@Bryllooo We would like to find out what we might be able to do to help. Please DM your VIN and email address and we’ll reach out to you.</t>
  </si>
  <si>
    <t>2015-11-05T20:44:22.000Z</t>
  </si>
  <si>
    <t>@Bryllooo</t>
  </si>
  <si>
    <t>https://twitter.com/VW/status/662367172266627072</t>
  </si>
  <si>
    <t>@Bryllooo We want your ownership experience to be carefree, so we’re very sorry to hear about the concerns you’ve had getting a key made.</t>
  </si>
  <si>
    <t>2015-11-05T20:33:34.000Z</t>
  </si>
  <si>
    <t>https://twitter.com/VW/status/662367169108316160</t>
  </si>
  <si>
    <t>@xotaylor55 If there’s anything we can do to help, please give us a call at 800-822-8987. We’re always listening and happy to help. #VWCares</t>
  </si>
  <si>
    <t>2015-11-05T20:33:33.000Z</t>
  </si>
  <si>
    <t>https://twitter.com/VW/status/662367165945741313</t>
  </si>
  <si>
    <t>@xotaylor55 We want a world-class experience for you at your dealer, so we’re sorry to hear yours was anything less than that.</t>
  </si>
  <si>
    <t>https://twitter.com/VW/status/662022942990036992</t>
  </si>
  <si>
    <t>@TheRealJZT We would be happy to find out how we can help. Please DM your VIN and email address and we’ll reach out to you. #VWCares</t>
  </si>
  <si>
    <t>2015-11-04T21:45:44.000Z</t>
  </si>
  <si>
    <t>@TheRealJZT</t>
  </si>
  <si>
    <t>https://twitter.com/VW/status/661965176632053760</t>
  </si>
  <si>
    <t>@marcellinit If you’d like to talk more about it, you can reach VCI at 800-428-4034. Our colleagues there would be happy to assist you.</t>
  </si>
  <si>
    <t>2015-11-04T17:56:11.000Z</t>
  </si>
  <si>
    <t>@marcellinit</t>
  </si>
  <si>
    <t>https://twitter.com/VW/status/661964309358968832</t>
  </si>
  <si>
    <t>@marcellinit We want your ownership to be carefree so, we’re very sorry to hear that you’ve had these concerns with VW Credit.</t>
  </si>
  <si>
    <t>2015-11-04T17:52:44.000Z</t>
  </si>
  <si>
    <t>https://twitter.com/VW/status/661909323770007552</t>
  </si>
  <si>
    <t>@benny275 Happy to hear that! Let us know if there is anything else we can do #VWcares</t>
  </si>
  <si>
    <t>2015-11-04T14:14:15.000Z</t>
  </si>
  <si>
    <t>@benny275</t>
  </si>
  <si>
    <t>https://twitter.com/VW/status/661661500545740800</t>
  </si>
  <si>
    <t>@Scallen514 We’re very sorry to hear about your experience, Scott. We would be happy to find out how we might be able to help.</t>
  </si>
  <si>
    <t>2015-11-03T21:49:29.000Z</t>
  </si>
  <si>
    <t>https://twitter.com/VW/status/661653668924534784</t>
  </si>
  <si>
    <t>@Toxicbill We would be happy to find out how we can help. Please DM us your VIN and email address and we’ll reach out to you. #VWCares</t>
  </si>
  <si>
    <t>2015-11-03T21:18:22.000Z</t>
  </si>
  <si>
    <t>@Toxicbill</t>
  </si>
  <si>
    <t>https://twitter.com/VW/status/661634118925463552</t>
  </si>
  <si>
    <t>@donkeykwon We would be happy to find out how we might be able to help. Please DM us your email address and we’ll reach out to you. #VWCares</t>
  </si>
  <si>
    <t>2015-11-03T20:00:41.000Z</t>
  </si>
  <si>
    <t>https://twitter.com/VW/status/661631587033853956</t>
  </si>
  <si>
    <t>@liansonline We’re sorry about your GTI, Brian. Please DM us your VIN and email address and we’ll gladly reach out to you. #VWCares</t>
  </si>
  <si>
    <t>2015-11-03T19:50:37.000Z</t>
  </si>
  <si>
    <t>https://twitter.com/VW/status/661589564641808386</t>
  </si>
  <si>
    <t>@benny275 We’re sorry to hear of your dissatisfaction. One of our colleagues will be reaching out to you soon.</t>
  </si>
  <si>
    <t>2015-11-03T17:03:38.000Z</t>
  </si>
  <si>
    <t>https://twitter.com/VW/status/661589562955710464</t>
  </si>
  <si>
    <t>@stephen_shaffer If you’d like us to follow up on your appointment, please reach out to us at 800-822-8987. #VWCares</t>
  </si>
  <si>
    <t>@stephen_shaffer</t>
  </si>
  <si>
    <t>https://twitter.com/VW/status/661587714869850112</t>
  </si>
  <si>
    <t>@stephen_shaffer We recommend scheduling a diagnosis with your local dealership to find out more.</t>
  </si>
  <si>
    <t>2015-11-03T16:56:17.000Z</t>
  </si>
  <si>
    <t>https://twitter.com/VW/status/661585111222108161</t>
  </si>
  <si>
    <t>@Zachdoogan We’re sorry you’re seeing a warning light so soon in your ownership. DM us your VIN and email and we’ll reach out to you.</t>
  </si>
  <si>
    <t>2015-11-03T16:45:56.000Z</t>
  </si>
  <si>
    <t>https://twitter.com/VW/status/661582464461074433</t>
  </si>
  <si>
    <t>@DrewNottAndrew This isn’t the experience we want for you. Please DM us your VIN and email address and we’ll reach out to you. #VWCares</t>
  </si>
  <si>
    <t>2015-11-03T16:35:25.000Z</t>
  </si>
  <si>
    <t>https://twitter.com/VW/status/661579889657511936</t>
  </si>
  <si>
    <t>@josephljenkins Please DM us your VIN and email address and we’ll gladly reach out to you to find out more. #VWCares</t>
  </si>
  <si>
    <t>2015-11-03T16:25:11.000Z</t>
  </si>
  <si>
    <t>@josephljenkins</t>
  </si>
  <si>
    <t>https://twitter.com/VW/status/661579887623303168</t>
  </si>
  <si>
    <t>@josephljenkins We’re sorry you’re having brake concerns with your Passat. We would be happy to find out how we might be able to help.</t>
  </si>
  <si>
    <t>https://twitter.com/VW/status/661271565074460673</t>
  </si>
  <si>
    <t>@Tloutreach Please feel free to reach out to us again if you have any additional questions or concerns. We’re always listening.</t>
  </si>
  <si>
    <t>2015-11-02T20:00:01.000Z</t>
  </si>
  <si>
    <t>@Tloutreach</t>
  </si>
  <si>
    <t>https://twitter.com/VW/status/661271562327224320</t>
  </si>
  <si>
    <t>@StregaHorn Please feel free to reach out to us again if you have any additional questions or concerns. We’re always listening.</t>
  </si>
  <si>
    <t>2015-11-02T20:00:00.000Z</t>
  </si>
  <si>
    <t>@StregaHorn</t>
  </si>
  <si>
    <t>https://twitter.com/VW/status/661271560808894464</t>
  </si>
  <si>
    <t>@Tloutreach We see you were recently working with our colleagues and we regret we were unable to meet your expectations.</t>
  </si>
  <si>
    <t>https://twitter.com/VW/status/661271559114362880</t>
  </si>
  <si>
    <t>@Tloutreach We want owning a VW to be something to smile about, so we’re very sorry to hear about your experience.</t>
  </si>
  <si>
    <t>https://twitter.com/VW/status/661271557482778624</t>
  </si>
  <si>
    <t>@StregaHorn We’re very sorry to hear this happened to your brother. Please have him give us a call at 800-822-8987 so we can hear more.</t>
  </si>
  <si>
    <t>2015-11-02T19:59:59.000Z</t>
  </si>
  <si>
    <t>https://twitter.com/VW/status/661256517237145600</t>
  </si>
  <si>
    <t>@lordbrs We would be glad to find out how we might be able to help. Please DM us your VIN and email address and we’ll reach out to you.</t>
  </si>
  <si>
    <t>2015-11-02T19:00:13.000Z</t>
  </si>
  <si>
    <t>@lordbrs</t>
  </si>
  <si>
    <t>https://twitter.com/VW/status/661253888989753344</t>
  </si>
  <si>
    <t>@ginno875 If you’d like us to follow up on your appointment, please give us a call at 800-822-8987. We’re always happy to help. #VWCares</t>
  </si>
  <si>
    <t>2015-11-02T18:49:47.000Z</t>
  </si>
  <si>
    <t>@ginno875</t>
  </si>
  <si>
    <t>https://twitter.com/VW/status/661253887043592192</t>
  </si>
  <si>
    <t>@ginno875 We recommend taking your vehicle to a VW dealer for a diagnosis. They will be in the best position to assist you with a repair.</t>
  </si>
  <si>
    <t>2015-11-02T18:49:46.000Z</t>
  </si>
  <si>
    <t>https://twitter.com/VW/status/661253885852413952</t>
  </si>
  <si>
    <t>@Skiptink We see you’re already working with our colleagues at Customer CARE. They will be in the best position to assist you. #VWCares</t>
  </si>
  <si>
    <t>@Skiptink</t>
  </si>
  <si>
    <t>https://twitter.com/VW/status/661253884275372032</t>
  </si>
  <si>
    <t>@Skiptink We want your ownership to be easy and carefree, so we’re very sorry to hear you’ve had to make so many trips to the dealer.</t>
  </si>
  <si>
    <t>https://twitter.com/VW/status/661229215103107073</t>
  </si>
  <si>
    <t>@Bryllooo We’re very sorry for the inconvenience. Please give us a call at 800-822-8987 if you’d like to talk more about it. #VWCares</t>
  </si>
  <si>
    <t>2015-11-02T17:11:44.000Z</t>
  </si>
  <si>
    <t>https://twitter.com/VW/status/661229213563785216</t>
  </si>
  <si>
    <t>@Bryllooo We take the security of your vehicle very seriously, so we want to ensure that security is not jeopardized.</t>
  </si>
  <si>
    <t>https://twitter.com/VW/status/661212636114120704</t>
  </si>
  <si>
    <t>@Jason_Ridener We’re sorry to hear of your strut concerns. If there’s anything we can do to help, reach out to us at http://vw.com/contact</t>
  </si>
  <si>
    <t>2015-11-02T16:05:51.000Z</t>
  </si>
  <si>
    <t>https://twitter.com/VW/status/661212632968376320</t>
  </si>
  <si>
    <t>@TheOtherHT5K We’re sorry for the inconvenience. DM us your VIN and email address, and we will have one of our colleagues reach out to you.</t>
  </si>
  <si>
    <t>https://twitter.com/VW/status/660921181835411456</t>
  </si>
  <si>
    <t>@SAFTDIVA @VW only services the US.  For issues in Canada please call 1-800-822-8987 #VWcares</t>
  </si>
  <si>
    <t>2015-11-01T20:47:43.000Z</t>
  </si>
  <si>
    <t>@SAFTDIVA</t>
  </si>
  <si>
    <t>https://twitter.com/VW/status/660185314124664832</t>
  </si>
  <si>
    <t>@jon_fullerton We’d like to look into this further. Please DM us your VIN and email address so we can research more.</t>
  </si>
  <si>
    <t>2015-10-30T20:03:39.000Z</t>
  </si>
  <si>
    <t>@Jon_NoHF</t>
  </si>
  <si>
    <t>https://twitter.com/VW/status/660173993933058048</t>
  </si>
  <si>
    <t>@JosephAzam 2/2 Our colleagues are currently researching your case and will follow up with you again soon. #VWCares</t>
  </si>
  <si>
    <t>2015-10-30T19:18:40.000Z</t>
  </si>
  <si>
    <t>@josephazam</t>
  </si>
  <si>
    <t>https://twitter.com/VW/status/660173992163078145</t>
  </si>
  <si>
    <t>@JosephAzam 1/2 We want your ownership to be easy and carefree, so we’re sorry for the inconvenience you have experienced.</t>
  </si>
  <si>
    <t>2015-10-30T19:18:39.000Z</t>
  </si>
  <si>
    <t>https://twitter.com/VW/status/660168879130341376</t>
  </si>
  <si>
    <t>@Rosa_Yanez 2/2 We recommend reaching out to your local VW dealer directly to find out what your options are. #VWCares</t>
  </si>
  <si>
    <t>2015-10-30T18:58:20.000Z</t>
  </si>
  <si>
    <t>@Rosa_Yanez831</t>
  </si>
  <si>
    <t>https://twitter.com/VW/status/660168877326774272</t>
  </si>
  <si>
    <t>@Rosa_Yanez 1/2 We’re sorry you’re having concerns with your Routan. Your dealership may charge a fee to diagnose your vehicle.</t>
  </si>
  <si>
    <t>https://twitter.com/VW/status/660168875149950977</t>
  </si>
  <si>
    <t>@doodle_zoey 2/2 Please DM us your email address and the VIN for your father’s Tiguan so we can research further for you. #VWCares</t>
  </si>
  <si>
    <t>2015-10-30T18:58:19.000Z</t>
  </si>
  <si>
    <t>https://twitter.com/VW/status/660168873413513216</t>
  </si>
  <si>
    <t>@doodle_zoey 1/2 We’re sorry to hear this. We appreciate your loyalty and want a better experience for your father.</t>
  </si>
  <si>
    <t>https://twitter.com/VW/status/660160116059037696</t>
  </si>
  <si>
    <t>@tia_DUH 2/2 If you’d like us to follow up with your appointment, please reach out to us at http://vw.com/contact</t>
  </si>
  <si>
    <t>2015-10-30T18:23:31.000Z</t>
  </si>
  <si>
    <t>https://twitter.com/VW/status/660160114440048640</t>
  </si>
  <si>
    <t>@tia_DUH 1/2 We’re sorry to hear you’re having concerns with your alternator. Your local VW dealer is in the best position to assist you.</t>
  </si>
  <si>
    <t>https://twitter.com/VW/status/660157565771255810</t>
  </si>
  <si>
    <t>@fady_elsayed 2/2 Please contact our colleagues in Egypt at http://vw-eg.com for more assistance.</t>
  </si>
  <si>
    <t>2015-10-30T18:13:23.000Z</t>
  </si>
  <si>
    <t>@fady_elsayed</t>
  </si>
  <si>
    <t>https://twitter.com/VW/status/660155696609013760</t>
  </si>
  <si>
    <t>@fady_elsayed 1/2 We’re sorry to hear you’re facing transmission concerns. We regret we’re unable to give info on non-US specification cars</t>
  </si>
  <si>
    <t>2015-10-30T18:05:57.000Z</t>
  </si>
  <si>
    <t>https://twitter.com/VW/status/660154821693960193</t>
  </si>
  <si>
    <t>@Law7869 2/2 We see you’re currently working with our colleagues at Customer CARE. They are in the best position to assist you. #VWCares</t>
  </si>
  <si>
    <t>2015-10-30T18:02:29.000Z</t>
  </si>
  <si>
    <t>https://twitter.com/VW/status/660154820020404224</t>
  </si>
  <si>
    <t>@Law7869 1/2 We know this isn’t what you would expect with a new vehicle and we’re very sorry you’re having concerns with your GTI.</t>
  </si>
  <si>
    <t>2015-10-30T18:02:28.000Z</t>
  </si>
  <si>
    <t>https://twitter.com/VW/status/660154818414010368</t>
  </si>
  <si>
    <t>@MeganHuyghe 2/2 If you would like, DM us your VIN and phone number and we can reach out to VW Credit on your behalf. #VWCares</t>
  </si>
  <si>
    <t>https://twitter.com/VW/status/660153992438087680</t>
  </si>
  <si>
    <t>@MeganHuyghe 1/2 We know it isn’t fun to wait on the phone, so we’re very sorry for the inconvenience.</t>
  </si>
  <si>
    <t>2015-10-30T17:59:11.000Z</t>
  </si>
  <si>
    <t>https://twitter.com/VW/status/660132240588824576</t>
  </si>
  <si>
    <t>@danpolis We’re very sorry to hear this. Please DM us your VIN and email address so we can look further into your concerns. #VWCares</t>
  </si>
  <si>
    <t>2015-10-30T16:32:45.000Z</t>
  </si>
  <si>
    <t>@danpolis</t>
  </si>
  <si>
    <t>https://twitter.com/VW/status/660132239196356608</t>
  </si>
  <si>
    <t>@weyerparker We’re sorry you’ve had concerns with your VW. Please give us a call at 800-822-8987 if there’s anything we can do to help.</t>
  </si>
  <si>
    <t>https://twitter.com/VW/status/660132237527027712</t>
  </si>
  <si>
    <t>@CJSportsRadio 2/2 We see you’re currently working with our colleagues at Customer CARE. They will be in the best position to assist you.</t>
  </si>
  <si>
    <t>2015-10-30T16:32:44.000Z</t>
  </si>
  <si>
    <t>@BirdsFlyHigh215</t>
  </si>
  <si>
    <t>https://twitter.com/VW/status/660132235928993792</t>
  </si>
  <si>
    <t>@CJSportsRadio 1/2 We’re very sorry to hear you’re having concerns with your GLI, this isn’t the kind of experience we want for you.</t>
  </si>
  <si>
    <t>https://twitter.com/VW/status/660129488206868480</t>
  </si>
  <si>
    <t>@nickcatelli If there’s anything we can do to help, please reach out to us at http://vw.com/contact. We’re always listening. #VWCares</t>
  </si>
  <si>
    <t>2015-10-30T16:21:49.000Z</t>
  </si>
  <si>
    <t>@nickcatelli</t>
  </si>
  <si>
    <t>https://twitter.com/VW/status/660128615418359808</t>
  </si>
  <si>
    <t>@countyourbread We’re sorry to hear of your dissatisfaction. Please DM us your VIN and email address so we can look into this further.</t>
  </si>
  <si>
    <t>2015-10-30T16:18:21.000Z</t>
  </si>
  <si>
    <t>https://twitter.com/VW/status/660128613841309696</t>
  </si>
  <si>
    <t>@RedMcCullars This is not the experience we want for you. Please DM us your VIN and email address so we can look into this further.</t>
  </si>
  <si>
    <t>2015-10-30T16:18:20.000Z</t>
  </si>
  <si>
    <t>https://twitter.com/VW/status/659810611748995072</t>
  </si>
  <si>
    <t>@heatherchrr We’re sorry your time with the dealer wasn’t wonderful. Please DM your VIN and email address so we can look into this further.</t>
  </si>
  <si>
    <t>2015-10-29T19:14:43.000Z</t>
  </si>
  <si>
    <t>https://twitter.com/VW/status/659792353238999040</t>
  </si>
  <si>
    <t>@JuiceLuhDaKids Please DM us your VIN and email address so we can look into this further.</t>
  </si>
  <si>
    <t>2015-10-29T18:02:10.000Z</t>
  </si>
  <si>
    <t>@OrvngeJulius</t>
  </si>
  <si>
    <t>https://twitter.com/VW/status/659792351443881984</t>
  </si>
  <si>
    <t>@JuiceLuhDaKids We hope for a carefree ownership experience for our drivers, and we’re sorry yours has been anything less than fantastic.</t>
  </si>
  <si>
    <t>2015-10-29T18:02:09.000Z</t>
  </si>
  <si>
    <t>https://twitter.com/VW/status/659781239994343424</t>
  </si>
  <si>
    <t>@AmrapaliAmbegao If there is anything we can do to help, please DM us your VIN and email address.</t>
  </si>
  <si>
    <t>2015-10-29T17:18:00.000Z</t>
  </si>
  <si>
    <t>@tweetAMRAPALI</t>
  </si>
  <si>
    <t>https://twitter.com/VW/status/659781238253707264</t>
  </si>
  <si>
    <t>@AmrapaliAmbegao We appreciate the love, and we are sorry to hear your experience with Van Nuys was anything less than wonderful.</t>
  </si>
  <si>
    <t>2015-10-29T17:17:59.000Z</t>
  </si>
  <si>
    <t>https://twitter.com/VW/status/659733855574716416</t>
  </si>
  <si>
    <t>@ForeTammy We would be happy to find out how we might be able to help. Please DM your email address and VIN and we’ll reach out to you.</t>
  </si>
  <si>
    <t>2015-10-29T14:09:43.000Z</t>
  </si>
  <si>
    <t>@ForeTammy</t>
  </si>
  <si>
    <t>https://twitter.com/VW/status/659733853884448769</t>
  </si>
  <si>
    <t>@kfishal We don’t yet have an official timeline for this vehicle. Stay tuned to http://media.vw.com for the latest news! #VWCares</t>
  </si>
  <si>
    <t>2015-10-29T14:09:42.000Z</t>
  </si>
  <si>
    <t>@kfishal</t>
  </si>
  <si>
    <t>https://twitter.com/VW/status/659733850398916608</t>
  </si>
  <si>
    <t>@BrennanDavies8 We’re very sorry to hear about your experience, Brennan. We want your service to be carefree.</t>
  </si>
  <si>
    <t>2015-10-29T14:09:41.000Z</t>
  </si>
  <si>
    <t>https://twitter.com/VW/status/659465346626142208</t>
  </si>
  <si>
    <t>@AyeeChristiancx We appreciate the love! We have no immediate plans to bring a VW Van to the States, but we will take it into consideration!</t>
  </si>
  <si>
    <t>2015-10-28T20:22:45.000Z</t>
  </si>
  <si>
    <t>@AyeeChristiancx</t>
  </si>
  <si>
    <t>https://twitter.com/VW/status/659450530591318016</t>
  </si>
  <si>
    <t>2015-10-28T19:23:53.000Z</t>
  </si>
  <si>
    <t>https://twitter.com/VW/status/659388166269366272</t>
  </si>
  <si>
    <t>@ORBF73 We value your feedback, and are sorry you aren’t able to find the VW you wanted. We will take your comments into consideration.</t>
  </si>
  <si>
    <t>2015-10-28T15:16:04.000Z</t>
  </si>
  <si>
    <t>@ORBF73</t>
  </si>
  <si>
    <t>https://twitter.com/VW/status/659381172238094336</t>
  </si>
  <si>
    <t>@jeff_nieman We would be happy to get involved. Please DM us your VIN and email address and we’ll reach out to you. #VWCares</t>
  </si>
  <si>
    <t>2015-10-28T14:48:16.000Z</t>
  </si>
  <si>
    <t>@jeff_nieman</t>
  </si>
  <si>
    <t>https://twitter.com/VW/status/659380264251076608</t>
  </si>
  <si>
    <t>@smartinnj They are in the best position to assist you and answer any questions you may have going forward.</t>
  </si>
  <si>
    <t>2015-10-28T14:44:40.000Z</t>
  </si>
  <si>
    <t>@SoSmartLatina1</t>
  </si>
  <si>
    <t>https://twitter.com/VW/status/659088604434591744</t>
  </si>
  <si>
    <t>@DJNeonBunny We’re sorry your time with your VW was less than ideal. If there is anything we can do, contact us at http://vw.com/contact.</t>
  </si>
  <si>
    <t>2015-10-27T19:25:43.000Z</t>
  </si>
  <si>
    <t>@DJNeonBunny</t>
  </si>
  <si>
    <t>https://twitter.com/VW/status/659087769088557056</t>
  </si>
  <si>
    <t>@followtheparka If you’d like to tell us more about your experience, please give us a call at 800-822-8987. We’re always listening.</t>
  </si>
  <si>
    <t>2015-10-27T19:22:24.000Z</t>
  </si>
  <si>
    <t>@laurennotkelley</t>
  </si>
  <si>
    <t>https://twitter.com/VW/status/659087767398256640</t>
  </si>
  <si>
    <t>@followtheparka Buying a new VW should be a fun and carefree experience, so we’re very sorry about the long wait at your dealership.</t>
  </si>
  <si>
    <t>2015-10-27T19:22:23.000Z</t>
  </si>
  <si>
    <t>https://twitter.com/VW/status/659087765720580096</t>
  </si>
  <si>
    <t>@olivejuice2227 We’re happy to find out how we may be able to help. Please DM your email address and VIN and we’ll research further for you.</t>
  </si>
  <si>
    <t>@olivejuice2227</t>
  </si>
  <si>
    <t>https://twitter.com/VW/status/659085942595018752</t>
  </si>
  <si>
    <t>@danieldeignan We would be glad to take a closer look at your concerns. Please DM us your VIN and email address and we’ll reach out to you.</t>
  </si>
  <si>
    <t>2015-10-27T19:15:08.000Z</t>
  </si>
  <si>
    <t>@11Silverado</t>
  </si>
  <si>
    <t>https://twitter.com/VW/status/659085940959260672</t>
  </si>
  <si>
    <t>@landoncrane1 We’re big fans too! We’re sorry to say, we don’t currently have any @VfL_Wolfsburg merchandise for sale. #VWCares</t>
  </si>
  <si>
    <t>https://twitter.com/VW/status/659085939449315328</t>
  </si>
  <si>
    <t>@sallyano22 We’re sorry to hear your Jetta is stalling. Please DM us your VIN and email so we can look into this further.</t>
  </si>
  <si>
    <t>2015-10-27T19:15:07.000Z</t>
  </si>
  <si>
    <t>@sallyano22</t>
  </si>
  <si>
    <t>https://twitter.com/VW/status/659085937561829376</t>
  </si>
  <si>
    <t>@chris_weis It’s important that each VW service is both thorough and carefree. Please DM us your email address and we’ll reach out to you.</t>
  </si>
  <si>
    <t>@chris_weis</t>
  </si>
  <si>
    <t>https://twitter.com/VW/status/659071990129561600</t>
  </si>
  <si>
    <t>@NewtZlee  We would be happy to find out how we can help. Please DM your VIN and email address and we’ll contact you to hear more. #VWCares</t>
  </si>
  <si>
    <t>2015-10-27T18:19:42.000Z</t>
  </si>
  <si>
    <t>@NewtZlee</t>
  </si>
  <si>
    <t>https://twitter.com/VW/status/659071988325986304</t>
  </si>
  <si>
    <t>@NewtZlee We know it can be frustrating to face a repair so soon in your ownership and we’re sorry to hear about your concerns.</t>
  </si>
  <si>
    <t>2015-10-27T18:19:41.000Z</t>
  </si>
  <si>
    <t>https://twitter.com/VW/status/659048406837432320</t>
  </si>
  <si>
    <t>@AndiMunson We’re sorry to hear your dissatisfied. If you’d like to share more about what happened, please DM us your VIN and email.</t>
  </si>
  <si>
    <t>2015-10-27T16:45:59.000Z</t>
  </si>
  <si>
    <t>@AndiMunson</t>
  </si>
  <si>
    <t>https://twitter.com/VW/status/659045774118940672</t>
  </si>
  <si>
    <t>@rebeccamg We’re sorry your VW shut off twice &amp; had to be towed. Please DM us your VIN and email address so we can look into this further.</t>
  </si>
  <si>
    <t>2015-10-27T16:35:31.000Z</t>
  </si>
  <si>
    <t>@rebeccamg</t>
  </si>
  <si>
    <t>https://twitter.com/VW/status/659043107967643648</t>
  </si>
  <si>
    <t>@cherbear_says We would be happy to hear more about your experience. Please DM your email address and we’ll reach out to you. #VWCares</t>
  </si>
  <si>
    <t>2015-10-27T16:24:56.000Z</t>
  </si>
  <si>
    <t>@DrCherylTien</t>
  </si>
  <si>
    <t>https://twitter.com/VW/status/659040522628038656</t>
  </si>
  <si>
    <t>@mountkynthos We’re sorry you’re facing concerns with your VW. Please DM us your VIN and email address, so we can look into this further.</t>
  </si>
  <si>
    <t>2015-10-27T16:14:39.000Z</t>
  </si>
  <si>
    <t>https://twitter.com/VW/status/659037110888869888</t>
  </si>
  <si>
    <t>@RJohnson1992 If you’d like to share your VIN and email address with us, we’d be happy to send you something to commemorate this occasion.</t>
  </si>
  <si>
    <t>2015-10-27T16:01:06.000Z</t>
  </si>
  <si>
    <t>@rejohnson1992</t>
  </si>
  <si>
    <t>https://twitter.com/VW/status/659037109429252097</t>
  </si>
  <si>
    <t>@RJohnson1992 Thank you so much for sharing your wonderful news with us, Rob! We love to hear from our drivers. #VWCares</t>
  </si>
  <si>
    <t>2015-10-27T16:01:05.000Z</t>
  </si>
  <si>
    <t>https://twitter.com/VW/status/658771709810503680</t>
  </si>
  <si>
    <t>@ORBF73 Should you need any assistance from us, please let us know. We’re happy to see what we can do.</t>
  </si>
  <si>
    <t>2015-10-26T22:26:29.000Z</t>
  </si>
  <si>
    <t>https://twitter.com/VW/status/658771707600089088</t>
  </si>
  <si>
    <t>@ORBF73 We appreciate your loyalty. Your local VW dealer is in the best position to help you find the VWs you’re looking for.</t>
  </si>
  <si>
    <t>https://twitter.com/VW/status/658771704026542080</t>
  </si>
  <si>
    <t>@smartinnj We are happy to find out how we can help. Please DM us your VIN and email address and we’ll reach out to you to learn more.</t>
  </si>
  <si>
    <t>2015-10-26T22:26:28.000Z</t>
  </si>
  <si>
    <t>https://twitter.com/VW/status/658771702143254528</t>
  </si>
  <si>
    <t>@ChreeMills We’re very sorry for the inconvenience, Chris. Please DM us your VIN and email address and we’ll reach out to you. #VWCares</t>
  </si>
  <si>
    <t>2015-10-26T22:26:27.000Z</t>
  </si>
  <si>
    <t>@MillerMinis</t>
  </si>
  <si>
    <t>https://twitter.com/VW/status/658770085918584833</t>
  </si>
  <si>
    <t>@BlackFishSLC We care about our drivers, and would like to look into this further. DM us your VIN and email so we can research more.</t>
  </si>
  <si>
    <t>2015-10-26T22:20:02.000Z</t>
  </si>
  <si>
    <t>https://twitter.com/VW/status/658688872738500608</t>
  </si>
  <si>
    <t>@lunarvessel If there’s anything we can do to help, please feel free to reach out to us at 800-822-8987. We’re always listening. #VWCares</t>
  </si>
  <si>
    <t>2015-10-26T16:57:19.000Z</t>
  </si>
  <si>
    <t>@lunarvessel</t>
  </si>
  <si>
    <t>https://twitter.com/VW/status/658688870813315073</t>
  </si>
  <si>
    <t>@lunarvessel We want every mile of your VW ownership to be easy and carefree, so we’re very sorry to hear about your experience.</t>
  </si>
  <si>
    <t>https://twitter.com/VW/status/658687077496651778</t>
  </si>
  <si>
    <t>@BRCush34 We recommend keeping in touch with your local VW dealer so you can be the first to know when they will arrive near you! #VWCares</t>
  </si>
  <si>
    <t>2015-10-26T16:50:11.000Z</t>
  </si>
  <si>
    <t>@BRCush34</t>
  </si>
  <si>
    <t>https://twitter.com/VW/status/658687075009454080</t>
  </si>
  <si>
    <t>@BRCush34 We’re glad you’re interested in the new Passat! They will begin to arrive at dealers in the late fall this year.</t>
  </si>
  <si>
    <t>https://twitter.com/VW/status/658687073071710208</t>
  </si>
  <si>
    <t>@timmyleow We’re very sorry to hear this, Timothy. Please DM us your email address and we’ll reach out to you with more info. #VWCares</t>
  </si>
  <si>
    <t>2015-10-26T16:50:10.000Z</t>
  </si>
  <si>
    <t>@realTimothyLeow</t>
  </si>
  <si>
    <t>https://twitter.com/VW/status/657648535731474432</t>
  </si>
  <si>
    <t>@Christina_Coker We’re sorry to hear this, Christina. Please DM us your VIN and email address and we’ll research further for you. #VWCares</t>
  </si>
  <si>
    <t>2015-10-23T20:03:24.000Z</t>
  </si>
  <si>
    <t>@Christina_Coker</t>
  </si>
  <si>
    <t>https://twitter.com/VW/status/657648534099853312</t>
  </si>
  <si>
    <t>@doinga55ina54 We’re sorry to hear about your GTI. Please DM us your VIN &amp; email address so we can research your concerns further #VWCares</t>
  </si>
  <si>
    <t>2015-10-23T20:03:23.000Z</t>
  </si>
  <si>
    <t>@doinga55ina54</t>
  </si>
  <si>
    <t>https://twitter.com/VW/status/657561185080881152</t>
  </si>
  <si>
    <t>@SaruskaCora If you’d like, DM us your VIN and email address and we’ll reach out to you with more info. #VWCares</t>
  </si>
  <si>
    <t>2015-10-23T14:16:18.000Z</t>
  </si>
  <si>
    <t>@SaruskaCoraJ</t>
  </si>
  <si>
    <t>https://twitter.com/VW/status/657561182513926144</t>
  </si>
  <si>
    <t>@SaruskaCora We’re sorry to hear this. The answer to your question can depend on which model VW you have.</t>
  </si>
  <si>
    <t>2015-10-23T14:16:17.000Z</t>
  </si>
  <si>
    <t>https://twitter.com/VW/status/657302079849914368</t>
  </si>
  <si>
    <t>@laurenxeli We’re very sorry to hear this, Lauren. If there’s anything we can do to help, please give us a call at 800-822-8987. #VWCares</t>
  </si>
  <si>
    <t>2015-10-22T21:06:42.000Z</t>
  </si>
  <si>
    <t>@laurenxeli</t>
  </si>
  <si>
    <t>https://twitter.com/VW/status/657266570704453632</t>
  </si>
  <si>
    <t>@PaleRabbit Congratulations on reaching 100,000 miles in your VW! Here’s to many more happy miles on the road ahead! #VWCares</t>
  </si>
  <si>
    <t>2015-10-22T18:45:36.000Z</t>
  </si>
  <si>
    <t>@PaleRabbit</t>
  </si>
  <si>
    <t>https://twitter.com/VW/status/657266568984854528</t>
  </si>
  <si>
    <t>@AmeliaDeitz We’re very sorry to hear this, Amelia. Please DM your VIN and email address so we can research this further for you. #VWCares</t>
  </si>
  <si>
    <t>@AmeliaDeitz</t>
  </si>
  <si>
    <t>https://twitter.com/VW/status/657257149081387008</t>
  </si>
  <si>
    <t>@preibischs Since you’re in Germany you may want to reach out to our colleagues there for the best possible information. #VWCares</t>
  </si>
  <si>
    <t>2015-10-22T18:08:10.000Z</t>
  </si>
  <si>
    <t>@preibischs</t>
  </si>
  <si>
    <t>https://twitter.com/VW/status/657257147269386241</t>
  </si>
  <si>
    <t>@preibischs We’re sorry for the inconvenience, Stephan. For U.S. models there is a keyhole under a plastic cap in the door handle.</t>
  </si>
  <si>
    <t>2015-10-22T18:08:09.000Z</t>
  </si>
  <si>
    <t>https://twitter.com/VW/status/657247227295825920</t>
  </si>
  <si>
    <t>@Beto_Gnzlz We’re sorry this is happening. DM us your VIN and email address, and we’re happy to look into this further.</t>
  </si>
  <si>
    <t>2015-10-22T17:28:44.000Z</t>
  </si>
  <si>
    <t>@Beto_Gnzlz</t>
  </si>
  <si>
    <t>https://twitter.com/VW/status/657222729699995648</t>
  </si>
  <si>
    <t>@tifa2276 We’re sorry to hear this happened. Please DM us your VIN and email address so we can look into this further.</t>
  </si>
  <si>
    <t>2015-10-22T15:51:24.000Z</t>
  </si>
  <si>
    <t>@aChunkyStory</t>
  </si>
  <si>
    <t>https://twitter.com/VW/status/657219206484627456</t>
  </si>
  <si>
    <t>@mhapriso We’re sorry to hear this happened. If there is anything we can do to help, please reach out to us at http://vw.com/contact</t>
  </si>
  <si>
    <t>2015-10-22T15:37:24.000Z</t>
  </si>
  <si>
    <t>https://twitter.com/VW/status/657209728058068992</t>
  </si>
  <si>
    <t>@Icebox_75 We’re sorry to hear of your dissatisfaction. Please DM us your VIN and email address so we can look into this further.</t>
  </si>
  <si>
    <t>2015-10-22T14:59:44.000Z</t>
  </si>
  <si>
    <t>@Lamar_037</t>
  </si>
  <si>
    <t>https://twitter.com/VW/status/657208015775371264</t>
  </si>
  <si>
    <t>@AngeliqueKenney We appreciate you taking the time to provide your info. One of our colleagues will reach out to you soon. #VWCares</t>
  </si>
  <si>
    <t>2015-10-22T14:52:55.000Z</t>
  </si>
  <si>
    <t>@AngeliqueKenney</t>
  </si>
  <si>
    <t>https://twitter.com/VW/status/657204592556445696</t>
  </si>
  <si>
    <t>@DDelRio2013 Thank you for your phone number. One of our colleagues will reach out to you soon.</t>
  </si>
  <si>
    <t>2015-10-22T14:39:19.000Z</t>
  </si>
  <si>
    <t>@DDelRio2013</t>
  </si>
  <si>
    <t>https://twitter.com/VW/status/657195802805190657</t>
  </si>
  <si>
    <t>@IsleinDixie Thanks for the info. One of our colleagues will reach out to you soon.</t>
  </si>
  <si>
    <t>2015-10-22T14:04:24.000Z</t>
  </si>
  <si>
    <t>@IsleinDixie</t>
  </si>
  <si>
    <t>https://twitter.com/VW/status/656949872050880512</t>
  </si>
  <si>
    <t>@Marchlover69 We recommend contacting the VW branch in your region so you can get the best info possible. #VWCares</t>
  </si>
  <si>
    <t>2015-10-21T21:47:09.000Z</t>
  </si>
  <si>
    <t>@Marchlover69</t>
  </si>
  <si>
    <t>https://twitter.com/VW/status/656948144932978688</t>
  </si>
  <si>
    <t>@Marchlover69 You’ve reached VW of America and we see you’re contacting us from outside the U.S.</t>
  </si>
  <si>
    <t>2015-10-21T21:40:17.000Z</t>
  </si>
  <si>
    <t>https://twitter.com/VW/status/656948142651240448</t>
  </si>
  <si>
    <t>@Naughtron We would be happy to provide this info. Please DM us your email address and we’ll send it to you. #VWCares</t>
  </si>
  <si>
    <t>https://twitter.com/VW/status/656933946903519232</t>
  </si>
  <si>
    <t>@Danny24Calderon This is not the kind of experience we want for you. Please DM your VIN and email address and we’ll reach out to you.</t>
  </si>
  <si>
    <t>2015-10-21T20:43:52.000Z</t>
  </si>
  <si>
    <t>@d24c_tiquicia</t>
  </si>
  <si>
    <t>https://twitter.com/VW/status/656909756066459648</t>
  </si>
  <si>
    <t>@dublinranch If you would like to discuss your case further, please feel free to reach out to us again.</t>
  </si>
  <si>
    <t>2015-10-21T19:07:45.000Z</t>
  </si>
  <si>
    <t>https://twitter.com/VW/status/656909752803323904</t>
  </si>
  <si>
    <t>@dublinranch We see you’ve already worked with Customer CARE about your concerns and we regret we were unable to meet your expectations.</t>
  </si>
  <si>
    <t>2015-10-21T19:07:44.000Z</t>
  </si>
  <si>
    <t>https://twitter.com/VW/status/656907996920832001</t>
  </si>
  <si>
    <t>@dublinranch We’re very sorry about the concerns you’ve had with your GTI. This isn’t the experience we want for you.</t>
  </si>
  <si>
    <t>2015-10-21T19:00:45.000Z</t>
  </si>
  <si>
    <t>https://twitter.com/VW/status/656895160542859264</t>
  </si>
  <si>
    <t>@BigMoStriker We’re sorry to hear this happened. Please DM us your VIN and email address so we can look into this further.</t>
  </si>
  <si>
    <t>2015-10-21T18:09:45.000Z</t>
  </si>
  <si>
    <t>@BigMoStriker</t>
  </si>
  <si>
    <t>https://twitter.com/VW/status/656891694537793537</t>
  </si>
  <si>
    <t>@harvardx We’re sorry this happened, and we’d like to look into it further. DM us your VIN and email address so we can research more.</t>
  </si>
  <si>
    <t>2015-10-21T17:55:59.000Z</t>
  </si>
  <si>
    <t>@harvardx</t>
  </si>
  <si>
    <t>https://twitter.com/VW/status/656890831291314176</t>
  </si>
  <si>
    <t>@DANORIVERA This is not the kind of experience we want for you. Please DM your VIN and email address and we’ll reach out to you. #VWCares</t>
  </si>
  <si>
    <t>2015-10-21T17:52:33.000Z</t>
  </si>
  <si>
    <t>https://twitter.com/VW/status/656890829617795072</t>
  </si>
  <si>
    <t>@ChenaeKY28 We’re sorry this is your experience. DM us your VIN and email address so we can look into this further.</t>
  </si>
  <si>
    <t>2015-10-21T17:52:32.000Z</t>
  </si>
  <si>
    <t>https://twitter.com/VW/status/656889947673071617</t>
  </si>
  <si>
    <t>@IsleinDixie We’re delighted to hear this! If you’d like, DM us your email address and we’ll reach out to you to hear more. #VWCares</t>
  </si>
  <si>
    <t>2015-10-21T17:49:02.000Z</t>
  </si>
  <si>
    <t>https://twitter.com/VW/status/656889945819246592</t>
  </si>
  <si>
    <t>@blatzman We’re sorry to hear your MDI iPod connection is not working. DM us your VIN and email address so we can look into this further.</t>
  </si>
  <si>
    <t>@blatzman</t>
  </si>
  <si>
    <t>https://twitter.com/VW/status/656889082765639681</t>
  </si>
  <si>
    <t>@enasser97 If you would like for us to follow up on your repair, please feel free to reach out to us at http://vw.com/contact. #VWCares</t>
  </si>
  <si>
    <t>2015-10-21T17:45:36.000Z</t>
  </si>
  <si>
    <t>@elias_nasserrr</t>
  </si>
  <si>
    <t>https://twitter.com/VW/status/656889081079590912</t>
  </si>
  <si>
    <t>@enasser97 We’re sorry you’re having concerns with your Jetta. We recommend bringing your vehicle to a VW dealership for a diagnosis.</t>
  </si>
  <si>
    <t>2015-10-21T17:45:35.000Z</t>
  </si>
  <si>
    <t>https://twitter.com/VW/status/656889073529786368</t>
  </si>
  <si>
    <t>@manzannna If there’s anything we can do to help, please DM us your VIN and email address and we’ll gladly reach out to you. #VWCares</t>
  </si>
  <si>
    <t>2015-10-21T17:45:34.000Z</t>
  </si>
  <si>
    <t>@manzannna</t>
  </si>
  <si>
    <t>https://twitter.com/VW/status/656889071789207552</t>
  </si>
  <si>
    <t>@manzannna We want a world-class experience for you at our dealer, so we’re very sorry to hear yours did not meet our high expectations.</t>
  </si>
  <si>
    <t>2015-10-21T17:45:33.000Z</t>
  </si>
  <si>
    <t>https://twitter.com/VW/status/656837539702018048</t>
  </si>
  <si>
    <t>@JGra90 You can keep up to date about our features at our media site, http://media.vw.com</t>
  </si>
  <si>
    <t>2015-10-21T14:20:47.000Z</t>
  </si>
  <si>
    <t>@JGra90</t>
  </si>
  <si>
    <t>https://twitter.com/VW/status/656837538020130816</t>
  </si>
  <si>
    <t>@JGra90 We appreciate your feedback, Jordan, and will take your suggestion into consideration in the future.</t>
  </si>
  <si>
    <t>https://twitter.com/VW/status/656837536266895360</t>
  </si>
  <si>
    <t>@mac_yaa The MIB II system is only available for 2016 vehicles. The 2015 GTIs had the 1st gen MIB which is not compatible with CarPlay.</t>
  </si>
  <si>
    <t>2015-10-21T14:20:46.000Z</t>
  </si>
  <si>
    <t>https://twitter.com/VW/status/656837534794645504</t>
  </si>
  <si>
    <t>@killahwhalee If you’d like us to follow up on your appointment, please DM us your VIN and email address, and we’d be happy to research.</t>
  </si>
  <si>
    <t>@killawhalee_</t>
  </si>
  <si>
    <t>https://twitter.com/VW/status/656837533091786752</t>
  </si>
  <si>
    <t>@killahwhalee We’re sorry this is happening. We recommend taking your Beetle to your local VW dealer to be checked out.</t>
  </si>
  <si>
    <t>2015-10-21T14:20:45.000Z</t>
  </si>
  <si>
    <t>https://twitter.com/VW/status/656563132966416384</t>
  </si>
  <si>
    <t>@Blooongg24 If you’d like us to follow up, please DM us your VIN and email address, and we’d be happy to.</t>
  </si>
  <si>
    <t>2015-10-20T20:10:23.000Z</t>
  </si>
  <si>
    <t>@Blooongg24</t>
  </si>
  <si>
    <t>https://twitter.com/VW/status/656563131246743553</t>
  </si>
  <si>
    <t>@Blooongg24 We’re sorry this happened. We recommend taking your car to your local VW dealer.</t>
  </si>
  <si>
    <t>https://twitter.com/VW/status/656558013994545152</t>
  </si>
  <si>
    <t>@ausrutherford We've made a lot of great changes to the Passat for 2016! You can read about them here: http://media.vw.com/release/1091/. #VWCares</t>
  </si>
  <si>
    <t>2015-10-20T19:50:03.000Z</t>
  </si>
  <si>
    <t>https://twitter.com/VW/status/656558012149075968</t>
  </si>
  <si>
    <t>@timfelsky We've made a lot of cool changes to the Passat for 2016! You can read all about them at http://media.vw.com/release/1091/. #VWCares</t>
  </si>
  <si>
    <t>@timfelsky</t>
  </si>
  <si>
    <t>https://twitter.com/VW/status/656558008470663168</t>
  </si>
  <si>
    <t>@bricknord We’re sorry this is your experience. We see one of our colleagues will be reaching out to you soon.</t>
  </si>
  <si>
    <t>2015-10-20T19:50:02.000Z</t>
  </si>
  <si>
    <t>https://twitter.com/VW/status/656506848627978240</t>
  </si>
  <si>
    <t>@IvanHH4L We’re sorry to hear of your discontent, and if there is anything we can do, please reach out to us at http://vw.com/contact</t>
  </si>
  <si>
    <t>2015-10-20T16:26:44.000Z</t>
  </si>
  <si>
    <t>https://twitter.com/VW/status/656477384913227776</t>
  </si>
  <si>
    <t>@pingoysays Your satisfaction is important to us. Please DM us your VIN and phone number, and we will make reaching out to you a priority.</t>
  </si>
  <si>
    <t>2015-10-20T14:29:39.000Z</t>
  </si>
  <si>
    <t>https://twitter.com/VW/status/656475663340187648</t>
  </si>
  <si>
    <t>@DavidBThomas We’re sorry to hear of your dissatisfaction. Please DM us your VIN and email address so we can look into this further.</t>
  </si>
  <si>
    <t>2015-10-20T14:22:49.000Z</t>
  </si>
  <si>
    <t>@DavidBThomas</t>
  </si>
  <si>
    <t>https://twitter.com/VW/status/656471141477847041</t>
  </si>
  <si>
    <t>@MK6Ivan This is not the experience we want for our drivers. Please DM us your VIN and email address so we can look into this further.</t>
  </si>
  <si>
    <t>2015-10-20T14:04:51.000Z</t>
  </si>
  <si>
    <t>@RodvanGulos</t>
  </si>
  <si>
    <t>https://twitter.com/VW/status/656469369355026432</t>
  </si>
  <si>
    <t>@TheRealJZT This is not the experience we want for you. Please DM us your VIN and email address so we can look into this further.</t>
  </si>
  <si>
    <t>2015-10-20T13:57:48.000Z</t>
  </si>
  <si>
    <t>https://twitter.com/VW/status/656467657307238400</t>
  </si>
  <si>
    <t>@ergosmac We see you’re already working with our colleagues at Customer CARE. They are in the best position to assist you. #VWCares</t>
  </si>
  <si>
    <t>2015-10-20T13:51:00.000Z</t>
  </si>
  <si>
    <t>@ergosmac</t>
  </si>
  <si>
    <t>https://twitter.com/VW/status/656467655218479106</t>
  </si>
  <si>
    <t>@ergosmac We’re very sorry to hear about the concerns you’re having with your VW. Thank you for letting us know.</t>
  </si>
  <si>
    <t>https://twitter.com/VW/status/656465939039260672</t>
  </si>
  <si>
    <t>@ErgoSleuth We see you’re already working with our colleagues at Customer CARE. They are in the best position to assist you. #VWCares</t>
  </si>
  <si>
    <t>2015-10-20T13:44:11.000Z</t>
  </si>
  <si>
    <t>@ErgoSleuth</t>
  </si>
  <si>
    <t>https://twitter.com/VW/status/656465937172795392</t>
  </si>
  <si>
    <t>@ErgoSleuth We’re very sorry to hear about the concerns you’re having with your VW. Thank you for letting us know.</t>
  </si>
  <si>
    <t>2015-10-20T13:44:10.000Z</t>
  </si>
  <si>
    <t>https://twitter.com/VW/status/656465934287114240</t>
  </si>
  <si>
    <t>@Nicholas_Durso We’re sorry, Nick. The Golf SportWagen is only available with a manual transmission for the S trim level for gas engines.</t>
  </si>
  <si>
    <t>2015-10-20T13:44:09.000Z</t>
  </si>
  <si>
    <t>https://twitter.com/VW/status/656202283714121728</t>
  </si>
  <si>
    <t>@mikemattone  Please DM us your email address and VIN and we’ll gladly reach out to you. #VWCares</t>
  </si>
  <si>
    <t>2015-10-19T20:16:30.000Z</t>
  </si>
  <si>
    <t>@mikemattone</t>
  </si>
  <si>
    <t>https://twitter.com/VW/status/656202282292285440</t>
  </si>
  <si>
    <t>@mikemattone We’re very sorry to hear about your experience.</t>
  </si>
  <si>
    <t>https://twitter.com/VW/status/656202281084301312</t>
  </si>
  <si>
    <t>@Bumpyknight We apologize for not meeting your expectations, and should you need anything in the future, please let us know.</t>
  </si>
  <si>
    <t>@Bumpyknight</t>
  </si>
  <si>
    <t>https://twitter.com/VW/status/656202279595339776</t>
  </si>
  <si>
    <t>@Bumpyknight Thank you for taking the time to reach out to us. We see one of our colleagues sent an email to you on 10/14/2015.</t>
  </si>
  <si>
    <t>2015-10-19T20:16:29.000Z</t>
  </si>
  <si>
    <t>https://twitter.com/VW/status/656197175068594177</t>
  </si>
  <si>
    <t>@MsCuppyKate We’re sorry to hear this is your experience. DM us your VIN and email address so we can look into this further.</t>
  </si>
  <si>
    <t>2015-10-19T19:56:12.000Z</t>
  </si>
  <si>
    <t>@MsCuppyKate</t>
  </si>
  <si>
    <t>https://twitter.com/VW/status/656197172963119104</t>
  </si>
  <si>
    <t>@pisatchos We’re sorry you’re having concerns with the radio in your Jetta. DM us your VIN and email address and we’ll reach out to you.</t>
  </si>
  <si>
    <t>@pisatchos</t>
  </si>
  <si>
    <t>https://twitter.com/VW/status/656192858169315328</t>
  </si>
  <si>
    <t>@mollari2261 We’re sorry to hear of your dissatisfaction. If you’d like to share more, please reach out to us at http://vw.com/contact</t>
  </si>
  <si>
    <t>2015-10-19T19:39:03.000Z</t>
  </si>
  <si>
    <t>https://twitter.com/VW/status/656192855380111361</t>
  </si>
  <si>
    <t>@mac_yaa Great question! For the 2016 model year, all trim levels of the GTI will be compatible with Apple CarPlay. #VWCares</t>
  </si>
  <si>
    <t>2015-10-19T19:39:02.000Z</t>
  </si>
  <si>
    <t>https://twitter.com/VW/status/656188521993011200</t>
  </si>
  <si>
    <t>@AngeliqueKenney When you’re able to, please DM us your VIN and email address so we can research your concerns further.</t>
  </si>
  <si>
    <t>2015-10-19T19:21:49.000Z</t>
  </si>
  <si>
    <t>https://twitter.com/VW/status/656183306707296256</t>
  </si>
  <si>
    <t>@jtalapin We apologize for this experience, Josef. Please DM your VIN and email address and we’ll reach out to you to discuss your vehicle.</t>
  </si>
  <si>
    <t>2015-10-19T19:01:06.000Z</t>
  </si>
  <si>
    <t>@Dan_teraeterna</t>
  </si>
  <si>
    <t>https://twitter.com/VW/status/656178060920664064</t>
  </si>
  <si>
    <t>@jdhensleyi That is a great question, Jon, and we’d love to help. You can reach out to us at http://vw.com/contact for more information.</t>
  </si>
  <si>
    <t>2015-10-19T18:40:15.000Z</t>
  </si>
  <si>
    <t>@jdhensleyi</t>
  </si>
  <si>
    <t>https://twitter.com/VW/status/656171081326202880</t>
  </si>
  <si>
    <t>@DDelRio2013 We’re sorry to hear of your dissatisfaction. If there is anything we can do, please reach out to us at http://vw.com/contact</t>
  </si>
  <si>
    <t>2015-10-19T18:12:31.000Z</t>
  </si>
  <si>
    <t>https://twitter.com/VW/status/656154375530778624</t>
  </si>
  <si>
    <t>@QiaoLiu89 We’re very sorry to hear about this. Please DM us your VIN and email address and we’ll be happy to reach out to you. #VWCares</t>
  </si>
  <si>
    <t>2015-10-19T17:06:08.000Z</t>
  </si>
  <si>
    <t>@QiaoLiu89</t>
  </si>
  <si>
    <t>https://twitter.com/VW/status/656154373928587264</t>
  </si>
  <si>
    <t>@mp1s We want a better experience for you. Please DM us your VIN and email address and we’ll reach out to you. #VWCares</t>
  </si>
  <si>
    <t>@mp1s</t>
  </si>
  <si>
    <t>https://twitter.com/VW/status/656127428390088705</t>
  </si>
  <si>
    <t>@jacquetta74 We’re very sorry to hear about your experience. Please DM us your email address and VIN and we’ll reach out to you. #VWCares</t>
  </si>
  <si>
    <t>2015-10-19T15:19:03.000Z</t>
  </si>
  <si>
    <t>@jacquetta74</t>
  </si>
  <si>
    <t>https://twitter.com/VW/status/656102132207194112</t>
  </si>
  <si>
    <t>@LL_Kane We are now following your account. Please DM us your email.</t>
  </si>
  <si>
    <t>2015-10-19T13:38:32.000Z</t>
  </si>
  <si>
    <t>@LL_Kane</t>
  </si>
  <si>
    <t>https://twitter.com/VW/status/655131699970375680</t>
  </si>
  <si>
    <t>@CharlieNeff This is not the kind of experience we want for you. Please DM us your VIN and email address and we’ll reach out to you #VWCares</t>
  </si>
  <si>
    <t>2015-10-16T21:22:23.000Z</t>
  </si>
  <si>
    <t>https://twitter.com/VW/status/655117805524619264</t>
  </si>
  <si>
    <t>@DavisPhillips1 We want a better experience for you. Please DM us your VIN and email address and we’ll gladly reach out to you. #VWCares</t>
  </si>
  <si>
    <t>2015-10-16T20:27:10.000Z</t>
  </si>
  <si>
    <t>@Dav_Phill</t>
  </si>
  <si>
    <t>https://twitter.com/VW/status/655113392294772736</t>
  </si>
  <si>
    <t>@JeanneTPA We’re sorry to hear this, Jeanne. Please DM us your VIN and email address so we can look further into your concerns. #VWCares</t>
  </si>
  <si>
    <t>2015-10-16T20:09:38.000Z</t>
  </si>
  <si>
    <t>@JeanneTPA</t>
  </si>
  <si>
    <t>https://twitter.com/VW/status/655098715128991745</t>
  </si>
  <si>
    <t>@santos_wallace We’re sorry to hear this happened. If you’d like to share more of your experience, please DM us your email address.</t>
  </si>
  <si>
    <t>2015-10-16T19:11:19.000Z</t>
  </si>
  <si>
    <t>@santos_wallace</t>
  </si>
  <si>
    <t>https://twitter.com/VW/status/655098713342279680</t>
  </si>
  <si>
    <t>@HpGregory Thanks for your feedback, Gregory! We’ll be sure to take it into consideration for future designs. #VWCares</t>
  </si>
  <si>
    <t>https://twitter.com/VW/status/655097859881111552</t>
  </si>
  <si>
    <t>@chelofthesea We’re sorry for any delay in getting back to you. You’re important to us, &amp; we see our colleague will reach out to you soon.</t>
  </si>
  <si>
    <t>2015-10-16T19:07:55.000Z</t>
  </si>
  <si>
    <t>@_chelseaquinn_</t>
  </si>
  <si>
    <t>https://twitter.com/VW/status/655095904911904768</t>
  </si>
  <si>
    <t>2015-10-16T19:00:09.000Z</t>
  </si>
  <si>
    <t>https://twitter.com/VW/status/655071397148950529</t>
  </si>
  <si>
    <t>@hemsyberry13 We’re sorry to hear about this. If you’d’ like to share more, please DM us your VIN and email address, we’d be happy hear more</t>
  </si>
  <si>
    <t>2015-10-16T17:22:46.000Z</t>
  </si>
  <si>
    <t>@hemsyberry13</t>
  </si>
  <si>
    <t>https://twitter.com/VW/status/655068775528599552</t>
  </si>
  <si>
    <t>@nashib We’re sorry to hear this. We see you’re contacting us from Canada. We recommend contacting @VWcanada for the best assistance.</t>
  </si>
  <si>
    <t>2015-10-16T17:12:21.000Z</t>
  </si>
  <si>
    <t>@nashib</t>
  </si>
  <si>
    <t>https://twitter.com/VW/status/655048631645376512</t>
  </si>
  <si>
    <t>@richie7307 This is not the experience we want for our drivers. Please DM us your VIN and email address so we can look into this further.</t>
  </si>
  <si>
    <t>2015-10-16T15:52:18.000Z</t>
  </si>
  <si>
    <t>@richie7307</t>
  </si>
  <si>
    <t>https://twitter.com/VW/status/655048629867016192</t>
  </si>
  <si>
    <t>@liquidvw If you’d like, DM us your VIN and email address. We’d be happy to send you something to commemorate this achievement! #VWCares</t>
  </si>
  <si>
    <t>@liquidvw</t>
  </si>
  <si>
    <t>https://twitter.com/VW/status/655048628252250112</t>
  </si>
  <si>
    <t>@liquidvw Congratulations, Dave! What an awesome milestone you and your VW have reached together!</t>
  </si>
  <si>
    <t>2015-10-16T15:52:17.000Z</t>
  </si>
  <si>
    <t>https://twitter.com/VW/status/655048624892592128</t>
  </si>
  <si>
    <t>@dane5000 We’re very sorry to hear this, Dane. Please reach out to us at http://vw.com/contact if there’s anything we can do to help.</t>
  </si>
  <si>
    <t>https://twitter.com/VW/status/655048623269351424</t>
  </si>
  <si>
    <t>@AntonZalutsky You’re welcome, Anton. Thanks for the love! Here’s to many more carefree miles to come! :) #VWCares</t>
  </si>
  <si>
    <t>2015-10-16T15:52:16.000Z</t>
  </si>
  <si>
    <t>@AntonZalutsky</t>
  </si>
  <si>
    <t>https://twitter.com/VW/status/655044205153136640</t>
  </si>
  <si>
    <t>@movargas24 We recommend scheduling a service appointment with your local VW dealership as soon as you can. #VWCares</t>
  </si>
  <si>
    <t>2015-10-16T15:34:43.000Z</t>
  </si>
  <si>
    <t>@moevarg1</t>
  </si>
  <si>
    <t>https://twitter.com/VW/status/655044202313617408</t>
  </si>
  <si>
    <t>@movargas24  Thank you, Moises. This message means it is time to bring your Passat into the dealer for service.</t>
  </si>
  <si>
    <t>2015-10-16T15:34:42.000Z</t>
  </si>
  <si>
    <t>https://twitter.com/VW/status/654786986826313729</t>
  </si>
  <si>
    <t>@movargas24 Please DM us your VIN and email address and we’ll gladly reach out to you with more information. #VWCares</t>
  </si>
  <si>
    <t>2015-10-15T22:32:37.000Z</t>
  </si>
  <si>
    <t>https://twitter.com/VW/status/654786985089888256</t>
  </si>
  <si>
    <t>@movargas24 Good question, Moises. The answer can depend on which model VW you happen to have.</t>
  </si>
  <si>
    <t>https://twitter.com/VW/status/654786980153159680</t>
  </si>
  <si>
    <t>@YousefJay They are in the best position to assist you, and can be reached at http://volkswagen-abu-dhabi.com/en-vwme.html. #VWCares</t>
  </si>
  <si>
    <t>2015-10-15T22:32:36.000Z</t>
  </si>
  <si>
    <t>@YousefJay</t>
  </si>
  <si>
    <t>https://twitter.com/VW/status/654786978446077952</t>
  </si>
  <si>
    <t>@YousefJay We’re sorry this is happening with your VW. We recommend reaching out to our colleagues at the United Arab Emirates.</t>
  </si>
  <si>
    <t>2015-10-15T22:32:35.000Z</t>
  </si>
  <si>
    <t>https://twitter.com/VW/status/654786976114040832</t>
  </si>
  <si>
    <t>@Oaksandnix We’ll take your comments into consideration for future designs! Thanks for letting us know what you think. #VWCares</t>
  </si>
  <si>
    <t>@Oaksandnix</t>
  </si>
  <si>
    <t>https://twitter.com/VW/status/654786119616172034</t>
  </si>
  <si>
    <t>@Oaksandnix We base the available feature combinations for each vehicle on driver feedback and from market research.</t>
  </si>
  <si>
    <t>2015-10-15T22:29:10.000Z</t>
  </si>
  <si>
    <t>https://twitter.com/VW/status/654786118223704064</t>
  </si>
  <si>
    <t>@ChristyHeath78 You can find one to speak to at http://icsw.nhtsa.gov/cars/rules/import/…. We can’t wait to see you in one soon. #VWCares</t>
  </si>
  <si>
    <t>https://twitter.com/VW/status/654786116277551104</t>
  </si>
  <si>
    <t>@ChristyHeath78 Thanks for the love. If you find an Amarok, you’ll need to talk a registered importer to bring it here.</t>
  </si>
  <si>
    <t>https://twitter.com/VW/status/654744691934564352</t>
  </si>
  <si>
    <t>@imeuic We recommend continuing to work with your Region Case Manager if you have any additional questions or concerns.</t>
  </si>
  <si>
    <t>2015-10-15T19:44:33.000Z</t>
  </si>
  <si>
    <t>@imeuic</t>
  </si>
  <si>
    <t>https://twitter.com/VW/status/654744690206502913</t>
  </si>
  <si>
    <t>@imeuic After researching your VIN, we see you recently had a case with our colleagues at Customer CARE and a resolution was offered.</t>
  </si>
  <si>
    <t>https://twitter.com/VW/status/654738482959532032</t>
  </si>
  <si>
    <t>@DonSchenck  Congratulations on your purchase! Please DM us your email address and we’ll reach out to you to discuss your Eos. #VWCares</t>
  </si>
  <si>
    <t>2015-10-15T19:19:53.000Z</t>
  </si>
  <si>
    <t>@DonSchenck</t>
  </si>
  <si>
    <t>https://twitter.com/VW/status/654714024819490817</t>
  </si>
  <si>
    <t>@AngeliqueKenney We envision you having a care free experience. Please DM us you VIN and email address so we can look into this further.</t>
  </si>
  <si>
    <t>2015-10-15T17:42:42.000Z</t>
  </si>
  <si>
    <t>https://twitter.com/VW/status/654712252470194176</t>
  </si>
  <si>
    <t>@ChristyHeath78  As they are sold only overseas, we recommend reaching out to our colleagues at http://en.volkswagen.com/en/company/laenderauswahl.html…</t>
  </si>
  <si>
    <t>2015-10-15T17:35:39.000Z</t>
  </si>
  <si>
    <t>https://twitter.com/VW/status/654712249437655040</t>
  </si>
  <si>
    <t>@ChristyHeath78 The Amarok is great car, and we understand why you’d want one here in the states.</t>
  </si>
  <si>
    <t>2015-10-15T17:35:38.000Z</t>
  </si>
  <si>
    <t>https://twitter.com/VW/status/654687822863925248</t>
  </si>
  <si>
    <t>@LL_Kane We’re sorry to hear this happened. What’s your email address? We’re happy to try to help.</t>
  </si>
  <si>
    <t>2015-10-15T15:58:35.000Z</t>
  </si>
  <si>
    <t>https://twitter.com/VW/status/654413485770608640</t>
  </si>
  <si>
    <t>@ModernMilferd Please resend your email address. We’ll reach out to you as soon as we can.</t>
  </si>
  <si>
    <t>2015-10-14T21:48:28.000Z</t>
  </si>
  <si>
    <t>@M_GutschmidtCLE</t>
  </si>
  <si>
    <t>https://twitter.com/VW/status/654411675638960128</t>
  </si>
  <si>
    <t>@montanabohemian We’re very sorry to hear this, Madison. Give us a call at 800-822-8987 if you’d like to discuss your vehicle further.</t>
  </si>
  <si>
    <t>2015-10-14T21:41:16.000Z</t>
  </si>
  <si>
    <t>@montanabohemian</t>
  </si>
  <si>
    <t>https://twitter.com/VW/status/654395060562190336</t>
  </si>
  <si>
    <t>@HpGregory Please DM us your email address and we’ll reach out to you. #VWCares</t>
  </si>
  <si>
    <t>2015-10-14T20:35:15.000Z</t>
  </si>
  <si>
    <t>https://twitter.com/VW/status/654395059056476160</t>
  </si>
  <si>
    <t>@HpGregory We’re sorry for the delay, Gregory. We would be happy to discuss the loyalty incentive with you.</t>
  </si>
  <si>
    <t>2015-10-14T20:35:14.000Z</t>
  </si>
  <si>
    <t>https://twitter.com/VW/status/654052076247355392</t>
  </si>
  <si>
    <t>@j_wearing You can reach us at http://vw.com/contact. We look forward to hearing from you! #VWCares</t>
  </si>
  <si>
    <t>2015-10-13T21:52:21.000Z</t>
  </si>
  <si>
    <t>@j_wearing</t>
  </si>
  <si>
    <t>https://twitter.com/VW/status/654039939286302720</t>
  </si>
  <si>
    <t>@AlexaTC We are now following, please DM us your VIN and email.</t>
  </si>
  <si>
    <t>2015-10-13T21:04:07.000Z</t>
  </si>
  <si>
    <t>@AlexaTC</t>
  </si>
  <si>
    <t>https://twitter.com/VW/status/654021776339398656</t>
  </si>
  <si>
    <t>@Edonis_ We are happy to help! What is your question? #VWCares</t>
  </si>
  <si>
    <t>2015-10-13T19:51:57.000Z</t>
  </si>
  <si>
    <t>https://twitter.com/VW/status/654021774087077888</t>
  </si>
  <si>
    <t>@Hayes_BL We’d be happy to help you. Please DM us your email address and VIN and we’ll reach out to you to explain. #VWCares</t>
  </si>
  <si>
    <t>2015-10-13T19:51:56.000Z</t>
  </si>
  <si>
    <t>@Hayes_BL</t>
  </si>
  <si>
    <t>https://twitter.com/VW/status/654011304076709888</t>
  </si>
  <si>
    <t>@martinchavez331 This is not the experience we want for you. Please DM us your VIN and email so we can look into this further.</t>
  </si>
  <si>
    <t>2015-10-13T19:10:20.000Z</t>
  </si>
  <si>
    <t>@martinchavez331</t>
  </si>
  <si>
    <t>https://twitter.com/VW/status/654008702437953536</t>
  </si>
  <si>
    <t>@ModernMilferd Please DM us your VIN and email address and we’ll gladly reach out to you to discuss your vehicle. #VWCares</t>
  </si>
  <si>
    <t>2015-10-13T19:00:00.000Z</t>
  </si>
  <si>
    <t>https://twitter.com/VW/status/654008700655370240</t>
  </si>
  <si>
    <t>@ModernMilferd We’re sorry you’re having concerns with your Jetta. Our recalls are VIN specific, so we’ll need yours to find out more.</t>
  </si>
  <si>
    <t>2015-10-13T18:59:59.000Z</t>
  </si>
  <si>
    <t>https://twitter.com/VW/status/654006108177063936</t>
  </si>
  <si>
    <t>@DanielMallinder We would be happy to help, Daniel. Please DM us your VIN and email address and we’ll reach out to you. #VWCares</t>
  </si>
  <si>
    <t>2015-10-13T18:49:41.000Z</t>
  </si>
  <si>
    <t>@DanielMallinder</t>
  </si>
  <si>
    <t>https://twitter.com/VW/status/653977568035508224</t>
  </si>
  <si>
    <t>@Shahlaine  We’re sorry to hear of your dissatisfaction. Please DM us your VIN and email so we can look into this further</t>
  </si>
  <si>
    <t>2015-10-13T16:56:17.000Z</t>
  </si>
  <si>
    <t>https://twitter.com/VW/status/653960147715297281</t>
  </si>
  <si>
    <t>@chadhartsays Feedback from our drivers helps us enhance our product, and we appreciate you taking the time to reach out to us.</t>
  </si>
  <si>
    <t>2015-10-13T15:47:03.000Z</t>
  </si>
  <si>
    <t>@chadhartsays</t>
  </si>
  <si>
    <t>https://twitter.com/VW/status/653943726763446272</t>
  </si>
  <si>
    <t>@AlexaTC Please DM us your VIN and email so we can look into this further for you.</t>
  </si>
  <si>
    <t>2015-10-13T14:41:48.000Z</t>
  </si>
  <si>
    <t>https://twitter.com/VW/status/653943725094080512</t>
  </si>
  <si>
    <t>@AlexaTC We want you to enjoy every part of your VW, and we’re sorry to hear of the concerns you’re facing with your locks.</t>
  </si>
  <si>
    <t>https://twitter.com/VW/status/653941099006791680</t>
  </si>
  <si>
    <t>@RichesLP This is not the experience we want for you. Please DM us your VIN and email so we can hear more about what happened.</t>
  </si>
  <si>
    <t>2015-10-13T14:31:22.000Z</t>
  </si>
  <si>
    <t>@RichesLP</t>
  </si>
  <si>
    <t>https://twitter.com/VW/status/653656603636305920</t>
  </si>
  <si>
    <t>@emars72 We’re very sorry to hear this. Please DM us your VIN and email address and we’ll be happy to reach out to you. #VWCares</t>
  </si>
  <si>
    <t>2015-10-12T19:40:53.000Z</t>
  </si>
  <si>
    <t>@emars72</t>
  </si>
  <si>
    <t>https://twitter.com/VW/status/653628365828550656</t>
  </si>
  <si>
    <t>@thesoifer We would be happy to find out how we can help. Please DM us your email address and VIN and we’ll reach out to you to hear more.</t>
  </si>
  <si>
    <t>2015-10-12T17:48:40.000Z</t>
  </si>
  <si>
    <t>@thesoifer</t>
  </si>
  <si>
    <t>https://twitter.com/VW/status/653628364687671296</t>
  </si>
  <si>
    <t>@jrichard333 Please DM us your VIN and phone # and we will make reaching out to you a priority. #VWcares</t>
  </si>
  <si>
    <t>@jrichard333</t>
  </si>
  <si>
    <t>https://twitter.com/VW/status/653628362871541761</t>
  </si>
  <si>
    <t>@jrichard333 Thank you for taking the time to reach out to us, James, your satisfaction is important to us.</t>
  </si>
  <si>
    <t>https://twitter.com/VW/status/653628361139351552</t>
  </si>
  <si>
    <t>@HisBich We’re so sorry for the delay. Could we please have your email address so we can reach out to you?</t>
  </si>
  <si>
    <t>2015-10-12T17:48:39.000Z</t>
  </si>
  <si>
    <t>https://twitter.com/VW/status/653621384292110337</t>
  </si>
  <si>
    <t>@etemizel You can reach our associates at http://vw.com.tr.</t>
  </si>
  <si>
    <t>2015-10-12T17:20:56.000Z</t>
  </si>
  <si>
    <t>@etemizel</t>
  </si>
  <si>
    <t>https://twitter.com/VW/status/653621382358503424</t>
  </si>
  <si>
    <t>@etemizel This is not the experience we want for you. Our colleagues at VW Turkey are in the best position to help you with your concerns.</t>
  </si>
  <si>
    <t>2015-10-12T17:20:55.000Z</t>
  </si>
  <si>
    <t>https://twitter.com/VW/status/653603619124543489</t>
  </si>
  <si>
    <t>@SteveFrancis9 We want a better experience for you. Please DM us your VIN and email address and we’ll gladly reach out to you. #VWCares</t>
  </si>
  <si>
    <t>2015-10-12T16:10:20.000Z</t>
  </si>
  <si>
    <t>@SteveFrancis9</t>
  </si>
  <si>
    <t>https://twitter.com/VW/status/653601875393011712</t>
  </si>
  <si>
    <t>@HollowayHorace We’re sorry for the inconvenience. If there’s anything we can do to help, please reach out to us at http://vw.com/contact.</t>
  </si>
  <si>
    <t>2015-10-12T16:03:25.000Z</t>
  </si>
  <si>
    <t>@HollowayHorace</t>
  </si>
  <si>
    <t>https://twitter.com/VW/status/653596738263973888</t>
  </si>
  <si>
    <t>@_lifeaslizz We’re very sorry to hear this. If there’s anything we can do to help, please reach out to us at http://vw.com/contact.</t>
  </si>
  <si>
    <t>2015-10-12T15:43:00.000Z</t>
  </si>
  <si>
    <t>@_lifeaslizz</t>
  </si>
  <si>
    <t>https://twitter.com/VW/status/653593131120652290</t>
  </si>
  <si>
    <t>@drewpatty We’d be happy to find out how we can help. Please DM your VIN and email address and we’ll gladly look into this further for you.</t>
  </si>
  <si>
    <t>2015-10-12T15:28:40.000Z</t>
  </si>
  <si>
    <t>@drewpatty</t>
  </si>
  <si>
    <t>https://twitter.com/VW/status/653587775749361664</t>
  </si>
  <si>
    <t>@meaghanc98 We’re sorry to hear this. If you’d like to share more about what happened, please reach out to us at http://vw.com/contact</t>
  </si>
  <si>
    <t>2015-10-12T15:07:23.000Z</t>
  </si>
  <si>
    <t>@meaghanc98</t>
  </si>
  <si>
    <t>https://twitter.com/VW/status/653587773908058113</t>
  </si>
  <si>
    <t>@gennaromusic Should you need anything in the future, please don’t hesitate to reach out to us again.</t>
  </si>
  <si>
    <t>@gennaromusic</t>
  </si>
  <si>
    <t>https://twitter.com/VW/status/653587772272316416</t>
  </si>
  <si>
    <t>@gennaromusic We look for every opportunity to assist our drivers, and we’re sorry we didn’t meet your expectations.</t>
  </si>
  <si>
    <t>2015-10-12T15:07:22.000Z</t>
  </si>
  <si>
    <t>https://twitter.com/VW/status/653587770422591488</t>
  </si>
  <si>
    <t>@The_KylePenny We’re sorry to hear this is happening, Kyle. Please DM us your VIN and email so we can look into this further.</t>
  </si>
  <si>
    <t>@The_KylePenny</t>
  </si>
  <si>
    <t>https://twitter.com/VW/status/652599130741600256</t>
  </si>
  <si>
    <t>@Jasmineismajor We’re sorry to hear about this, Jasmine. If there’s anything we can do to help, please let us know. #VWCares</t>
  </si>
  <si>
    <t>2015-10-09T21:38:52.000Z</t>
  </si>
  <si>
    <t>@Jasmineismajor</t>
  </si>
  <si>
    <t>https://twitter.com/VW/status/652595622550241284</t>
  </si>
  <si>
    <t>@FangJonny If you’d like, please DM us your email address and VIN and we’ll gladly reach out to you to hear more. #VWCares</t>
  </si>
  <si>
    <t>2015-10-09T21:24:55.000Z</t>
  </si>
  <si>
    <t>https://twitter.com/VW/status/652595620885037056</t>
  </si>
  <si>
    <t>@FangJonny We want a world-class experience for you at our dealer, so we’re sorry to hear yours was anything less than that</t>
  </si>
  <si>
    <t>https://twitter.com/VW/status/652560635905966080</t>
  </si>
  <si>
    <t>@MyAnhN We would be happy to find out how we can help. Please DM us your VIN and email address and we’ll gladly reach out to you. #VWCares</t>
  </si>
  <si>
    <t>2015-10-09T19:05:54.000Z</t>
  </si>
  <si>
    <t>https://twitter.com/VW/status/652528294693212160</t>
  </si>
  <si>
    <t>@TheLostChinese We’re sorry for the inconvenience. If there’s anything we can do to help please reach out to us at http://vw.com/contact.</t>
  </si>
  <si>
    <t>2015-10-09T16:57:23.000Z</t>
  </si>
  <si>
    <t>@TheLostChinese</t>
  </si>
  <si>
    <t>https://twitter.com/VW/status/652528292575096832</t>
  </si>
  <si>
    <t>@Queenrosygb We would be happy to find out how we can help. Please DM us your VIN and email address and we’ll reach out to you. #VWCares</t>
  </si>
  <si>
    <t>2015-10-09T16:57:22.000Z</t>
  </si>
  <si>
    <t>@Queenrosygb</t>
  </si>
  <si>
    <t>https://twitter.com/VW/status/652506689430622208</t>
  </si>
  <si>
    <t>@Silas27144920 We’re sorry to hear your service experience didn’t meet our high expectations for you.</t>
  </si>
  <si>
    <t>2015-10-09T15:31:32.000Z</t>
  </si>
  <si>
    <t>@sirdinho702</t>
  </si>
  <si>
    <t>https://twitter.com/VW/status/652284362143043584</t>
  </si>
  <si>
    <t>@markdeecee If there’s anything we can do to help you with Car-net, please reach out to us at http://vw.com/contact. #VWCares</t>
  </si>
  <si>
    <t>2015-10-09T00:48:05.000Z</t>
  </si>
  <si>
    <t>@markdeecee</t>
  </si>
  <si>
    <t>https://twitter.com/VW/status/652283499290845184</t>
  </si>
  <si>
    <t>@PBear_8 This isn’t the experience we want for you. Please DM us your VIN and email so we can look into this further. #VWCares</t>
  </si>
  <si>
    <t>2015-10-09T00:44:39.000Z</t>
  </si>
  <si>
    <t>@PBear_8</t>
  </si>
  <si>
    <t>https://twitter.com/VW/status/652232787538239488</t>
  </si>
  <si>
    <t>@literaticat We’re very sorry we were unable to meet your expectations. Please reach out to us again if you have any additional questions.</t>
  </si>
  <si>
    <t>2015-10-08T21:23:09.000Z</t>
  </si>
  <si>
    <t>@literaticat</t>
  </si>
  <si>
    <t>https://twitter.com/VW/status/652227644231053312</t>
  </si>
  <si>
    <t>@NickBrownOKC We would be happy to find out how we might be able to help. Please DM your VIN and email address and we’ll reach out to you.</t>
  </si>
  <si>
    <t>2015-10-08T21:02:42.000Z</t>
  </si>
  <si>
    <t>@nickbrownokc</t>
  </si>
  <si>
    <t>https://twitter.com/VW/status/652200530094133248</t>
  </si>
  <si>
    <t>@alexdllll We appreciate your concern, Alex. You can email us at http://vw.com/contact. We would be happy to hear more. #VWCares</t>
  </si>
  <si>
    <t>2015-10-08T19:14:58.000Z</t>
  </si>
  <si>
    <t>https://twitter.com/VW/status/652152280095952898</t>
  </si>
  <si>
    <t>@JKREW We’re sorry to hear this. Please DM us your VIN and email address so we can look into this further.</t>
  </si>
  <si>
    <t>2015-10-08T16:03:14.000Z</t>
  </si>
  <si>
    <t>@JKREW</t>
  </si>
  <si>
    <t>https://twitter.com/VW/status/652140972080402435</t>
  </si>
  <si>
    <t>@HisBich Thank you for resending it. One of our colleagues will reach out to you soon.</t>
  </si>
  <si>
    <t>2015-10-08T15:18:18.000Z</t>
  </si>
  <si>
    <t>https://twitter.com/VW/status/651803245883428864</t>
  </si>
  <si>
    <t>@dba_baker There are many factors which contribute to the price of our vehicles. For more info, talk with your local VW dealer. #VWCares</t>
  </si>
  <si>
    <t>2015-10-07T16:56:18.000Z</t>
  </si>
  <si>
    <t>@dba_baker</t>
  </si>
  <si>
    <t>https://twitter.com/VW/status/651801488163930112</t>
  </si>
  <si>
    <t>@DopaliciousDar This is not the experience we want for you. Please DM us your VIN and email address &amp; we’ be happy to look into this further</t>
  </si>
  <si>
    <t>2015-10-07T16:49:19.000Z</t>
  </si>
  <si>
    <t>@DopaliciousDar</t>
  </si>
  <si>
    <t>https://twitter.com/VW/status/651785079673348100</t>
  </si>
  <si>
    <t>@whatseriously Feel free to reach out to us at http://vw.com/contact, and we’d be happy to forward your dissatisfaction to Roadside.</t>
  </si>
  <si>
    <t>2015-10-07T15:44:07.000Z</t>
  </si>
  <si>
    <t>@whatseriously</t>
  </si>
  <si>
    <t>https://twitter.com/VW/status/651785076666077184</t>
  </si>
  <si>
    <t>@whatseriously We’re sorry to hear of your dissatisfaction. This is not the experience we want for you.</t>
  </si>
  <si>
    <t>2015-10-07T15:44:06.000Z</t>
  </si>
  <si>
    <t>https://twitter.com/VW/status/651778056630079493</t>
  </si>
  <si>
    <t>@Lvl_7_Eevee This is not the experience we want for you. Please DM us your VIN and email so we can look into this further.</t>
  </si>
  <si>
    <t>2015-10-07T15:16:12.000Z</t>
  </si>
  <si>
    <t>@wholeJakey</t>
  </si>
  <si>
    <t>https://twitter.com/VW/status/651778053824118784</t>
  </si>
  <si>
    <t>@_IGetTrippy_ If there’s anything we can do to help, please don’t hesitate to reach out to us at http://vw.com/contact. #VWCares</t>
  </si>
  <si>
    <t>@_IGetTrippy_</t>
  </si>
  <si>
    <t>https://twitter.com/VW/status/651772640919601152</t>
  </si>
  <si>
    <t>@_IGetTrippy_  We’re sorry to see you’re having concerns with your VW. We recommend bringing it to a dealership for a diagnosis.</t>
  </si>
  <si>
    <t>2015-10-07T14:54:41.000Z</t>
  </si>
  <si>
    <t>https://twitter.com/VW/status/651505177610944512</t>
  </si>
  <si>
    <t>@sworksbill If there’s anything more we can do to help, please feel free to reach out to us again. #VWCares</t>
  </si>
  <si>
    <t>2015-10-06T21:11:53.000Z</t>
  </si>
  <si>
    <t>@sworksbill</t>
  </si>
  <si>
    <t>https://twitter.com/VW/status/651504322874740736</t>
  </si>
  <si>
    <t>@sworksbill We’re very sorry to hear this, Bill. We see you’re already working with one of our colleagues at Customer CARE.</t>
  </si>
  <si>
    <t>2015-10-06T21:08:29.000Z</t>
  </si>
  <si>
    <t>https://twitter.com/VW/status/651500801911754752</t>
  </si>
  <si>
    <t>@nyonnais You can reach VW Switzerland at the following link: http://volkswagen.ch/de.html. #VWCares</t>
  </si>
  <si>
    <t>2015-10-06T20:54:30.000Z</t>
  </si>
  <si>
    <t>@nyonnais</t>
  </si>
  <si>
    <t>https://twitter.com/VW/status/651499058993868800</t>
  </si>
  <si>
    <t>@nyonnais We’re sorry to hear this. You’ve reached VW of America. Since you’re outside the U.S, we recommend contacting VW in your region.</t>
  </si>
  <si>
    <t>2015-10-06T20:47:34.000Z</t>
  </si>
  <si>
    <t>https://twitter.com/VW/status/651494547034259456</t>
  </si>
  <si>
    <t>@NJ_Dubbin Check out our Driver Gear website, http://vw10.drivergear.vw.com/Catalog/Hats/Knit…, for some great accessories.</t>
  </si>
  <si>
    <t>2015-10-06T20:29:38.000Z</t>
  </si>
  <si>
    <t>https://twitter.com/VW/status/651468470207451137</t>
  </si>
  <si>
    <t>@mollari2261 We’re sorry to hear this is happening. If you’d like to share more about this, please reach out to us at http://vw.com/contact</t>
  </si>
  <si>
    <t>2015-10-06T18:46:01.000Z</t>
  </si>
  <si>
    <t>https://twitter.com/VW/status/651465815053590528</t>
  </si>
  <si>
    <t>@ShandelleMB This is not the experience we want for our drivers. We see one of our colleagues will be reaching out to you soon.</t>
  </si>
  <si>
    <t>2015-10-06T18:35:28.000Z</t>
  </si>
  <si>
    <t>https://twitter.com/VW/status/651458664587378688</t>
  </si>
  <si>
    <t>@HisBich We’d like to look into this further. Please DM us your VIN and email so we can research this more.</t>
  </si>
  <si>
    <t>2015-10-06T18:07:03.000Z</t>
  </si>
  <si>
    <t>https://twitter.com/VW/status/651433172043870208</t>
  </si>
  <si>
    <t>@NessaOFarrell For the best assistance possible, you can reach Volkswagen Ireland here: http://volkswagen.ie/en.html. #VWCares</t>
  </si>
  <si>
    <t>2015-10-06T16:25:45.000Z</t>
  </si>
  <si>
    <t>@NessaOFarrell</t>
  </si>
  <si>
    <t>https://twitter.com/VW/status/651428738026967040</t>
  </si>
  <si>
    <t>@NessaOFarrell We’re sorry, Nessa. You’ve reached Volkswagen of America and we see you’re contacting us from Ireland.</t>
  </si>
  <si>
    <t>2015-10-06T16:08:08.000Z</t>
  </si>
  <si>
    <t>https://twitter.com/VW/status/651423309892972544</t>
  </si>
  <si>
    <t>@i_love_y_o_u_ We’re sorry to hear this, Madison. Please reach out to us at http://vw.com/contact if there’s anything we can do to help.</t>
  </si>
  <si>
    <t>2015-10-06T15:46:34.000Z</t>
  </si>
  <si>
    <t>@madi_rena</t>
  </si>
  <si>
    <t>https://twitter.com/VW/status/651423308005568512</t>
  </si>
  <si>
    <t>@GarronnNegronnn We apologize for the expense. If there’s anything we can do to help, please reach out to us at http://vw.com/contact.</t>
  </si>
  <si>
    <t>@GarronnNegronnn</t>
  </si>
  <si>
    <t>https://twitter.com/VW/status/651409587627683840</t>
  </si>
  <si>
    <t>@MandeeTjosvold Driver satisfaction is important to us. Please DM us your VIN and Phone Number and we will make contacting you a priority.</t>
  </si>
  <si>
    <t>2015-10-06T14:52:02.000Z</t>
  </si>
  <si>
    <t>https://twitter.com/VW/status/651386831280340992</t>
  </si>
  <si>
    <t>@Sharif_Shaalan 2/2: Please DM us your VIN and email so we can find out more. #VWCares</t>
  </si>
  <si>
    <t>2015-10-06T13:21:37.000Z</t>
  </si>
  <si>
    <t>https://twitter.com/VW/status/651385993723908096</t>
  </si>
  <si>
    <t>@Sharif_Shaalan 1/2: Thank you for reaching out to us regarding your concerns with your vehicle.</t>
  </si>
  <si>
    <t>2015-10-06T13:18:17.000Z</t>
  </si>
  <si>
    <t>https://twitter.com/VW/status/651380654559531008</t>
  </si>
  <si>
    <t>@w0240p his is not the experience we want for you. Please reach out to us at http://vw.com/contact so we can hear more.</t>
  </si>
  <si>
    <t>2015-10-06T12:57:04.000Z</t>
  </si>
  <si>
    <t>https://twitter.com/VW/status/651380652114219009</t>
  </si>
  <si>
    <t>@yosukdisco We’re sorry to hear this happened. Please DM us your VIN and email so we can look into this further.</t>
  </si>
  <si>
    <t>@yosukdisco</t>
  </si>
  <si>
    <t>https://twitter.com/VW/status/651380650444853248</t>
  </si>
  <si>
    <t>@bridgesuite We’d like to look into this further. Please DM us your VIN and email so we can research more.</t>
  </si>
  <si>
    <t>2015-10-06T12:57:03.000Z</t>
  </si>
  <si>
    <t>@bridgesuite</t>
  </si>
  <si>
    <t>https://twitter.com/VW/status/651137963217170432</t>
  </si>
  <si>
    <t>@eyem5972 We’d like to look into this more. Please reach out to us at http://vw.com/contact so we can research further.</t>
  </si>
  <si>
    <t>2015-10-05T20:52:42.000Z</t>
  </si>
  <si>
    <t>@Yolys_boy</t>
  </si>
  <si>
    <t>https://twitter.com/VW/status/651135404444266497</t>
  </si>
  <si>
    <t>@LUXURYWHOREE This is not the experience we want for our drivers. DM us your VIN and email, and we’re happy to research this further.</t>
  </si>
  <si>
    <t>2015-10-05T20:42:32.000Z</t>
  </si>
  <si>
    <t>@aantdamn</t>
  </si>
  <si>
    <t>https://twitter.com/VW/status/651128443141120000</t>
  </si>
  <si>
    <t>@predd71 If you’d like us to look into this further, please reach out to us at http://vw.com/contact, and we will research this more.</t>
  </si>
  <si>
    <t>2015-10-05T20:14:52.000Z</t>
  </si>
  <si>
    <t>@predd71</t>
  </si>
  <si>
    <t>https://twitter.com/VW/status/651127581052305408</t>
  </si>
  <si>
    <t>@predd71 We’re sorry this is happening. Your local VW dealer is in the best position to assist with this.</t>
  </si>
  <si>
    <t>2015-10-05T20:11:27.000Z</t>
  </si>
  <si>
    <t>https://twitter.com/VW/status/651119750395785216</t>
  </si>
  <si>
    <t>@COtoAZXi We’re very sorry to hear this. One of our colleagues will reach out to you soon to discuss your vehicle. #VWCares</t>
  </si>
  <si>
    <t>2015-10-05T19:40:20.000Z</t>
  </si>
  <si>
    <t>https://twitter.com/VW/status/651094310054576128</t>
  </si>
  <si>
    <t>@abbybischoff We’re sorry to hear this, Abby. Please DM us your email address and VIN and we’ll gladly reach out to you to hear more.</t>
  </si>
  <si>
    <t>2015-10-05T17:59:14.000Z</t>
  </si>
  <si>
    <t>https://twitter.com/VW/status/651094308225847296</t>
  </si>
  <si>
    <t>@Doc_michaels We would be glad to discuss her concerns. Please reach out to us at http://vw.com/contact so we can hear more. #VWCares</t>
  </si>
  <si>
    <t>https://twitter.com/VW/status/651094306640424960</t>
  </si>
  <si>
    <t>@falas6eeni We’re very sorry for the inconvenience. Please reach out to us at http://vw.com/contact if you’d like to talk more about it.</t>
  </si>
  <si>
    <t>https://twitter.com/VW/status/651094305042395136</t>
  </si>
  <si>
    <t>@breionline You can reach us by phone at 800-822-8987. You can also email or chat live with us at http://vw.com/contact. #VWCares</t>
  </si>
  <si>
    <t>2015-10-05T17:59:13.000Z</t>
  </si>
  <si>
    <t>@malanabjayde</t>
  </si>
  <si>
    <t>https://twitter.com/VW/status/651094303448498176</t>
  </si>
  <si>
    <t>@ltlmscantbwrong We would be happy to help clarify this info for you. Please DM us your email address and VIN and we’ll reach out to you.</t>
  </si>
  <si>
    <t>@ltlmscantbwrong</t>
  </si>
  <si>
    <t>https://twitter.com/VW/status/651091693266075648</t>
  </si>
  <si>
    <t>@rachaaelle We’re sorry to hear about your Beetle. If there’s anything we can do to help, please reach out to us at http://vw.com/contact.</t>
  </si>
  <si>
    <t>2015-10-05T17:48:51.000Z</t>
  </si>
  <si>
    <t>@rachaaelle</t>
  </si>
  <si>
    <t>https://twitter.com/VW/status/651091691563126784</t>
  </si>
  <si>
    <t>@DugRay We want your experience to be easy &amp; carefree, so if there’s anything we can do to help, reach out to us at http://vw.com/contact</t>
  </si>
  <si>
    <t>2015-10-05T17:48:50.000Z</t>
  </si>
  <si>
    <t>https://twitter.com/VW/status/651090794175070208</t>
  </si>
  <si>
    <t>@pcusick3 We’re sorry to hear about your concerns. If there’s anything else we can do to help, please feel free to reach out to us again.</t>
  </si>
  <si>
    <t>2015-10-05T17:45:16.000Z</t>
  </si>
  <si>
    <t>@pcusick3</t>
  </si>
  <si>
    <t>https://twitter.com/VW/status/651077701600567296</t>
  </si>
  <si>
    <t>@ereibs89 If there’s anything more we can do to help, please feel free to reach out to us again. We’re always listening! #VWCares</t>
  </si>
  <si>
    <t>2015-10-05T16:53:15.000Z</t>
  </si>
  <si>
    <t>@ereibs89</t>
  </si>
  <si>
    <t>https://twitter.com/VW/status/651077700019318784</t>
  </si>
  <si>
    <t>@ereibs89 We’re very sorry for the inconvenience, Erik. We see you recently chatted with one of our colleagues at Customer CARE.</t>
  </si>
  <si>
    <t>2015-10-05T16:53:14.000Z</t>
  </si>
  <si>
    <t>https://twitter.com/VW/status/651068078927646720</t>
  </si>
  <si>
    <t>@JR2themax We would be happy to see how we might be able to help. DM your VIN and email address and we’ll gladly reach out to you. #VWCares</t>
  </si>
  <si>
    <t>2015-10-05T16:15:00.000Z</t>
  </si>
  <si>
    <t>@JR2themax</t>
  </si>
  <si>
    <t>https://twitter.com/VW/status/650075021168111616</t>
  </si>
  <si>
    <t>@Indasein We’re glad to hear your concerns were covered under warranty! Happy driving, Jordan! #VWCares</t>
  </si>
  <si>
    <t>2015-10-02T22:28:57.000Z</t>
  </si>
  <si>
    <t>@Indasein</t>
  </si>
  <si>
    <t>https://twitter.com/VW/status/650075015652642816</t>
  </si>
  <si>
    <t>@xjxcxpx We only recommend the use of VW 502 00 with viscosity of 5W30 or 5W40. For more info we recommend working with your dealer.</t>
  </si>
  <si>
    <t>2015-10-02T22:28:56.000Z</t>
  </si>
  <si>
    <t>@xjxcxpx</t>
  </si>
  <si>
    <t>https://twitter.com/VW/status/650032408939524096</t>
  </si>
  <si>
    <t>@SamDolci Please DM your email address and VIN and we’ll gladly reach out to you to hear more. #VWCares</t>
  </si>
  <si>
    <t>2015-10-02T19:39:37.000Z</t>
  </si>
  <si>
    <t>@SamDolci</t>
  </si>
  <si>
    <t>https://twitter.com/VW/status/650021077398130688</t>
  </si>
  <si>
    <t>@RealChrisReese We’re sorry we were unable to meet your expectations. Please feel free to reach out to us again if you have any questions.</t>
  </si>
  <si>
    <t>2015-10-02T18:54:36.000Z</t>
  </si>
  <si>
    <t>@RealChrisReese</t>
  </si>
  <si>
    <t>https://twitter.com/VW/status/650020079267119104</t>
  </si>
  <si>
    <t>@PatrickSTAR489 If you’d like, DM your VIN and email address and we’ll gladly reach out to you with more information. #VWCares</t>
  </si>
  <si>
    <t>2015-10-02T18:50:38.000Z</t>
  </si>
  <si>
    <t>@PatrickSTAR489</t>
  </si>
  <si>
    <t>https://twitter.com/VW/status/650020077526368256</t>
  </si>
  <si>
    <t>@PatrickSTAR489 Great question! This information can differ depending on the specific model and model year of the vehicle.</t>
  </si>
  <si>
    <t>2015-10-02T18:50:37.000Z</t>
  </si>
  <si>
    <t>https://twitter.com/VW/status/650019238837485568</t>
  </si>
  <si>
    <t>@Anthony_Riccio We’re very sorry to hear this. If there’s anything we can do to help, please reach out to us at http://vw.com/contact.</t>
  </si>
  <si>
    <t>2015-10-02T18:47:17.000Z</t>
  </si>
  <si>
    <t>https://twitter.com/VW/status/650019237344378880</t>
  </si>
  <si>
    <t>@blak0137 For more info, we recommend talking to your dealer.</t>
  </si>
  <si>
    <t>https://twitter.com/VW/status/650019234966147072</t>
  </si>
  <si>
    <t>@blak0137 For the 2016 Golf R, the Driver Assistance Package is available by order only.</t>
  </si>
  <si>
    <t>https://twitter.com/VW/status/649988415757246464</t>
  </si>
  <si>
    <t>@Im_JustJim Great question, James! We made approximately 1,800 Golf R models for the 2015 model year. #VWCares</t>
  </si>
  <si>
    <t>2015-10-02T16:44:49.000Z</t>
  </si>
  <si>
    <t>@Im_JustJim</t>
  </si>
  <si>
    <t>https://twitter.com/VW/status/649676373443788808</t>
  </si>
  <si>
    <t>@boii_legit It’s something we’re taking into consideration! Thanks for reaching out to us, we appreciate your interest! #VWCares</t>
  </si>
  <si>
    <t>2015-10-01T20:04:52.000Z</t>
  </si>
  <si>
    <t>@boii_legit</t>
  </si>
  <si>
    <t>https://twitter.com/VW/status/649670220940898304</t>
  </si>
  <si>
    <t>@JohnVavrik We see you’ve already emailed our Customer CARE Center and one of our colleagues will reach out to you soon. #VWCares</t>
  </si>
  <si>
    <t>2015-10-01T19:40:25.000Z</t>
  </si>
  <si>
    <t>@JohnVavrik</t>
  </si>
  <si>
    <t>https://twitter.com/VW/status/649670219137310720</t>
  </si>
  <si>
    <t>@JohnVavrik We’re very sorry to hear you’re having concerns with your Passat and are happy to find out how we can help.</t>
  </si>
  <si>
    <t>https://twitter.com/VW/status/649320660347457536</t>
  </si>
  <si>
    <t>@veryhollyb We’re very sorry for the inconvenience. If there’s anything we can do to help, please reach out to us at http://vw.com/contact.</t>
  </si>
  <si>
    <t>2015-09-30T20:31:23.000Z</t>
  </si>
  <si>
    <t>https://twitter.com/VW/status/649320658757816320</t>
  </si>
  <si>
    <t>@entrprenr This is not the experience we want for our drivers. Please DM us your VIN and email so we can look into this further. #VWCares</t>
  </si>
  <si>
    <t>@mrslfmde</t>
  </si>
  <si>
    <t>https://twitter.com/VW/status/649291576900890624</t>
  </si>
  <si>
    <t>@xjxcxpx The engine oil filter should be changed every 10k miles with the engine oil. For more info, we recommend consulting your dealership</t>
  </si>
  <si>
    <t>2015-09-30T18:35:49.000Z</t>
  </si>
  <si>
    <t>https://twitter.com/VW/status/649280140535443457</t>
  </si>
  <si>
    <t>@xjxcxpx We also recommend using VW 502 00 synthetic oil with a viscosity of 5W30 or 5W40. We hope this helps! #VWCares</t>
  </si>
  <si>
    <t>2015-09-30T17:50:23.000Z</t>
  </si>
  <si>
    <t>https://twitter.com/VW/status/649280138123698176</t>
  </si>
  <si>
    <t>@xjxcxpx We recommend changing your engine oil and filter every 10k miles, regardless of the brand of synthetic oil you are using.</t>
  </si>
  <si>
    <t>2015-09-30T17:50:22.000Z</t>
  </si>
  <si>
    <t>https://twitter.com/VW/status/649280134936031232</t>
  </si>
  <si>
    <t>@SRagnone Great question, Stuart. We recommend consulting with your local VW dealership for the best info about your wheels. #VWCares</t>
  </si>
  <si>
    <t>2015-09-30T17:50:21.000Z</t>
  </si>
  <si>
    <t>@YBFYWE</t>
  </si>
  <si>
    <t>https://twitter.com/VW/status/649280133031833600</t>
  </si>
  <si>
    <t>@evancw Your local VW dealer is in the best attempt to provide feedback regarding your GTIs availability. #VWCares</t>
  </si>
  <si>
    <t>https://twitter.com/VW/status/649280131152740353</t>
  </si>
  <si>
    <t>@evancw Purchasing a new vehicle should be fun and exciting, and we apologize for any inconvenience you’ve faced while ordering yours.</t>
  </si>
  <si>
    <t>2015-09-30T17:50:20.000Z</t>
  </si>
  <si>
    <t>https://twitter.com/VW/status/649280129756065792</t>
  </si>
  <si>
    <t>@ltlmscantbwrong If there’s anything we can do to help, please reach out to us at http://vw.com/contact. #VWCares</t>
  </si>
  <si>
    <t>https://twitter.com/VW/status/649280127881252864</t>
  </si>
  <si>
    <t>@ltlmscantbwrong We’re very sorry for any inconvenience you have experienced. You can check for open recalls at http://vw.com/owners-recalls/.</t>
  </si>
  <si>
    <t>https://twitter.com/VW/status/649280123066159104</t>
  </si>
  <si>
    <t>@MileHighFlyGuy We have no CarNet updates at this time, but if one is released our enthusiasts will be made aware.</t>
  </si>
  <si>
    <t>2015-09-30T17:50:19.000Z</t>
  </si>
  <si>
    <t>https://twitter.com/VW/status/648974585686175744</t>
  </si>
  <si>
    <t>@Lemon711 We’re sorry to hear about your experience. If you’d like to share more of what happened, reach out to us at http://vw.com/contact</t>
  </si>
  <si>
    <t>2015-09-29T21:36:13.000Z</t>
  </si>
  <si>
    <t>https://twitter.com/VW/status/648974583584784384</t>
  </si>
  <si>
    <t>@natqueencole While we don’t have any current plans to release the GTE in the U.S., the Golf SportWagen is already available at our dealers!</t>
  </si>
  <si>
    <t>2015-09-29T21:36:12.000Z</t>
  </si>
  <si>
    <t>@natqueencole</t>
  </si>
  <si>
    <t>https://twitter.com/VW/status/648974581328297984</t>
  </si>
  <si>
    <t>@_JeremyBlake This is not the experience we want for our drivers. Please DM us your VIN and email so we can look into this further. #VWCares</t>
  </si>
  <si>
    <t>https://twitter.com/VW/status/648974579226906632</t>
  </si>
  <si>
    <t>@rubinscube0 We’re very sorry to hear this. Please DM us your VIN and email address and we’ll gladly reach out to you to hear more. #VWCares</t>
  </si>
  <si>
    <t>2015-09-29T21:36:11.000Z</t>
  </si>
  <si>
    <t>https://twitter.com/VW/status/648974577905700865</t>
  </si>
  <si>
    <t>@mikelyden Should you need anything in the future, please don’t hesitate to reach out to us again.</t>
  </si>
  <si>
    <t>https://twitter.com/VW/status/648974575967997953</t>
  </si>
  <si>
    <t>@mikelyden We try to assist our drivers whenever we can, and we are sorry for not meeting your expectations.</t>
  </si>
  <si>
    <t>2015-09-29T21:36:10.000Z</t>
  </si>
  <si>
    <t>https://twitter.com/VW/status/648974572268601344</t>
  </si>
  <si>
    <t>@steffymac4 We see you are working with one of our colleagues and we are working on a resolution.</t>
  </si>
  <si>
    <t>https://twitter.com/VW/status/648974568980283396</t>
  </si>
  <si>
    <t>@kevinisrael_nj This is not the experience we want for you. If you’d like to share more please reach out to us at http://vw.com/contact.</t>
  </si>
  <si>
    <t>2015-09-29T21:36:09.000Z</t>
  </si>
  <si>
    <t>@kevinisrael_nj</t>
  </si>
  <si>
    <t>https://twitter.com/VW/status/648872936850354176</t>
  </si>
  <si>
    <t>@DeJuanPenn We’re excited by your interest! Your local VW dealer is in the best position to provide feedback about their lineup. #VWCares</t>
  </si>
  <si>
    <t>2015-09-29T14:52:18.000Z</t>
  </si>
  <si>
    <t>@DeJuanPenn</t>
  </si>
  <si>
    <t>https://twitter.com/VW/status/648872935243911168</t>
  </si>
  <si>
    <t>@Tracey_R_Lee Don’t fret, we plan to release the CC R-Line. Your local VW dealer is in the best place to let you know when they’re available</t>
  </si>
  <si>
    <t>2015-09-29T14:52:17.000Z</t>
  </si>
  <si>
    <t>@Tracey_R_Lee</t>
  </si>
  <si>
    <t>https://twitter.com/VW/status/648872932907716608</t>
  </si>
  <si>
    <t>@Lmnoah We’re very sorry for the inconvenience. If there’s anything we can do to help, please reach out to us at http://vw.com/contact.</t>
  </si>
  <si>
    <t>@LauraNoah</t>
  </si>
  <si>
    <t>https://twitter.com/VW/status/648872930613395456</t>
  </si>
  <si>
    <t>@drinkie We’re delighted to hear this! Thanks for taking the time to let us know about your experience. Happy driving! #VWCares</t>
  </si>
  <si>
    <t>2015-09-29T14:52:16.000Z</t>
  </si>
  <si>
    <t>@drinkie</t>
  </si>
  <si>
    <t>https://twitter.com/VW/status/648872928134631425</t>
  </si>
  <si>
    <t>@xjxcxpx We recommend working with your local VW dealership. They will be in the best position to assist you with this. #VWCares</t>
  </si>
  <si>
    <t>https://twitter.com/VW/status/648870384087928832</t>
  </si>
  <si>
    <t>@natqueencole We’re sorry you aren’t able to get an e-Golf in your state. We’re looking to expand its availability, so stay tuned! #VWCares</t>
  </si>
  <si>
    <t>2015-09-29T14:42:09.000Z</t>
  </si>
  <si>
    <t>https://twitter.com/VW/status/648870379566399493</t>
  </si>
  <si>
    <t>@sandrasolano Our dealers usually charge a fee to diagnose a vehicle. We recommend contacting them directly to find out more. #VWCares</t>
  </si>
  <si>
    <t>2015-09-29T14:42:08.000Z</t>
  </si>
  <si>
    <t>@sandrasolano</t>
  </si>
  <si>
    <t>https://twitter.com/VW/status/648870378043867137</t>
  </si>
  <si>
    <t>@polesmoker54 Should you need anything in the future, please don’t hesitate to reach out to us again. #VWCares</t>
  </si>
  <si>
    <t>https://twitter.com/VW/status/648868674644742145</t>
  </si>
  <si>
    <t>@bbrooks784 This is not the experience we want for you. Please DM us your VIN and email so we can look into this further. #VWCares</t>
  </si>
  <si>
    <t>2015-09-29T14:35:22.000Z</t>
  </si>
  <si>
    <t>@bbrooks784</t>
  </si>
  <si>
    <t>https://twitter.com/VW/status/648868673088716801</t>
  </si>
  <si>
    <t>@tucker_mf Our hope is for you to have a carefree experience. Please DM us your VIN and email so we can look into this further. #VWCares</t>
  </si>
  <si>
    <t>2015-09-29T14:35:21.000Z</t>
  </si>
  <si>
    <t>https://twitter.com/VW/status/648868671675236353</t>
  </si>
  <si>
    <t>@LauraMogg You’re satisfaction is important to us, and you’ll be reached out to you soon.</t>
  </si>
  <si>
    <t>@LauraMogg</t>
  </si>
  <si>
    <t>https://twitter.com/VW/status/648868670093987842</t>
  </si>
  <si>
    <t>@LauraMogg We look for every chance to assist our drivers. We see that you’re working with one of our colleagues.</t>
  </si>
  <si>
    <t>https://twitter.com/VW/status/648868668122656768</t>
  </si>
  <si>
    <t>@Waldn87Kevin We recommend consulting your Owner’s Manual or working with your local VW dealer for tips on driving our manual transmission.</t>
  </si>
  <si>
    <t>2015-09-29T14:35:20.000Z</t>
  </si>
  <si>
    <t>https://twitter.com/VW/status/648868666549768192</t>
  </si>
  <si>
    <t>@Waldn87Kevin We’re glad you want to treat your Golf so well! We regret we don’t have a guidebook with the info you’re looking for.</t>
  </si>
  <si>
    <t>https://twitter.com/VW/status/648868662351261697</t>
  </si>
  <si>
    <t>@andyibarra2 This is not the experience we want for you. Please DM us your VIN and email so we can look into this further.</t>
  </si>
  <si>
    <t>2015-09-29T14:35:19.000Z</t>
  </si>
  <si>
    <t>@andyibarra2</t>
  </si>
  <si>
    <t>https://twitter.com/VW/status/648868657892757505</t>
  </si>
  <si>
    <t>@MSnipple We’re sorry you’re having concerns with your Golf. DM us your VIN and email address and we’ll gladly reach out to you. #VWCares</t>
  </si>
  <si>
    <t>2015-09-29T14:35:18.000Z</t>
  </si>
  <si>
    <t>@MSnipple</t>
  </si>
  <si>
    <t>https://twitter.com/VW/status/648868656177278976</t>
  </si>
  <si>
    <t>@melmoney09 We would be happy to find out how we can help. DM us your VIN and email address and we’ll gladly reach out to you. #VWCares</t>
  </si>
  <si>
    <t>2015-09-29T14:35:17.000Z</t>
  </si>
  <si>
    <t>@melmoney09</t>
  </si>
  <si>
    <t>https://twitter.com/VW/status/648868654893826048</t>
  </si>
  <si>
    <t>@DJScoots10 Stay tuned to http://media.vw.com! When news about new models arrives, it will appear there first! #VWCares</t>
  </si>
  <si>
    <t>@DJScoots10</t>
  </si>
  <si>
    <t>https://twitter.com/VW/status/648868652683427841</t>
  </si>
  <si>
    <t>@DJScoots10 We’re glad you’re interested in the new Microbus concept, but we don’t currently have plans to produce this vehicle in the U.S.</t>
  </si>
  <si>
    <t>2015-09-29T14:35:16.000Z</t>
  </si>
  <si>
    <t>https://twitter.com/VW/status/648165227574374402</t>
  </si>
  <si>
    <t>2015-09-27T16:00:07.000Z</t>
  </si>
  <si>
    <t>https://twitter.com/VW/status/647533195815071744</t>
  </si>
  <si>
    <t>@cdmbearcaps We have the 4Motion Golf Alltrack planned to be released for the 2017 model year! Check it out here: http://media.vw.com/release/953/.</t>
  </si>
  <si>
    <t>2015-09-25T22:08:39.000Z</t>
  </si>
  <si>
    <t>@cdmbearcaps</t>
  </si>
  <si>
    <t>https://twitter.com/VW/status/647492654809243648</t>
  </si>
  <si>
    <t>@Geenger_kay We’re sorry to hear this. Since you’re in South Africa, we recommend contacting the VW branch in your country for assistance.</t>
  </si>
  <si>
    <t>2015-09-25T19:27:33.000Z</t>
  </si>
  <si>
    <t>@Geenger_kay</t>
  </si>
  <si>
    <t>https://twitter.com/VW/status/647492653626474496</t>
  </si>
  <si>
    <t>@sulabula77 If you would like to discuss your case further, please reach out to us again. We’re always listening.</t>
  </si>
  <si>
    <t>https://twitter.com/VW/status/647492649834844161</t>
  </si>
  <si>
    <t>@TheRealBranson We’re very sorry this happened. Please DM us your VIN and email so we can look into this further. #VWCares</t>
  </si>
  <si>
    <t>2015-09-25T19:27:32.000Z</t>
  </si>
  <si>
    <t>@TheRealBranson</t>
  </si>
  <si>
    <t>https://twitter.com/VW/status/647489931644788736</t>
  </si>
  <si>
    <t>@IRatchett We’re glad to hear she is ok! If you’d like to share more of her experience, please reach out to us at http://vw.com/contact.</t>
  </si>
  <si>
    <t>2015-09-25T19:16:44.000Z</t>
  </si>
  <si>
    <t>@IRatchett</t>
  </si>
  <si>
    <t>https://twitter.com/VW/status/647489929761587200</t>
  </si>
  <si>
    <t>@gsp1984 You’re very welcome! Please reach out to us at http://vw.com/contact if there’s ever anything we can do to help! #VWCares</t>
  </si>
  <si>
    <t>2015-09-25T19:16:43.000Z</t>
  </si>
  <si>
    <t>@gpbhr125</t>
  </si>
  <si>
    <t>https://twitter.com/VW/status/647489928448774145</t>
  </si>
  <si>
    <t>@photomixtape Please reach out to us at http://vw.com/contact if there’s anything we can do to help. #VWCares</t>
  </si>
  <si>
    <t>https://twitter.com/VW/status/647489926057979904</t>
  </si>
  <si>
    <t>@photomixtape We want a world-class experience for you at our dealer. We’re sorry to hear yours was anything less than that.</t>
  </si>
  <si>
    <t>2015-09-25T19:16:42.000Z</t>
  </si>
  <si>
    <t>https://twitter.com/VW/status/647417455610982400</t>
  </si>
  <si>
    <t>@real_adr0510 If there's anything we can do to help, please reach out to us at http://vw.com/contact. We're always listening. #VWCares</t>
  </si>
  <si>
    <t>2015-09-25T14:28:44.000Z</t>
  </si>
  <si>
    <t>https://twitter.com/VW/status/647417453702582276</t>
  </si>
  <si>
    <t>@real_adr0510 We’re sorry to hear this. Your local VW dealer is in the best position to determine the warranty coverage for your concern.</t>
  </si>
  <si>
    <t>https://twitter.com/VW/status/647194763754500096</t>
  </si>
  <si>
    <t>@BgSmack We would be happy to find out how we can help. DM us your email address and VIN and we’ll gladly reach out to you. #VWCares</t>
  </si>
  <si>
    <t>2015-09-24T23:43:50.000Z</t>
  </si>
  <si>
    <t>@BgSmack</t>
  </si>
  <si>
    <t>https://twitter.com/VW/status/647194761439260672</t>
  </si>
  <si>
    <t>@HpGregory Thanks for your feedback, Gregory! We’ll be sure to take it into consideration for the future. #VWCares</t>
  </si>
  <si>
    <t>https://twitter.com/VW/status/647194759933489152</t>
  </si>
  <si>
    <t>@shanellrene We’d be happy to find out how we might be able to help. DM your email and VIN and we’ll gladly reach out to you. #VWCares</t>
  </si>
  <si>
    <t>2015-09-24T23:43:49.000Z</t>
  </si>
  <si>
    <t>@shanellrene</t>
  </si>
  <si>
    <t>https://twitter.com/VW/status/647194755382665216</t>
  </si>
  <si>
    <t>@TheFrthAngel We’re sorry to hear this happened. If there is anything we can do in the future, please let us know.</t>
  </si>
  <si>
    <t>2015-09-24T23:43:48.000Z</t>
  </si>
  <si>
    <t>@TheFrthAngel</t>
  </si>
  <si>
    <t>https://twitter.com/VW/status/647192086437990400</t>
  </si>
  <si>
    <t>@svintussen Don’t lose hope though, as the future is not set in stone. Check out http://media.vw.com for any upcoming info.</t>
  </si>
  <si>
    <t>2015-09-24T23:33:12.000Z</t>
  </si>
  <si>
    <t>@svintussen</t>
  </si>
  <si>
    <t>https://twitter.com/VW/status/647192084730900480</t>
  </si>
  <si>
    <t>@svintussen We’re excited by your interest in the Variant, and we are sorry we have no immediate plans to bring them to the States.</t>
  </si>
  <si>
    <t>2015-09-24T23:33:11.000Z</t>
  </si>
  <si>
    <t>https://twitter.com/VW/status/647192082935709696</t>
  </si>
  <si>
    <t>@PurelyNicole Thanks for reaching out to us. We see one of our colleagues will be reaching out to you soon.</t>
  </si>
  <si>
    <t>@PurelyNicole</t>
  </si>
  <si>
    <t>https://twitter.com/VW/status/647190698223992832</t>
  </si>
  <si>
    <t>2015-09-24T23:27:41.000Z</t>
  </si>
  <si>
    <t>https://twitter.com/VW/status/647188496067657729</t>
  </si>
  <si>
    <t>@emeliabbyxo We’re sorry to hear of your dissatisfaction. Reach out to us at http://vw.com/contact. We’d be happy to look into this further</t>
  </si>
  <si>
    <t>2015-09-24T23:18:56.000Z</t>
  </si>
  <si>
    <t>@emelia_annette</t>
  </si>
  <si>
    <t>https://twitter.com/VW/status/647188494431862784</t>
  </si>
  <si>
    <t>@agung_karyanto Looks pretty cool, Agung! Thank you for sharing this with us! #VWCares</t>
  </si>
  <si>
    <t>2015-09-24T23:18:55.000Z</t>
  </si>
  <si>
    <t>@agung_karyanto</t>
  </si>
  <si>
    <t>https://twitter.com/VW/status/647188493177786368</t>
  </si>
  <si>
    <t>@cristinapate We’ll be sure to let Randall Reed’s VW know what a wonderful job they’re doing for you. #VWCares</t>
  </si>
  <si>
    <t>@cristina3rangel</t>
  </si>
  <si>
    <t>https://twitter.com/VW/status/647188490313056256</t>
  </si>
  <si>
    <t>@cristinapate We’re delighted to hear this! Thanks for taking the time to let us know how you feel. We appreciate the love! #VWCares</t>
  </si>
  <si>
    <t>2015-09-24T23:18:54.000Z</t>
  </si>
  <si>
    <t>https://twitter.com/VW/status/647188486521401344</t>
  </si>
  <si>
    <t>@tjben1323 Your local VW dealership will be in the best position to assist you with you this. Find a dealer here: http://vw.com/find-a-dealer.</t>
  </si>
  <si>
    <t>@tjben1323</t>
  </si>
  <si>
    <t>https://twitter.com/VW/status/647188484873039872</t>
  </si>
  <si>
    <t>@TweetSmarter It looks like this part is available from our parts website, if you’d like to order it from there. http://parts.vw.com/vwparts/?searchText=WHT+003+319+A+004&amp;action=searchAllCatalogs…</t>
  </si>
  <si>
    <t>2015-09-24T23:18:53.000Z</t>
  </si>
  <si>
    <t>@TweetSmarter</t>
  </si>
  <si>
    <t>https://twitter.com/VW/status/647188483094654976</t>
  </si>
  <si>
    <t>@philipccoggin  You’re welcome, Philip! Thank you for sharing your story with us. We’re sorry you lost your GTI :( #VWCares</t>
  </si>
  <si>
    <t>@philipccoggin</t>
  </si>
  <si>
    <t>https://twitter.com/VW/status/647188480737476608</t>
  </si>
  <si>
    <t>@sallyano22 We would be glad to find out how we might be able to help. Please DM your email and VIN and we’ll happily reach out to you.</t>
  </si>
  <si>
    <t>2015-09-24T23:18:52.000Z</t>
  </si>
  <si>
    <t>https://twitter.com/VW/status/647186834657685505</t>
  </si>
  <si>
    <t>@artemispeg1 This isn’t the experience we want for you. If you have other questions, please reach out to us at http://vw.com/contact</t>
  </si>
  <si>
    <t>2015-09-24T23:12:20.000Z</t>
  </si>
  <si>
    <t>https://twitter.com/VW/status/646789127300476929</t>
  </si>
  <si>
    <t>@keons_dad This is not the experience we want for our drivers. Please DM us your VIN and email so we can look into this further. #VWCares</t>
  </si>
  <si>
    <t>2015-09-23T20:51:59.000Z</t>
  </si>
  <si>
    <t>@keons_dad</t>
  </si>
  <si>
    <t>https://twitter.com/VW/status/646789124939120640</t>
  </si>
  <si>
    <t>@RussCambria We’re sorry to hear this happened. Please reach out to us at http://vw.com/contact so we can look into this further. #VWCares</t>
  </si>
  <si>
    <t>2015-09-23T20:51:58.000Z</t>
  </si>
  <si>
    <t>https://twitter.com/VW/status/646789122351206400</t>
  </si>
  <si>
    <t>@OmItOut We’re sorry this happened. If there is anything we can do to turn this around for you, reach out to us at http://vw.com/contact.</t>
  </si>
  <si>
    <t>@OmItOut</t>
  </si>
  <si>
    <t>https://twitter.com/VW/status/646789120585404416</t>
  </si>
  <si>
    <t>@TheFrthAngel This is not the experience we want for you. Please reach out to us at http://vw.com/contact so we can look into this further.</t>
  </si>
  <si>
    <t>2015-09-23T20:51:57.000Z</t>
  </si>
  <si>
    <t>https://twitter.com/VW/status/646774443746824196</t>
  </si>
  <si>
    <t>@Chaalie We’re sorry this happened. Please reach out to us at http://vw.com/contact so we can look into this further.</t>
  </si>
  <si>
    <t>2015-09-23T19:53:38.000Z</t>
  </si>
  <si>
    <t>https://twitter.com/VW/status/646774442035556357</t>
  </si>
  <si>
    <t>@Alenoush3 We’re sorry to hear this happened. Please reach out to us at http://vw.com/contact so we can look into this further.</t>
  </si>
  <si>
    <t>https://twitter.com/VW/status/646774439145672704</t>
  </si>
  <si>
    <t>@will_VS_chris This is not the experience we want for you. Please DM us your VIN and email so we can look into this further.</t>
  </si>
  <si>
    <t>2015-09-23T19:53:37.000Z</t>
  </si>
  <si>
    <t>https://twitter.com/VW/status/646687491336998912</t>
  </si>
  <si>
    <t>@PurelyNicole We’re sorry this happened. If you’d like to share more of your experience, please reach out to us at http://vw.com/contact</t>
  </si>
  <si>
    <t>2015-09-23T14:08:07.000Z</t>
  </si>
  <si>
    <t>https://twitter.com/VW/status/646687488849776641</t>
  </si>
  <si>
    <t>@johnotani Your local VW dealer is in the best position to assist you with any concerns you may be facing.</t>
  </si>
  <si>
    <t>2015-09-23T14:08:06.000Z</t>
  </si>
  <si>
    <t>https://twitter.com/VW/status/646519865537265664</t>
  </si>
  <si>
    <t>@schaeferthomasg We’re very sorry for the expense. If there’s anything we can do to help, contact us at http://vw.com/contact. #VWCares</t>
  </si>
  <si>
    <t>2015-09-23T03:02:02.000Z</t>
  </si>
  <si>
    <t>@schaeferthomasg</t>
  </si>
  <si>
    <t>https://twitter.com/VW/status/646519862643179525</t>
  </si>
  <si>
    <t>@dmk_allears This is not the experience we want for you. Please DM us your VIN and email so we can look into this further.</t>
  </si>
  <si>
    <t>2015-09-23T03:02:01.000Z</t>
  </si>
  <si>
    <t>@dmk_deb</t>
  </si>
  <si>
    <t>https://twitter.com/VW/status/646519852782346240</t>
  </si>
  <si>
    <t>@zandywithaz We’re sorry this happened. If you’d like to share more about your experience, please reach out to us at http://vw.com/contact</t>
  </si>
  <si>
    <t>2015-09-23T03:01:59.000Z</t>
  </si>
  <si>
    <t>https://twitter.com/VW/status/646519850903310340</t>
  </si>
  <si>
    <t>@TagaLee We’re excited to hear about your interest in CarPlay. This feature will only be available on the 16s at this time.</t>
  </si>
  <si>
    <t>2015-09-23T03:01:58.000Z</t>
  </si>
  <si>
    <t>@sWEeTDreams3846</t>
  </si>
  <si>
    <t>https://twitter.com/VW/status/646519841554206720</t>
  </si>
  <si>
    <t>@alexiscbcs We see you’ve been working with our colleagues. You’re important to us, and your case is being actively reviewed.</t>
  </si>
  <si>
    <t>2015-09-23T03:01:56.000Z</t>
  </si>
  <si>
    <t>https://twitter.com/VW/status/646519838068748290</t>
  </si>
  <si>
    <t>@TweetSmarter Your local VW dealer is in the best position to assist you with obtaining a wheel lock key for your Passat.</t>
  </si>
  <si>
    <t>2015-09-23T03:01:55.000Z</t>
  </si>
  <si>
    <t>https://twitter.com/VW/status/646519835212431361</t>
  </si>
  <si>
    <t>@VedranTheKing We would be happy to find out how we can help. Please DM your email address and VIN and we’ll gladly reach out to you.</t>
  </si>
  <si>
    <t>@VedranTheKing</t>
  </si>
  <si>
    <t>https://twitter.com/VW/status/646400933123887104</t>
  </si>
  <si>
    <t>@bhartiaa So you can receive the best assistance, we recommend working with the VW branch in your region.</t>
  </si>
  <si>
    <t>2015-09-22T19:09:26.000Z</t>
  </si>
  <si>
    <t>@anon_bhartiya</t>
  </si>
  <si>
    <t>https://twitter.com/VW/status/646400025514364928</t>
  </si>
  <si>
    <t>@bhartiaa We’re sorry you’re having concerns with your vehicle. At VW USA we’re only able to assist U.S. customers with U.S. vehicles.</t>
  </si>
  <si>
    <t>2015-09-22T19:05:50.000Z</t>
  </si>
  <si>
    <t>https://twitter.com/VW/status/646399219104878592</t>
  </si>
  <si>
    <t>@JimLahren Please do not hesitate to let us know if there’s anything else we can do to help. #VWcares</t>
  </si>
  <si>
    <t>2015-09-22T19:02:38.000Z</t>
  </si>
  <si>
    <t>@JimLahren</t>
  </si>
  <si>
    <t>https://twitter.com/VW/status/646398397788913664</t>
  </si>
  <si>
    <t>@JimLahren We’re very sorry to hear this, Jim. It looks like you’re already working with one of our colleagues at Customer CARE.</t>
  </si>
  <si>
    <t>2015-09-22T18:59:22.000Z</t>
  </si>
  <si>
    <t>https://twitter.com/VW/status/646396708897878016</t>
  </si>
  <si>
    <t>@polesmoker54 We’re sorry this happened. If you’d like to share more of your experience, please reach out to us at http://vw.com/contact</t>
  </si>
  <si>
    <t>2015-09-22T18:52:39.000Z</t>
  </si>
  <si>
    <t>https://twitter.com/VW/status/646387763273728000</t>
  </si>
  <si>
    <t>@bridgesuite We’re very sorry this was your experience. If you would like to discuss this further, contact us at http://vw.com/contact.</t>
  </si>
  <si>
    <t>2015-09-22T18:17:06.000Z</t>
  </si>
  <si>
    <t>https://twitter.com/VW/status/646387760555761664</t>
  </si>
  <si>
    <t>@schaeferthomasg If you have questions or if there’s anything we can do to help, contact us at http://vw.com/contact. #VWCares</t>
  </si>
  <si>
    <t>https://twitter.com/VW/status/646387758437691399</t>
  </si>
  <si>
    <t>@schaeferthomasg We’re sorry the 80K service seems so expensive, but it’s a lot more than an oil change!</t>
  </si>
  <si>
    <t>2015-09-22T18:17:05.000Z</t>
  </si>
  <si>
    <t>https://twitter.com/VW/status/646387745267535873</t>
  </si>
  <si>
    <t>@Bostoneric his is not the experience we want for our enthusiasts. Please reach out to us at http://vw.com/contact so we can hear more.</t>
  </si>
  <si>
    <t>2015-09-22T18:17:02.000Z</t>
  </si>
  <si>
    <t>@Bostoneric</t>
  </si>
  <si>
    <t>https://twitter.com/VW/status/646387742792904704</t>
  </si>
  <si>
    <t>@antoncisne We’re very sorry to hear this. Please DM us your VIN and email address and we’ll be happy to reach out to you. #VWcares</t>
  </si>
  <si>
    <t>2015-09-22T18:17:01.000Z</t>
  </si>
  <si>
    <t>@antoncisne</t>
  </si>
  <si>
    <t>https://twitter.com/VW/status/646329020590616577</t>
  </si>
  <si>
    <t>@TimmyWash Thanks for your interest! CarPlay will be available for the 2016s, but we regret there is no retrofit for the 15s at this time.</t>
  </si>
  <si>
    <t>2015-09-22T14:23:41.000Z</t>
  </si>
  <si>
    <t>https://twitter.com/VW/status/646328965875896320</t>
  </si>
  <si>
    <t>@DugRay We’re sorry this happened. If you’re still facing troubles with the site, please reach out to us http://vw.com/contact</t>
  </si>
  <si>
    <t>2015-09-22T14:23:28.000Z</t>
  </si>
  <si>
    <t>https://twitter.com/VW/status/646083751332593664</t>
  </si>
  <si>
    <t>@marie_samir We’re sorry you’ve had concerns with your VW. We recommend reaching out to the VW branch in your region for assistance #VWcares</t>
  </si>
  <si>
    <t>2015-09-21T22:09:04.000Z</t>
  </si>
  <si>
    <t>@marie_samir</t>
  </si>
  <si>
    <t>https://twitter.com/VW/status/646083748132335616</t>
  </si>
  <si>
    <t>@EricaButeau We would be happy to find out how we might be able to help. DM your email address and we’ll gladly reach out to you. #VWcares</t>
  </si>
  <si>
    <t>2015-09-21T22:09:03.000Z</t>
  </si>
  <si>
    <t>https://twitter.com/VW/status/646083738246381568</t>
  </si>
  <si>
    <t>@matthewjones00 If it’s more convenient for you, you can reach out to us at http://vw.com/contact</t>
  </si>
  <si>
    <t>2015-09-21T22:09:01.000Z</t>
  </si>
  <si>
    <t>@mrjonesray</t>
  </si>
  <si>
    <t>https://twitter.com/VW/status/646076620206243840</t>
  </si>
  <si>
    <t>@matthewjones00 This is not the experience we want for you. Please DM us your VIN and email so we can look into this further.</t>
  </si>
  <si>
    <t>2015-09-21T21:40:44.000Z</t>
  </si>
  <si>
    <t>https://twitter.com/VW/status/646058859967086592</t>
  </si>
  <si>
    <t>@TahlyaStreet We’re sorry to hear this happened, and we’d like to look into this. Please reach out to us at http://vw.com/contact</t>
  </si>
  <si>
    <t>2015-09-21T20:30:10.000Z</t>
  </si>
  <si>
    <t>@TahlyaStreet</t>
  </si>
  <si>
    <t>https://twitter.com/VW/status/646053499105468416</t>
  </si>
  <si>
    <t>@WilBLawson Should you need anything in the future, please don’t hesitate to let us know.</t>
  </si>
  <si>
    <t>2015-09-21T20:08:51.000Z</t>
  </si>
  <si>
    <t>https://twitter.com/VW/status/646053496995737600</t>
  </si>
  <si>
    <t>@WilBLawson Our hope is to assist our drivers whenever we can, and we’re sorry we were unable to meet your expectations.</t>
  </si>
  <si>
    <t>https://twitter.com/VW/status/646051178908770304</t>
  </si>
  <si>
    <t>@sweetjojalabama We’re sorry to hear you’re having concerns with your Jetta. DM us your VIN and email and we’ll gladly reach out to you.</t>
  </si>
  <si>
    <t>2015-09-21T19:59:38.000Z</t>
  </si>
  <si>
    <t>@sweetjojalabama</t>
  </si>
  <si>
    <t>https://twitter.com/VW/status/646011808407404545</t>
  </si>
  <si>
    <t>@Heart4HardHTX We’re sorry to hear this. If there’s anything we can do to help, please reach out to us at http://vw.com/contact. #VWcares</t>
  </si>
  <si>
    <t>2015-09-21T17:23:12.000Z</t>
  </si>
  <si>
    <t>https://twitter.com/VW/status/645991111073230848</t>
  </si>
  <si>
    <t>@matadormi5 We haven’t yet announced anything definite about the new Tiguan for the U.S. market. Stay tuned for more info! #VWcares</t>
  </si>
  <si>
    <t>2015-09-21T16:00:57.000Z</t>
  </si>
  <si>
    <t>@matadormi5</t>
  </si>
  <si>
    <t>https://twitter.com/VW/status/645986742332329984</t>
  </si>
  <si>
    <t>@RandyIvie We’re very sorry for the inconvenience. If there’s anything we can do to help, reach out to us at http://vw.com/contact #VWcares</t>
  </si>
  <si>
    <t>2015-09-21T15:43:35.000Z</t>
  </si>
  <si>
    <t>https://twitter.com/VW/status/644985362817769472</t>
  </si>
  <si>
    <t>@julkinen We see you’re reaching out to us from Finland. We recommend contacting the VW branch in your region for the best info. #VWcares</t>
  </si>
  <si>
    <t>2015-09-18T21:24:28.000Z</t>
  </si>
  <si>
    <t>@julkinen</t>
  </si>
  <si>
    <t>https://twitter.com/VW/status/644984484362715140</t>
  </si>
  <si>
    <t>@abdulsmith Congratulations on your purchase! We don’t have any plans for an update yet. Stay tuned to http://media.vw.com for more info!</t>
  </si>
  <si>
    <t>2015-09-18T21:20:58.000Z</t>
  </si>
  <si>
    <t>https://twitter.com/VW/status/644984482693386240</t>
  </si>
  <si>
    <t>@san_rensho Thanks for your suggestion! We’ll be sure to take it into consideration for future designs. #VWcares</t>
  </si>
  <si>
    <t>https://twitter.com/VW/status/644984480759812097</t>
  </si>
  <si>
    <t>@LeModulicious Thanks for your feedback, Richard. Be sure to check out the 360° view in the Models section! #VWcares</t>
  </si>
  <si>
    <t>https://twitter.com/VW/status/644984479094693889</t>
  </si>
  <si>
    <t>@wahmbasu Your local VW dealer will be in the best position to help you determine what is covered under this warranty extension. #VWcares</t>
  </si>
  <si>
    <t>2015-09-18T21:20:57.000Z</t>
  </si>
  <si>
    <t>@wahmbasu</t>
  </si>
  <si>
    <t>https://twitter.com/VW/status/644984476959940609</t>
  </si>
  <si>
    <t>@MikeCatalana We’re sorry we were unable to meet your expectations, Mike. Please reach out to us again if you have any future questions.</t>
  </si>
  <si>
    <t>@MikeCatalana</t>
  </si>
  <si>
    <t>https://twitter.com/VW/status/644984475424690176</t>
  </si>
  <si>
    <t>@indiolrh If you’d like, DM us your email address and VIN and we’ll reach out to you with more information. #VWcares</t>
  </si>
  <si>
    <t>2015-09-18T21:20:56.000Z</t>
  </si>
  <si>
    <t>https://twitter.com/VW/status/644984473751187457</t>
  </si>
  <si>
    <t>@indiolrh This can depend on which model VW you have and the type of device you’re trying to connect.</t>
  </si>
  <si>
    <t>https://twitter.com/VW/status/644910953813835776</t>
  </si>
  <si>
    <t>@Sufistarz The #VWPassat is one of a kind; we would love to see you own one! Try building your dream Passat: https://vw.com/builder/tab/trim/model/passat/…</t>
  </si>
  <si>
    <t>2015-09-18T16:28:47.000Z</t>
  </si>
  <si>
    <t>@Sufistarz</t>
  </si>
  <si>
    <t>https://twitter.com/VW/status/644901998026821632</t>
  </si>
  <si>
    <t>@Waldn87Kevin #VDubLove is a beautiful thing. Show off your pride and let your DriverGear speak for itself: http://vw10.drivergear.vw.com</t>
  </si>
  <si>
    <t>2015-09-18T15:53:12.000Z</t>
  </si>
  <si>
    <t>https://twitter.com/VW/status/644893583334490113</t>
  </si>
  <si>
    <t>@aroymb Cool! A Beatle on a #VWBus, you don't see that everyday!</t>
  </si>
  <si>
    <t>2015-09-18T15:19:46.000Z</t>
  </si>
  <si>
    <t>@aroymb</t>
  </si>
  <si>
    <t>https://twitter.com/VW/status/644888195730157569</t>
  </si>
  <si>
    <t>@curtsmith Amazing photo! You can see the #VDubLove blossoming in her eyes.</t>
  </si>
  <si>
    <t>2015-09-18T14:58:21.000Z</t>
  </si>
  <si>
    <t>@curtsmith</t>
  </si>
  <si>
    <t>https://twitter.com/VW/status/644882898135351296</t>
  </si>
  <si>
    <t>@soccajunkie Congratulations on your new #VWJetta! Don't forget your DriverGear: http://vw10.drivergear.vw.com</t>
  </si>
  <si>
    <t>2015-09-18T14:37:18.000Z</t>
  </si>
  <si>
    <t>@thebrooksable</t>
  </si>
  <si>
    <t>https://twitter.com/VW/status/644880763893092352</t>
  </si>
  <si>
    <t>@LeithVolkswagen @Rosagrazz This makes us smile! #VDubLove</t>
  </si>
  <si>
    <t>2015-09-18T14:28:50.000Z</t>
  </si>
  <si>
    <t>https://twitter.com/VW/status/644876552224706563</t>
  </si>
  <si>
    <t>@steeringnews Hope you had your popcorn ready! #VWGTI</t>
  </si>
  <si>
    <t>2015-09-18T14:12:05.000Z</t>
  </si>
  <si>
    <t>@steeringnews</t>
  </si>
  <si>
    <t>https://twitter.com/VW/status/644874434247962624</t>
  </si>
  <si>
    <t>@Petersen_Museum It should be a sight to see! #VWGTI</t>
  </si>
  <si>
    <t>2015-09-18T14:03:40.000Z</t>
  </si>
  <si>
    <t>@Petersen_Museum</t>
  </si>
  <si>
    <t>https://twitter.com/VW/status/644675173237391360</t>
  </si>
  <si>
    <t>@Meatwad650 Either way, you can’t lose! #VWGTI #VWGolfR</t>
  </si>
  <si>
    <t>2015-09-18T00:51:53.000Z</t>
  </si>
  <si>
    <t>@Meatwad650</t>
  </si>
  <si>
    <t>https://twitter.com/VW/status/644670926416510976</t>
  </si>
  <si>
    <t>@OhHeyAngel We would hate to see you cry! Let's turn your dream into a reality at one of our dealerships near you! http://vw.com/find-a-dealer/</t>
  </si>
  <si>
    <t>2015-09-18T00:35:00.000Z</t>
  </si>
  <si>
    <t>https://twitter.com/VW/status/644666676173107200</t>
  </si>
  <si>
    <t>@solartint3042 We can feel your excitement through the monitor! #VDubLove</t>
  </si>
  <si>
    <t>2015-09-18T00:18:07.000Z</t>
  </si>
  <si>
    <t>@solartint3042</t>
  </si>
  <si>
    <t>https://twitter.com/VW/status/644651922633297920</t>
  </si>
  <si>
    <t>@LuisCadena For more information, we recommend working with your local VW dealership. #VWcares</t>
  </si>
  <si>
    <t>2015-09-17T23:19:30.000Z</t>
  </si>
  <si>
    <t>https://twitter.com/VW/status/644651918795476992</t>
  </si>
  <si>
    <t>@valval28 We’re very sorry to hear this. If there’s anything we can do to help, please reach out to us at http://vw.com/contact. #VWcares</t>
  </si>
  <si>
    <t>2015-09-17T23:19:29.000Z</t>
  </si>
  <si>
    <t>@valval28</t>
  </si>
  <si>
    <t>https://twitter.com/VW/status/644651916236984321</t>
  </si>
  <si>
    <t>@TeazyFBaby To know what it is for sure, we’ll need your VIN. DM us your email address too and we’ll reach out to you about it. #VWcares</t>
  </si>
  <si>
    <t>2015-09-17T23:19:28.000Z</t>
  </si>
  <si>
    <t>@teresapshum</t>
  </si>
  <si>
    <t>https://twitter.com/VW/status/644651914274074625</t>
  </si>
  <si>
    <t>@TeazyFBaby When a warning light appears in your instrument cluster, you should bring your car to the dealership as soon as you can.</t>
  </si>
  <si>
    <t>https://twitter.com/VW/status/644651912545996800</t>
  </si>
  <si>
    <t>@OficiallyReview We’re very sorry for the inconvenience. If there’s anything we can do to help, please reach out to us at 800-822-8987.</t>
  </si>
  <si>
    <t>2015-09-17T23:19:27.000Z</t>
  </si>
  <si>
    <t>https://twitter.com/VW/status/644651910943780864</t>
  </si>
  <si>
    <t>@missperlaaaa If you need a new key for the tire lock, your local VW dealer should be able to help you out. #VWcares</t>
  </si>
  <si>
    <t>@mrsperlaaaa</t>
  </si>
  <si>
    <t>https://twitter.com/VW/status/644651908422995969</t>
  </si>
  <si>
    <t>@kingcsizz We’re very sorry to hear this. Please reach out to us at http://vw.com/contact if you’d like to share more. #VWcares</t>
  </si>
  <si>
    <t>2015-09-17T23:19:26.000Z</t>
  </si>
  <si>
    <t>https://twitter.com/VW/status/644651906627821568</t>
  </si>
  <si>
    <t>@nicolemortiz We’re sorry to hear this happened. If you’d like to share more, please reach out to us at http://vw.com/contact. #VWcares</t>
  </si>
  <si>
    <t>@nicolemortiz</t>
  </si>
  <si>
    <t>https://twitter.com/VW/status/644649814005694464</t>
  </si>
  <si>
    <t>@MyVWGolf That’s exciting! Where did you take your #VWGolf with that great mpg?</t>
  </si>
  <si>
    <t>2015-09-17T23:11:07.000Z</t>
  </si>
  <si>
    <t>@MyVWGolf</t>
  </si>
  <si>
    <t>https://twitter.com/VW/status/644639125321072640</t>
  </si>
  <si>
    <t>@JcJulianc That’s one smart #VW! We are excited to hear you are enjoying this feature.</t>
  </si>
  <si>
    <t>2015-09-17T22:28:38.000Z</t>
  </si>
  <si>
    <t>@JcJulianc</t>
  </si>
  <si>
    <t>https://twitter.com/VW/status/644621810596581376</t>
  </si>
  <si>
    <t>Adam Scott’s throwing a party. Are you on the list? #VW #AppConnect</t>
  </si>
  <si>
    <t>2015-09-17T21:19:50.000Z</t>
  </si>
  <si>
    <t>https://twitter.com/VW/status/644592240879255552</t>
  </si>
  <si>
    <t>@brandon_stubbs We love Car-Net too and you're always invited to our party! https://youtube.com/watch?v=2glN6bdfcw8…</t>
  </si>
  <si>
    <t>2015-09-17T19:22:20.000Z</t>
  </si>
  <si>
    <t>@covertbydesign</t>
  </si>
  <si>
    <t>https://twitter.com/VW/status/644587969714720769</t>
  </si>
  <si>
    <t>@JANNETJE3 @curtsmith Looks like we are in good company with your guesses! ;)</t>
  </si>
  <si>
    <t>2015-09-17T19:05:22.000Z</t>
  </si>
  <si>
    <t>@JANNETJE3</t>
  </si>
  <si>
    <t>https://twitter.com/VW/status/644552818804723713</t>
  </si>
  <si>
    <t>This vintage, aircooled Beetle is our sunshine on a cloudy day...#TBT</t>
  </si>
  <si>
    <t>2015-09-17T16:45:41.000Z</t>
  </si>
  <si>
    <t>https://twitter.com/VW/status/644269628600913921</t>
  </si>
  <si>
    <t>@N8Sandrs We’re very sorry for the inconvenience, Nate. We’re currently working on a fix and will let you know when we have one. #VWcares</t>
  </si>
  <si>
    <t>2015-09-16T22:00:24.000Z</t>
  </si>
  <si>
    <t>https://twitter.com/VW/status/644269624083611648</t>
  </si>
  <si>
    <t>@sydnee_kristina If there’s anything we can do to help, please reach out to us at http://vw.com/contact. We’re always listening! #VWcares</t>
  </si>
  <si>
    <t>2015-09-16T22:00:22.000Z</t>
  </si>
  <si>
    <t>https://twitter.com/VW/status/644269622460420096</t>
  </si>
  <si>
    <t>@sydnee_kristina We’re sorry to hear about your VW. We recommend working with your local VW dealership for assistance. #VWcares</t>
  </si>
  <si>
    <t>https://twitter.com/VW/status/644269619897761792</t>
  </si>
  <si>
    <t>@jimmygjl We want a better experience for you. DM us your VIN and email and we’ll be happy to reach out to you. #VWcares</t>
  </si>
  <si>
    <t>2015-09-16T22:00:21.000Z</t>
  </si>
  <si>
    <t>https://twitter.com/VW/status/644269618345852928</t>
  </si>
  <si>
    <t>@Antoninetta Great question! So we can give you the best answer possible, DM your VIN and email and we’ll reach out to you with more info.</t>
  </si>
  <si>
    <t>@Antoninetta</t>
  </si>
  <si>
    <t>https://twitter.com/VW/status/644269616705896448</t>
  </si>
  <si>
    <t>@chadthegatorfan This is not the experience we want for you. Please DM us your VIN and email so we can look into this further. #VWcares</t>
  </si>
  <si>
    <t>@chadthegatorfan</t>
  </si>
  <si>
    <t>https://twitter.com/VW/status/644269615011360772</t>
  </si>
  <si>
    <t>@kallisti5 We’re sorry this has been your experience. Reach out to us at http://vw.com/contact if there’s anything we can do to help.</t>
  </si>
  <si>
    <t>2015-09-16T22:00:20.000Z</t>
  </si>
  <si>
    <t>https://twitter.com/VW/status/644269613404958721</t>
  </si>
  <si>
    <t>@Oooookillemwill We understand where you’re coming from. Please DM us your VIN and email so we can look into this further. #VWcares</t>
  </si>
  <si>
    <t>@YungGosse</t>
  </si>
  <si>
    <t>https://twitter.com/VW/status/644269611500748801</t>
  </si>
  <si>
    <t>@mattix13 We’re sorry this is happening. We recommend contacting your local VW dealer for help; http://vw.com/find-a-dealer/. #VWcares</t>
  </si>
  <si>
    <t>2015-09-16T22:00:19.000Z</t>
  </si>
  <si>
    <t>@mattix13</t>
  </si>
  <si>
    <t>https://twitter.com/VW/status/644267460951052288</t>
  </si>
  <si>
    <t>@armosqueda Our hope is to assist our drivers whenever we can, and we’re sorry for not meeting your expectations.</t>
  </si>
  <si>
    <t>2015-09-16T21:51:47.000Z</t>
  </si>
  <si>
    <t>@cabernet_life</t>
  </si>
  <si>
    <t>https://twitter.com/VW/status/644267457704685568</t>
  </si>
  <si>
    <t>@lucasmatze We’re sorry for any frustrations this caused you. Reach out to us at http://vw.com/contact so we can look into this further.</t>
  </si>
  <si>
    <t>2015-09-16T21:51:46.000Z</t>
  </si>
  <si>
    <t>https://twitter.com/VW/status/644267455230033921</t>
  </si>
  <si>
    <t>@steffymac4 We always look for opportunities to help our drivers, and we’re sorry we were not able to meet your expectations.</t>
  </si>
  <si>
    <t>2015-09-16T21:51:45.000Z</t>
  </si>
  <si>
    <t>https://twitter.com/VW/status/644267453493608448</t>
  </si>
  <si>
    <t>@tkrupp07 We’re very sorry we were unable to meet your expectations. Please reach out to us again if you have any additional questions.</t>
  </si>
  <si>
    <t>@tkrupp07</t>
  </si>
  <si>
    <t>https://twitter.com/VW/status/643927721668534273</t>
  </si>
  <si>
    <t>@BrianMarette This is music to our ears! We're glad they were able to assist.</t>
  </si>
  <si>
    <t>2015-09-15T23:21:47.000Z</t>
  </si>
  <si>
    <t>@BrianMarette</t>
  </si>
  <si>
    <t>https://twitter.com/VW/status/643921341201039360</t>
  </si>
  <si>
    <t>@cherry_LA If you want to ride in style and be fuel efficient, you have to check us out @LAAutoShow. Which model were you interested in?</t>
  </si>
  <si>
    <t>2015-09-15T22:56:25.000Z</t>
  </si>
  <si>
    <t>@cherry_LA</t>
  </si>
  <si>
    <t>https://twitter.com/VW/status/643919188147343360</t>
  </si>
  <si>
    <t>@StephieEpie Thanks for the shout out! Learn more about #VWCarNet so you will be ready when the time comes! http://vw.com/content/vwcom/en/features/vw-car-net.html…</t>
  </si>
  <si>
    <t>2015-09-15T22:47:52.000Z</t>
  </si>
  <si>
    <t>@StephieEpie</t>
  </si>
  <si>
    <t>https://twitter.com/VW/status/643906529767198720</t>
  </si>
  <si>
    <t>@636_OC Thanks, we like your taste in cars! #VWJetta</t>
  </si>
  <si>
    <t>2015-09-15T21:57:34.000Z</t>
  </si>
  <si>
    <t>@636_OC</t>
  </si>
  <si>
    <t>https://twitter.com/VW/status/643904417515749376</t>
  </si>
  <si>
    <t>@celicainwhite Loving the car in the background! Keep the #VDubLove going in your next pic with some VW DriverGear! http://vw10.drivergear.vw.com/Catalog/Ladies/View_all_Ladies/DRG013248#…</t>
  </si>
  <si>
    <t>2015-09-15T21:49:10.000Z</t>
  </si>
  <si>
    <t>https://twitter.com/VW/status/643900156102864896</t>
  </si>
  <si>
    <t>@NYDNAutos Gorgeous. #VWGTI</t>
  </si>
  <si>
    <t>2015-09-15T21:32:14.000Z</t>
  </si>
  <si>
    <t>@NYDNAutos</t>
  </si>
  <si>
    <t>https://twitter.com/VW/status/643898075191230464</t>
  </si>
  <si>
    <t>@eddycarrasco We agree! The #VWGolfR combines raw, turbocharged power with impressive handling which puts it in a league of its own!</t>
  </si>
  <si>
    <t>2015-09-15T21:23:58.000Z</t>
  </si>
  <si>
    <t>https://twitter.com/VW/status/643889564369588224</t>
  </si>
  <si>
    <t>@JamesUWW Which VW is your favorite? When you are in a VW, it's hard not to win. ;)</t>
  </si>
  <si>
    <t>2015-09-15T20:50:09.000Z</t>
  </si>
  <si>
    <t>@JamesUWW</t>
  </si>
  <si>
    <t>https://twitter.com/VW/status/643885205380444160</t>
  </si>
  <si>
    <t>@Luyanda56203804 Nice wheels! Was it love at first sight?</t>
  </si>
  <si>
    <t>2015-09-15T20:32:50.000Z</t>
  </si>
  <si>
    <t>@Luyanda56203804</t>
  </si>
  <si>
    <t>https://twitter.com/VW/status/643885203870453766</t>
  </si>
  <si>
    <t>@PastilleLeeds @ArchiesLeeds We agree! ;)</t>
  </si>
  <si>
    <t>@PastilleLeeds</t>
  </si>
  <si>
    <t>https://twitter.com/VW/status/643844940607422464</t>
  </si>
  <si>
    <t>@AndrettiSM Your secret is safe with us!</t>
  </si>
  <si>
    <t>2015-09-15T17:52:50.000Z</t>
  </si>
  <si>
    <t>@LSTMarketing</t>
  </si>
  <si>
    <t>https://twitter.com/VW/status/643834310433177602</t>
  </si>
  <si>
    <t>@DorothyMeredit3 We’re sorry to hear this. If there’s anything we can do to help, please reach out to us at http://vw.com/contact #VWcares</t>
  </si>
  <si>
    <t>2015-09-15T17:10:36.000Z</t>
  </si>
  <si>
    <t>@DorothyMeredit3</t>
  </si>
  <si>
    <t>https://twitter.com/VW/status/643834308440887296</t>
  </si>
  <si>
    <t>@barbthisDICK We’re sorry to hear you’re disappointed. So we can hear more about what happened, please DM us your VIN and email. #VWcares</t>
  </si>
  <si>
    <t>2015-09-15T17:10:35.000Z</t>
  </si>
  <si>
    <t>https://twitter.com/VW/status/643832149745860608</t>
  </si>
  <si>
    <t>@sasyral This is not the experience we want for you. Please DM us your VIN and email so we can look into this further. #VWcares</t>
  </si>
  <si>
    <t>2015-09-15T17:02:00.000Z</t>
  </si>
  <si>
    <t>https://twitter.com/VW/status/643832147766210560</t>
  </si>
  <si>
    <t>@AdManHayes We’re happy to look into this further. Please DM us your VIN and email. #VWcares</t>
  </si>
  <si>
    <t>@AdManHayes</t>
  </si>
  <si>
    <t>https://twitter.com/VW/status/643832144779833344</t>
  </si>
  <si>
    <t>@ColinChambers44 We’re sorry to hear this is happening. Please DM us your VIN and email so we can look into this further. #VWcares</t>
  </si>
  <si>
    <t>2015-09-15T17:01:59.000Z</t>
  </si>
  <si>
    <t>@ColinChambers44</t>
  </si>
  <si>
    <t>https://twitter.com/VW/status/643832143190167552</t>
  </si>
  <si>
    <t>@ToriAnn88 This is not the experience we want for you. Please reach out to us at http://vw.com/contact, if you’d like to share more.</t>
  </si>
  <si>
    <t>@ToriAnn88</t>
  </si>
  <si>
    <t>https://twitter.com/VW/status/643832141353123840</t>
  </si>
  <si>
    <t>@WilBLawson This is not what we want for our drivers. If you’d like to share more, please reach us at http://vw.com/contact. #VWcares</t>
  </si>
  <si>
    <t>2015-09-15T17:01:58.000Z</t>
  </si>
  <si>
    <t>https://twitter.com/VW/status/643817125698637824</t>
  </si>
  <si>
    <t>@ImSabZar This is why we love our customers. Thanks for the kind words! #VDubLove</t>
  </si>
  <si>
    <t>2015-09-15T16:02:18.000Z</t>
  </si>
  <si>
    <t>@ImSabZar</t>
  </si>
  <si>
    <t>https://twitter.com/VW/status/643791574078349312</t>
  </si>
  <si>
    <t>@SoDamnTiny This is not the experience we want you to have. Reach out to us at http://vw.com/contact if there is anything we can do to help</t>
  </si>
  <si>
    <t>2015-09-15T14:20:46.000Z</t>
  </si>
  <si>
    <t>https://twitter.com/VW/status/643510642033459200</t>
  </si>
  <si>
    <t>@evely_29  This is not the experience we want for our drivers. Please DM us your VIN and email so we can look into this further.</t>
  </si>
  <si>
    <t>2015-09-14T19:44:27.000Z</t>
  </si>
  <si>
    <t>@evely_29</t>
  </si>
  <si>
    <t>https://twitter.com/VW/status/643504265177264128</t>
  </si>
  <si>
    <t>@N8Sandrs We appreciate your enthusiasm! Check out http://media.vw.com/release/977/ for great info about Car-Net &amp; the Apple watches. We’re excited!</t>
  </si>
  <si>
    <t>2015-09-14T19:19:07.000Z</t>
  </si>
  <si>
    <t>https://twitter.com/VW/status/643454506164883458</t>
  </si>
  <si>
    <t>@dpgerry We don’t currently have a 4Motion version of the Passat, but you may find the CC with 4Motion could suit your needs! #VWcares</t>
  </si>
  <si>
    <t>2015-09-14T16:01:23.000Z</t>
  </si>
  <si>
    <t>@dpgerry</t>
  </si>
  <si>
    <t>https://twitter.com/VW/status/643454504331939840</t>
  </si>
  <si>
    <t>@dpgerry We’re glad to hear you want to go with another Passat! We expect them to start arriving at dealers this fall. #VWcares</t>
  </si>
  <si>
    <t>https://twitter.com/VW/status/643448050174717952</t>
  </si>
  <si>
    <t>@TheWilltoHunt We’re sorry to hear you feel this way. If there’s anything we can do to help, please contact us at http://vw.com/contact.</t>
  </si>
  <si>
    <t>2015-09-14T15:35:44.000Z</t>
  </si>
  <si>
    <t>@TheWilltoHunt</t>
  </si>
  <si>
    <t>https://twitter.com/VW/status/643448048861839360</t>
  </si>
  <si>
    <t>@betheNV For more information, we recommend working with your local VW dealership. They are in the best position to assist you. #VWcares</t>
  </si>
  <si>
    <t>@BeTheNV</t>
  </si>
  <si>
    <t>https://twitter.com/VW/status/643448046424973312</t>
  </si>
  <si>
    <t>@betheNV We hope you’re enjoying your GTI! We regret we don’t have a way to upgrade your infotainment system.</t>
  </si>
  <si>
    <t>2015-09-14T15:35:43.000Z</t>
  </si>
  <si>
    <t>https://twitter.com/VW/status/643416099111895040</t>
  </si>
  <si>
    <t>@MeganGuarnier Glad we could make you smile, the #VWGolf #Sportwagen tends to do that to people. ;) Best of luck in Richmond!</t>
  </si>
  <si>
    <t>2015-09-14T13:28:46.000Z</t>
  </si>
  <si>
    <t>@MeganGuarnier</t>
  </si>
  <si>
    <t>https://twitter.com/VW/status/643196395172708353</t>
  </si>
  <si>
    <t>It's a sweep! @scottspeed wins the #RedBullGRC final with #VWGRC teammate @TannerFoust finishing a close 3rd.</t>
  </si>
  <si>
    <t>2015-09-13T22:55:45.000Z</t>
  </si>
  <si>
    <t>https://twitter.com/VW/status/643157574188072960</t>
  </si>
  <si>
    <t>The #VWGRC crew prepare the Beetles for the final battle of the day. #RedBullGRC</t>
  </si>
  <si>
    <t>2015-09-13T20:21:29.000Z</t>
  </si>
  <si>
    <t>https://twitter.com/VW/status/643141923058790400</t>
  </si>
  <si>
    <t>@abdulsmith We’re very sorry this has been your experience. If there’s anything we can do to help, give us a call at 800-822-8987. #VWcares</t>
  </si>
  <si>
    <t>2015-09-13T19:19:18.000Z</t>
  </si>
  <si>
    <t>https://twitter.com/VW/status/643141921045528576</t>
  </si>
  <si>
    <t>@rchozick We don’t have any info on this yet, Russell. Stay tuned to http://media.vw.com for the latest news! #VWcares</t>
  </si>
  <si>
    <t>2015-09-13T19:19:17.000Z</t>
  </si>
  <si>
    <t>@rchozick</t>
  </si>
  <si>
    <t>https://twitter.com/VW/status/643141919418150912</t>
  </si>
  <si>
    <t>@SeunySeun We’re very sorry for the inconvenience. Please DM your email and VIN and we’ll be glad to reach out to you about it. #VWcares</t>
  </si>
  <si>
    <t>@SeunySeun</t>
  </si>
  <si>
    <t>https://twitter.com/VW/status/643141917912403968</t>
  </si>
  <si>
    <t>@johnotani If you have any additional questions or concerns, please feel free to reach out to us again. We’re always listening. #VWcares</t>
  </si>
  <si>
    <t>2015-09-13T19:19:16.000Z</t>
  </si>
  <si>
    <t>@johnotani</t>
  </si>
  <si>
    <t>https://twitter.com/VW/status/643141916129755136</t>
  </si>
  <si>
    <t>@johnotani We’re very sorry to hear this, John. We see you recently spoke with one of our colleagues about your vehicle.</t>
  </si>
  <si>
    <t>https://twitter.com/VW/status/643141914179440640</t>
  </si>
  <si>
    <t>@sammii_bx94 We’re sorry for the inconvenience. If there’s anything we can do to help, give us a call at 800-822-8987. #VWcares</t>
  </si>
  <si>
    <t>2015-09-13T19:19:15.000Z</t>
  </si>
  <si>
    <t>https://twitter.com/VW/status/643141912258457601</t>
  </si>
  <si>
    <t>@jetpuf We’re very sorry this has been your experience. DM us your VIN and email address and we’ll reach out to you. #VWcares</t>
  </si>
  <si>
    <t>@jetpuf</t>
  </si>
  <si>
    <t>https://twitter.com/VW/status/643141910652055552</t>
  </si>
  <si>
    <t>@LNM588 We’re very sorry to hear this, Laura. DM us your VIN and email address and we’ll be happy to reach out to you. #VWcares</t>
  </si>
  <si>
    <t>@LNM588</t>
  </si>
  <si>
    <t>https://twitter.com/VW/status/643139778456588288</t>
  </si>
  <si>
    <t>@KidsAreHeroes We’re sorry for the inconvenience. If there’s anything we can do to help, please reach out to us at http://vw.com/contact.</t>
  </si>
  <si>
    <t>2015-09-13T19:10:46.000Z</t>
  </si>
  <si>
    <t>@KidsAreHeroes</t>
  </si>
  <si>
    <t>https://twitter.com/VW/status/643139773822070784</t>
  </si>
  <si>
    <t>@ccbowman Your satisfaction is important to us, and we’re glad to hear you’re happy. :) If you need anything else, let us know. #VWcares</t>
  </si>
  <si>
    <t>2015-09-13T19:10:45.000Z</t>
  </si>
  <si>
    <t>https://twitter.com/VW/status/643139767824084993</t>
  </si>
  <si>
    <t>@ConnorGrand We’re sorry to hear this, Connor. Please reach out to us at http://vw.com/contact so we can look into this further. #VWcares</t>
  </si>
  <si>
    <t>2015-09-13T19:10:44.000Z</t>
  </si>
  <si>
    <t>@Thereal100grand</t>
  </si>
  <si>
    <t>https://twitter.com/VW/status/643137647926317056</t>
  </si>
  <si>
    <t>@scottfybush This is not the experience we want for you. If you’d like to share more, please reach out to us at http://vw.com/contact.</t>
  </si>
  <si>
    <t>2015-09-13T19:02:18.000Z</t>
  </si>
  <si>
    <t>@scottfybush</t>
  </si>
  <si>
    <t>https://twitter.com/VW/status/643137646751973376</t>
  </si>
  <si>
    <t>@F_R_Odo While we have no plans to change the e-Golf yet, we will take your thoughts into consideration :) #VWcares</t>
  </si>
  <si>
    <t>https://twitter.com/VW/status/643137645422313472</t>
  </si>
  <si>
    <t>@F_R_Odo The 2016 e-Golf comes with Front Assist w/ Autonomous Emergency Braking. Thanks for your interest! #VWcares</t>
  </si>
  <si>
    <t>https://twitter.com/VW/status/643137644021485569</t>
  </si>
  <si>
    <t>@aatheus Thanks for your feedback. We certainly appreciate it and will take your comments into consideration in the future. #VWcares</t>
  </si>
  <si>
    <t>2015-09-13T19:02:17.000Z</t>
  </si>
  <si>
    <t>@aatheus</t>
  </si>
  <si>
    <t>https://twitter.com/VW/status/643137642729598976</t>
  </si>
  <si>
    <t>@JustBryBry We’re sorry we were unable to meet your expectations. If you have any future questions or concerns, please reach out to us.</t>
  </si>
  <si>
    <t>@bryan_ltd</t>
  </si>
  <si>
    <t>https://twitter.com/VW/status/643137641332903936</t>
  </si>
  <si>
    <t>@TheJveit We’re very sorry to hear this. DM us your VIN and email address and we’d be happy to reach out to you to hear more. #VWcares</t>
  </si>
  <si>
    <t>@TheJveit</t>
  </si>
  <si>
    <t>https://twitter.com/VW/status/643137639961374724</t>
  </si>
  <si>
    <t>@MileHighFlyGuy We’re sorry for the inconvenience, Matthew. We appreciate your patience while we look into your concerns. #VWcares</t>
  </si>
  <si>
    <t>2015-09-13T19:02:16.000Z</t>
  </si>
  <si>
    <t>https://twitter.com/VW/status/643137638560501761</t>
  </si>
  <si>
    <t>@coreybeaman Thanks for your feedback! We’re working on expanding the availability of the e-Golf to other states, so stay tuned! #VWcares</t>
  </si>
  <si>
    <t>https://twitter.com/VW/status/643137637054726144</t>
  </si>
  <si>
    <t>@MrkFrnc We want a better experience for you. Reach out to us at http://vw.com/contact so we can hear more about it. #VWcares</t>
  </si>
  <si>
    <t>@MrkFrnc</t>
  </si>
  <si>
    <t>https://twitter.com/VW/status/643135526623576065</t>
  </si>
  <si>
    <t>@sweet_tWhits This is not the experience we want for you. Please reach out to us at http://vw.com/contact to share more of what happened</t>
  </si>
  <si>
    <t>2015-09-13T18:53:53.000Z</t>
  </si>
  <si>
    <t>@sweet_tWhits</t>
  </si>
  <si>
    <t>https://twitter.com/VW/status/643128232980541440</t>
  </si>
  <si>
    <t>Off to another great start, @scottspeed takes 1st place in Heat 1A of the #RedBullGRC doubleheader. #VWGRC</t>
  </si>
  <si>
    <t>2015-09-13T18:24:54.000Z</t>
  </si>
  <si>
    <t>https://twitter.com/VW/status/643119703125168128</t>
  </si>
  <si>
    <t>It's waffle time! Stop by the Volkswagen tent for a free waffle from 11-12 today. #VWGRC #RedBullGRC</t>
  </si>
  <si>
    <t>2015-09-13T17:51:00.000Z</t>
  </si>
  <si>
    <t>https://twitter.com/VW/status/643099079354920961</t>
  </si>
  <si>
    <t>Good morning LA! Take a peak inside the 2nd place #VWGRC Beetle. Who's ready for a repeat? #RedBullGRC</t>
  </si>
  <si>
    <t>2015-09-13T16:29:03.000Z</t>
  </si>
  <si>
    <t>https://twitter.com/VW/status/642838586513948673</t>
  </si>
  <si>
    <t>All smiles. @TannerFoust celebrates a 2nd place victory to end the day at #RedBullGRC. #VWGRC</t>
  </si>
  <si>
    <t>2015-09-12T23:13:57.000Z</t>
  </si>
  <si>
    <t>https://twitter.com/VW/status/642836311175335936</t>
  </si>
  <si>
    <t>And that's how the west was won. @scottspeed finishes in first place in the #RedBullGRC Supercar Final. #VWGRC</t>
  </si>
  <si>
    <t>2015-09-12T23:04:54.000Z</t>
  </si>
  <si>
    <t>https://twitter.com/VW/status/642816134429831169</t>
  </si>
  <si>
    <t>Stop by the #RedBullGRC Volkswagen tent across from the SS Lane Victory for Waffle Hour now until 3:30! #VWGRC</t>
  </si>
  <si>
    <t>2015-09-12T21:44:44.000Z</t>
  </si>
  <si>
    <t>https://twitter.com/VW/status/642804576530206720</t>
  </si>
  <si>
    <t>Living up to his name. @Scottspeed stays on top in the #RedBullGRC Supercar Semifinal. #VWGRC</t>
  </si>
  <si>
    <t>2015-09-12T20:58:48.000Z</t>
  </si>
  <si>
    <t>https://twitter.com/VW/status/642787013557555200</t>
  </si>
  <si>
    <t>Follow the leader. @scottspeed has another 1st place finish in Heat 2B. @TannerFoust places 3rd. #RedBullGRC #VWGRC</t>
  </si>
  <si>
    <t>2015-09-12T19:49:01.000Z</t>
  </si>
  <si>
    <t>https://twitter.com/VW/status/642769321760915457</t>
  </si>
  <si>
    <t>Crushing the competition. #VWGRC's @scottspeed takes first place in Heat 1B at #RedBullGRC.</t>
  </si>
  <si>
    <t>2015-09-12T18:38:43.000Z</t>
  </si>
  <si>
    <t>https://twitter.com/VW/status/642511189470154752</t>
  </si>
  <si>
    <t>Let's hear it for the boys! @TannerFoust and @scottspeed finish 1st and 2nd in the Supercar Qualifying Round. #VWGRC</t>
  </si>
  <si>
    <t>2015-09-12T01:32:59.000Z</t>
  </si>
  <si>
    <t>https://twitter.com/VW/status/642488279846117376</t>
  </si>
  <si>
    <t>The Beetle to beat. @scottspeed finishes #RedBullGRC practice with the fastest time. #VWGRC</t>
  </si>
  <si>
    <t>2015-09-12T00:01:57.000Z</t>
  </si>
  <si>
    <t>https://twitter.com/VW/status/642460112293003264</t>
  </si>
  <si>
    <t>Live and ride in LA. @TannerFoust gets some air during a practice run in Port of LA. #VWGRC</t>
  </si>
  <si>
    <t>2015-09-11T22:10:01.000Z</t>
  </si>
  <si>
    <t>https://twitter.com/VW/status/642155523865886720</t>
  </si>
  <si>
    <t>Meet VW Andretti Ralllycross drivers @TannerFoust &amp; @scottspeed at @GalpinVW from 6-8PM tonight in North Hills, CA.</t>
  </si>
  <si>
    <t>2015-09-11T01:59:42.000Z</t>
  </si>
  <si>
    <t>https://twitter.com/VW/status/642138992691941377</t>
  </si>
  <si>
    <t>@KerryKates1 Should you have any future questions or concerns, please feel free to reach out to us again.</t>
  </si>
  <si>
    <t>2015-09-11T00:54:00.000Z</t>
  </si>
  <si>
    <t>@KerryKates1</t>
  </si>
  <si>
    <t>https://twitter.com/VW/status/642136885884641280</t>
  </si>
  <si>
    <t>@KerryKates1 We’re sorry to hear this. We see you already spoke with our colleagues and we regret we were unable to meet your expectations.</t>
  </si>
  <si>
    <t>2015-09-11T00:45:38.000Z</t>
  </si>
  <si>
    <t>https://twitter.com/VW/status/642136884378927104</t>
  </si>
  <si>
    <t>@suzroche We’re very sorry to hear about this. DM us your VIN and email address, we would be happy to reach out to you to hear more #VWcares</t>
  </si>
  <si>
    <t>@suzroche</t>
  </si>
  <si>
    <t>https://twitter.com/VW/status/642088794259193856</t>
  </si>
  <si>
    <t>@r1d3r reach out to us at http://vw.com/contact&lt;http://vw.com/contact&gt; so we can look into this further.</t>
  </si>
  <si>
    <t>2015-09-10T21:34:32.000Z</t>
  </si>
  <si>
    <t>@r1d3r</t>
  </si>
  <si>
    <t>https://twitter.com/VW/status/642088792602492930</t>
  </si>
  <si>
    <t>@sammPOW Please reach out to us at http://vw.com/contact&lt;http://vw.com/contact&gt; to share more of what happened.</t>
  </si>
  <si>
    <t>@sammPOW</t>
  </si>
  <si>
    <t>https://twitter.com/VW/status/642086565620006912</t>
  </si>
  <si>
    <t>@sammPOW We’re sorry to hear you’re disappointed.</t>
  </si>
  <si>
    <t>2015-09-10T21:25:41.000Z</t>
  </si>
  <si>
    <t>https://twitter.com/VW/status/642086564273647616</t>
  </si>
  <si>
    <t>@danyul89 danyul89 We regret we’re unable to look into the concerns you’re facing. Please reach out to http://volkswagen.co.uk for help</t>
  </si>
  <si>
    <t>2015-09-10T21:25:40.000Z</t>
  </si>
  <si>
    <t>https://twitter.com/VW/status/642086562478424064</t>
  </si>
  <si>
    <t>@danyul89 This is not the experience we want for any of our drivers, &amp; we’re sorry you’re facing any concerns. You’ve reached VW of America.</t>
  </si>
  <si>
    <t>https://twitter.com/VW/status/642084309096992769</t>
  </si>
  <si>
    <t>@bk_moore You can locate another dealer near you at http://vw.com/find-a-dealer/</t>
  </si>
  <si>
    <t>2015-09-10T21:16:43.000Z</t>
  </si>
  <si>
    <t>@bk_moore</t>
  </si>
  <si>
    <t>https://twitter.com/VW/status/642084307440308224</t>
  </si>
  <si>
    <t>@bk_moore  A VW dealer is in the best position to help you, and we’re sorry your local dealer does not meet your expectations.</t>
  </si>
  <si>
    <t>2015-09-10T21:16:42.000Z</t>
  </si>
  <si>
    <t>https://twitter.com/VW/status/642084305687068672</t>
  </si>
  <si>
    <t>@szsami Our hope is for our drivers to have a carefree experience. DM us your VIN and email, &amp; we can look into this further.</t>
  </si>
  <si>
    <t>@szsami</t>
  </si>
  <si>
    <t>https://twitter.com/VW/status/642079921058111489</t>
  </si>
  <si>
    <t>@steffymac4  Thank you so much for your info. We see you are working with one of our colleagues, and they will be reaching out to you soon.</t>
  </si>
  <si>
    <t>2015-09-10T20:59:17.000Z</t>
  </si>
  <si>
    <t>https://twitter.com/VW/status/642071089456152576</t>
  </si>
  <si>
    <t>@MileHighFlyGuy Reach out to us at http://vw.com/contact&lt;http://vw.com/contact&gt; so we can look into this further.</t>
  </si>
  <si>
    <t>2015-09-10T20:24:11.000Z</t>
  </si>
  <si>
    <t>https://twitter.com/VW/status/642053608339476480</t>
  </si>
  <si>
    <t>@StephenH2006SL  Please reach out to us at http://vw.com.contact&lt;http://vw.com.contact&gt; to tell us more.</t>
  </si>
  <si>
    <t>2015-09-10T19:14:43.000Z</t>
  </si>
  <si>
    <t>@StephenHidalgo_</t>
  </si>
  <si>
    <t>https://twitter.com/VW/status/642053605533462528</t>
  </si>
  <si>
    <t>@StephenH2006SL We’d love to hear more about what happened.</t>
  </si>
  <si>
    <t>2015-09-10T19:14:42.000Z</t>
  </si>
  <si>
    <t>https://twitter.com/VW/status/642051402366251008</t>
  </si>
  <si>
    <t>@cmakambi If you’d like to share more, please contact us at http://vw.com/contact&lt;http://vw.com/contact&gt;.</t>
  </si>
  <si>
    <t>2015-09-10T19:05:57.000Z</t>
  </si>
  <si>
    <t>@cmakambi</t>
  </si>
  <si>
    <t>https://twitter.com/VW/status/642049332867305472</t>
  </si>
  <si>
    <t>@cmakambi This is not the experience we want you to have.</t>
  </si>
  <si>
    <t>2015-09-10T18:57:44.000Z</t>
  </si>
  <si>
    <t>https://twitter.com/VW/status/642049331416010752</t>
  </si>
  <si>
    <t>@RailGGun We’re very sorry for the inconvenience. We see you emailed Customer CARE already. One of our colleagues will contact you soon.</t>
  </si>
  <si>
    <t>2015-09-10T18:57:43.000Z</t>
  </si>
  <si>
    <t>@RailGGun</t>
  </si>
  <si>
    <t>https://twitter.com/VW/status/642045007084433408</t>
  </si>
  <si>
    <t>@mjchamplin This is not the experience we want you to have. Please DM us your VIN and email so we can look into this further.</t>
  </si>
  <si>
    <t>2015-09-10T18:40:32.000Z</t>
  </si>
  <si>
    <t>https://twitter.com/VW/status/642004605526667264</t>
  </si>
  <si>
    <t>@Spolizino This is not the experience we want you to have. If you’d like to share more, please reach out to us at http://vw.com/contact</t>
  </si>
  <si>
    <t>2015-09-10T16:00:00.000Z</t>
  </si>
  <si>
    <t>https://twitter.com/VW/status/641720498510893056</t>
  </si>
  <si>
    <t>@Trekker56 No updates as of yet. We’re eagerly awaiting their arrival in other states too.</t>
  </si>
  <si>
    <t>2015-09-09T21:11:04.000Z</t>
  </si>
  <si>
    <t>@Trekker56</t>
  </si>
  <si>
    <t>https://twitter.com/VW/status/641720496845774852</t>
  </si>
  <si>
    <t>@Musistics We’re sorry for the inconvenience. For a gas engine you’ll need synthetic oil, VW 502 00, with a viscosity of 5W30 or 5W40.</t>
  </si>
  <si>
    <t>2015-09-09T21:11:03.000Z</t>
  </si>
  <si>
    <t>@Musistics</t>
  </si>
  <si>
    <t>https://twitter.com/VW/status/641649962422562816</t>
  </si>
  <si>
    <t>@hellomrbungle We want your ownership to be easy and carefree. DM your VIN and email address and we’ll gladly reach out to you. #VWcares</t>
  </si>
  <si>
    <t>2015-09-09T16:30:46.000Z</t>
  </si>
  <si>
    <t>https://twitter.com/VW/status/641649731089920000</t>
  </si>
  <si>
    <t>@MichelleRealtor This is not the experience we want for our drivers. Please reach out to us at http://vw.com/contact so we can hear more.</t>
  </si>
  <si>
    <t>2015-09-09T16:29:51.000Z</t>
  </si>
  <si>
    <t>https://twitter.com/VW/status/641649000681181184</t>
  </si>
  <si>
    <t>@AbrahamZ This is not the experience we want you to have. Please DM us your email so we can look into this further.</t>
  </si>
  <si>
    <t>2015-09-09T16:26:57.000Z</t>
  </si>
  <si>
    <t>@AbrahamZ</t>
  </si>
  <si>
    <t>https://twitter.com/VW/status/641644482463666177</t>
  </si>
  <si>
    <t>@wjimenez5271 We see you are currently working with one of our executives, and they will be reaching out to you soon.</t>
  </si>
  <si>
    <t>2015-09-09T16:09:00.000Z</t>
  </si>
  <si>
    <t>@wjimenez5271</t>
  </si>
  <si>
    <t>https://twitter.com/VW/status/641632128669646848</t>
  </si>
  <si>
    <t>@teressablairr We’re very sorry to hear you feel that way. DM us your VIN and email, we’d like to reach out to you to hear more. #VWcares</t>
  </si>
  <si>
    <t>2015-09-09T15:19:55.000Z</t>
  </si>
  <si>
    <t>https://twitter.com/VW/status/641595464886816768</t>
  </si>
  <si>
    <t>@Karl_2014 This is not the experience we want for you. If you’d like to share more with us, please reach out to us at http://vw.com/contact</t>
  </si>
  <si>
    <t>2015-09-09T12:54:13.000Z</t>
  </si>
  <si>
    <t>@Karl_2014</t>
  </si>
  <si>
    <t>https://twitter.com/VW/status/641593387628363776</t>
  </si>
  <si>
    <t>@ipond317 Thanks for taking the time to reach out to us! We appreciate your feedback, and we will pass your suggestions along</t>
  </si>
  <si>
    <t>2015-09-09T12:45:58.000Z</t>
  </si>
  <si>
    <t>https://twitter.com/VW/status/641593385917153280</t>
  </si>
  <si>
    <t>@beardthulhu We recommend reaching out to your local VW dealer for further assistance. If you have other questions, let us know.</t>
  </si>
  <si>
    <t>@kindofathing</t>
  </si>
  <si>
    <t>https://twitter.com/VW/status/641593383773843458</t>
  </si>
  <si>
    <t>@HuracheThr3 We’re sorry to hear of your disappointment. Reach out to us at http://vw.com/contact if you’d like to share more with us.</t>
  </si>
  <si>
    <t>2015-09-09T12:45:57.000Z</t>
  </si>
  <si>
    <t>@nic30k</t>
  </si>
  <si>
    <t>https://twitter.com/VW/status/641593382410719232</t>
  </si>
  <si>
    <t>@freddymusic We’re sorry for the inconvenience. Since you’re in Canada, we recommend reaching out to @VWCanada for help. #VWcares</t>
  </si>
  <si>
    <t>https://twitter.com/VW/status/641593380888162305</t>
  </si>
  <si>
    <t>@josephsmoseph This is not the experience we want you to have. Please DM us your VIN and email so we can look into this further.</t>
  </si>
  <si>
    <t>2015-09-09T12:45:56.000Z</t>
  </si>
  <si>
    <t>@josephsmoseph</t>
  </si>
  <si>
    <t>https://twitter.com/VW/status/641593379424305152</t>
  </si>
  <si>
    <t>@JimDilley We’re sorry to hear this, Jim. Please reach out to us at http://vw.com/contact if there’s anything we can do to help. #VWcares</t>
  </si>
  <si>
    <t>@JimDilley</t>
  </si>
  <si>
    <t>https://twitter.com/VW/status/641593377230753792</t>
  </si>
  <si>
    <t>@prismdecision We recommend using the back seat for any rear facing car seat. Reach out to your local dealer for more information.</t>
  </si>
  <si>
    <t>https://twitter.com/VW/status/641593374286348289</t>
  </si>
  <si>
    <t>@krejci_x46 We’re sorry you’re having concerns with your Jetta. We recommend working with your local VW dealership for more info. #VWcares</t>
  </si>
  <si>
    <t>2015-09-09T12:45:55.000Z</t>
  </si>
  <si>
    <t>@Wes_Maz14</t>
  </si>
  <si>
    <t>https://twitter.com/VW/status/641587094976987136</t>
  </si>
  <si>
    <t>@steffymac4 This is not the experience we want you to have. Please DM us your VIN and email so we can look into this further.</t>
  </si>
  <si>
    <t>2015-09-09T12:20:58.000Z</t>
  </si>
  <si>
    <t>https://twitter.com/VW/status/641587093320282112</t>
  </si>
  <si>
    <t>@piktrldy101 We're glad you were able to get your concerns resolved. If there's anything we can do to help, please reach out to us</t>
  </si>
  <si>
    <t>2015-09-09T12:20:57.000Z</t>
  </si>
  <si>
    <t>@piktrldy101</t>
  </si>
  <si>
    <t>https://twitter.com/VW/status/641587091663511552</t>
  </si>
  <si>
    <t>@MsHoughton We’re sorry you’re having concerns with your Beetle. We recommend working with your local VW dealer for assistance. #VWcares</t>
  </si>
  <si>
    <t>@MsHoughton</t>
  </si>
  <si>
    <t>https://twitter.com/VW/status/641399735295709185</t>
  </si>
  <si>
    <t>@juicychus Great question! We now have Adaptive Cruise Control. Check out, http://media.vw.com/release/1040/, for more information</t>
  </si>
  <si>
    <t>2015-09-08T23:56:28.000Z</t>
  </si>
  <si>
    <t>@juicychus</t>
  </si>
  <si>
    <t>https://twitter.com/VW/status/641399733785751552</t>
  </si>
  <si>
    <t>@ccbowman Driver satisfaction is important to us. Please DM us your VIN and Phone Number and we will reach out to you as soon as possible</t>
  </si>
  <si>
    <t>2015-09-08T23:56:27.000Z</t>
  </si>
  <si>
    <t>https://twitter.com/VW/status/641327098041364480</t>
  </si>
  <si>
    <t>@moises_ibarra We are sorry to hear that. You can give us a call at 800 822 8987 #vwcares</t>
  </si>
  <si>
    <t>2015-09-08T19:07:50.000Z</t>
  </si>
  <si>
    <t>@moises_ibarra</t>
  </si>
  <si>
    <t>https://twitter.com/VW/status/641221928057868289</t>
  </si>
  <si>
    <t>@bretthrussell We received your email and one of our colleagues will be reaching out to you soon. We apologize for the delay #VWCares</t>
  </si>
  <si>
    <t>2015-09-08T12:09:55.000Z</t>
  </si>
  <si>
    <t>@bretthrussell</t>
  </si>
  <si>
    <t>https://twitter.com/VW/status/640222836070592513</t>
  </si>
  <si>
    <t>@piercemcg_ We’re sorry to hear that, Pierce. DM us your VIN and email address and we’ll be happy to reach out to you about it. #VWcares</t>
  </si>
  <si>
    <t>2015-09-05T17:59:53.000Z</t>
  </si>
  <si>
    <t>@piercemcg_</t>
  </si>
  <si>
    <t>https://twitter.com/VW/status/640222834648678400</t>
  </si>
  <si>
    <t>@luke4696 Your satisfaction is important to us. Please DM us your email and we’ll gladly reach out to you. #VWcares</t>
  </si>
  <si>
    <t>@luke4696</t>
  </si>
  <si>
    <t>https://twitter.com/VW/status/640222830752174080</t>
  </si>
  <si>
    <t>@coreybeaman We don’t have any current plans to bring the e-Golf to GA just yet. Stay tuned to http://media.vw.com for the latest news!</t>
  </si>
  <si>
    <t>2015-09-05T17:59:52.000Z</t>
  </si>
  <si>
    <t>https://twitter.com/VW/status/640220658497007616</t>
  </si>
  <si>
    <t>@Joshuacnorvell Don’t cry, Joshua! We’re very sorry this feature wasn’t yet being included for your 2015 Jetta. #VWcares</t>
  </si>
  <si>
    <t>2015-09-05T17:51:14.000Z</t>
  </si>
  <si>
    <t>@joshuacnorvell</t>
  </si>
  <si>
    <t>https://twitter.com/VW/status/639857799279722496</t>
  </si>
  <si>
    <t>@bretthrussell You are welcome to reach out to us through email or live chat here: http://vw.com/contact #VWCares</t>
  </si>
  <si>
    <t>2015-09-04T17:49:21.000Z</t>
  </si>
  <si>
    <t>https://twitter.com/VW/status/639857797895589888</t>
  </si>
  <si>
    <t>@bretthrussell We’re currently experiencing issues with our phone system and we apologize for the inconvenience #VWCares</t>
  </si>
  <si>
    <t>https://twitter.com/VW/status/639533217368907780</t>
  </si>
  <si>
    <t>2015-09-03T20:19:35.000Z</t>
  </si>
  <si>
    <t>https://twitter.com/VW/status/639526154022555648</t>
  </si>
  <si>
    <t>@ryanellisracing If there’s anything we can do to help, please don’t hesitate to reach out to us at http://vw.com/contact. #VWcares</t>
  </si>
  <si>
    <t>2015-09-03T19:51:31.000Z</t>
  </si>
  <si>
    <t>@ryanellisracing</t>
  </si>
  <si>
    <t>https://twitter.com/VW/status/639519881184960512</t>
  </si>
  <si>
    <t>@CaraAnnMarie We want a better experience for you. DM us your VIN and email address and we’ll gladly reach out to you. #VWcares</t>
  </si>
  <si>
    <t>2015-09-03T19:26:36.000Z</t>
  </si>
  <si>
    <t>@CaraAnnMarie</t>
  </si>
  <si>
    <t>https://twitter.com/VW/status/639193171251998720</t>
  </si>
  <si>
    <t>@supremeVENUS We’re very sorry to hear this. DM us your email address and we’ll be glad to reach out to you to hear more. #VWcares</t>
  </si>
  <si>
    <t>2015-09-02T21:48:22.000Z</t>
  </si>
  <si>
    <t>@supremeVENUS</t>
  </si>
  <si>
    <t>https://twitter.com/VW/status/639148097642213376</t>
  </si>
  <si>
    <t>@beautybylee This is not the experience we want for our drivers. Please DM us your VIN and email so we can look into this further.</t>
  </si>
  <si>
    <t>2015-09-02T18:49:15.000Z</t>
  </si>
  <si>
    <t>@beautybylee</t>
  </si>
  <si>
    <t>https://twitter.com/VW/status/638790413374128128</t>
  </si>
  <si>
    <t>@familyvacayus We're sorry to hear that. Please feel free to reach out to us at the link we provided if there's anything we can do to help.</t>
  </si>
  <si>
    <t>2015-09-01T19:07:57.000Z</t>
  </si>
  <si>
    <t>@familyvacayus</t>
  </si>
  <si>
    <t>https://twitter.com/VW/status/638790411289501696</t>
  </si>
  <si>
    <t>@Rellej57 We’re sorry you’re having trouble with our website. Contact us at http://vw.com/contact, we’re happy to help! #VWcares</t>
  </si>
  <si>
    <t>2015-09-01T19:07:56.000Z</t>
  </si>
  <si>
    <t>https://twitter.com/VW/status/638777264059097088</t>
  </si>
  <si>
    <t>@ABryannFuentes We are happy to find out how we can help. Please DM us your VIN and email address and we’ll reach out to you to hear more.</t>
  </si>
  <si>
    <t>2015-09-01T18:15:42.000Z</t>
  </si>
  <si>
    <t>@ABryannFuentes</t>
  </si>
  <si>
    <t>https://twitter.com/VW/status/638775034845249536</t>
  </si>
  <si>
    <t>@RineFnHart We would be happy to find out how we might be able to help. DM us your email and we’ll gladly reach out to you. #VWcares</t>
  </si>
  <si>
    <t>2015-09-01T18:06:50.000Z</t>
  </si>
  <si>
    <t>@RineFnHart</t>
  </si>
  <si>
    <t>https://twitter.com/VW/status/638757402372771840</t>
  </si>
  <si>
    <t>@piktrldy101 This is not the experience we want you to have, Jen. Please DM us your VIN and email, and we will look into this further.</t>
  </si>
  <si>
    <t>2015-09-01T16:56:46.000Z</t>
  </si>
  <si>
    <t>https://twitter.com/VW/status/638748568166133760</t>
  </si>
  <si>
    <t>@rickroberts This is not the experience we want you to have. Please DM us your VIN and email so we can look into this further.</t>
  </si>
  <si>
    <t>2015-09-01T16:21:40.000Z</t>
  </si>
  <si>
    <t>https://twitter.com/VW/status/638746308656795648</t>
  </si>
  <si>
    <t>@blabbermouthaz We’re very sorry we were unable to meet your expectations. Please reach out to us again if you have any other questions.</t>
  </si>
  <si>
    <t>2015-09-01T16:12:41.000Z</t>
  </si>
  <si>
    <t>https://twitter.com/VW/status/638746307130093568</t>
  </si>
  <si>
    <t>@marl3yy_ We would be happy to see if we can help with your concerns. Please DM us your VIN and email and we’ll gladly look into this.</t>
  </si>
  <si>
    <t>@marl3yy_</t>
  </si>
  <si>
    <t>https://twitter.com/VW/status/638691196022358016</t>
  </si>
  <si>
    <t>@firepack1121 That’s a great question! Thanks for the interest. We suggest using 5W40 or 5W30; VW 502 00, VW 500 00 or VW 501 01</t>
  </si>
  <si>
    <t>2015-09-01T12:33:42.000Z</t>
  </si>
  <si>
    <t>@firepack1121</t>
  </si>
  <si>
    <t>https://twitter.com/VW/status/638483121973825536</t>
  </si>
  <si>
    <t>@familyvacayus If you’d like us to follow up with your dealership, please feel free to reach out to us at http://vw.com/contact. #VWcares</t>
  </si>
  <si>
    <t>2015-08-31T22:46:53.000Z</t>
  </si>
  <si>
    <t>https://twitter.com/VW/status/638483120375730176</t>
  </si>
  <si>
    <t>@familyvacayus We recommend talking to your local VW dealer for assistance with this. They are in the best position to help you.</t>
  </si>
  <si>
    <t>2015-08-31T22:46:52.000Z</t>
  </si>
  <si>
    <t>https://twitter.com/VW/status/638483118890942464</t>
  </si>
  <si>
    <t>@_callieberry We’re very sorry for the inconvenience. If you’d like, DM us your email address and we’ll gladly reach out to you. #VWcares</t>
  </si>
  <si>
    <t>@_callieberry</t>
  </si>
  <si>
    <t>https://twitter.com/VW/status/638483117255168000</t>
  </si>
  <si>
    <t>@chezalize We want a world-class experience for you at our dealer. DM your email and we’ll be happy to reach out to you. #VWcares</t>
  </si>
  <si>
    <t>https://twitter.com/VW/status/638445767372357633</t>
  </si>
  <si>
    <t>@AliZelmat We’re sorry to hear this is happening. Please DM us your VIN and email so we can look into this further. #VWCares</t>
  </si>
  <si>
    <t>2015-08-31T20:18:27.000Z</t>
  </si>
  <si>
    <t>@AliZelmat</t>
  </si>
  <si>
    <t>https://twitter.com/VW/status/638445765858201600</t>
  </si>
  <si>
    <t>@dhoppas We’re very sorry for the delay, Derek. We’ll be sure to expedite your case so you receive a response soon. #VWcares</t>
  </si>
  <si>
    <t>2015-08-31T20:18:26.000Z</t>
  </si>
  <si>
    <t>https://twitter.com/VW/status/638445763903680516</t>
  </si>
  <si>
    <t>@Money_Bernie This is not the experience we want you to have. Please DM us your VIN and email so we can look into this further.</t>
  </si>
  <si>
    <t>@Bernardo_mk6</t>
  </si>
  <si>
    <t>https://twitter.com/VW/status/638442387119828992</t>
  </si>
  <si>
    <t>@jamiedmunday This is not the experience we want for you. Please DM us your VIN and email so we can research this further.</t>
  </si>
  <si>
    <t>2015-08-31T20:05:01.000Z</t>
  </si>
  <si>
    <t>@jamiedmunday</t>
  </si>
  <si>
    <t>https://twitter.com/VW/status/638439601581887488</t>
  </si>
  <si>
    <t>@dsteele7 We’re sorry to hear this, David. If there’s anything we can do to help, please reach out to us at http://vw.com/contact #VWcares</t>
  </si>
  <si>
    <t>2015-08-31T19:53:57.000Z</t>
  </si>
  <si>
    <t>@DJR_Steele</t>
  </si>
  <si>
    <t>https://twitter.com/VW/status/638427640651579392</t>
  </si>
  <si>
    <t>@elmejorvw Reach out to us at http://vw.com/contact, and we’d be happy to see if there are any on your VW.</t>
  </si>
  <si>
    <t>2015-08-31T19:06:25.000Z</t>
  </si>
  <si>
    <t>@elmejorvw</t>
  </si>
  <si>
    <t>https://twitter.com/VW/status/638412102743388161</t>
  </si>
  <si>
    <t>@MehrSujit We’re very sorry to hear this, Suj. We want a much better experience for you in your Passat TDI. #VWcares</t>
  </si>
  <si>
    <t>2015-08-31T18:04:41.000Z</t>
  </si>
  <si>
    <t>@MehrSujit</t>
  </si>
  <si>
    <t>https://twitter.com/VW/status/638412101497696256</t>
  </si>
  <si>
    <t>@AlliLane615 If there’s anything we can do to help, please reach out to us at http://vw.com/contact. We’re always listening! #VWcares</t>
  </si>
  <si>
    <t>2015-08-31T18:04:40.000Z</t>
  </si>
  <si>
    <t>@AlliLane615</t>
  </si>
  <si>
    <t>https://twitter.com/VW/status/638412098691698688</t>
  </si>
  <si>
    <t>@AlliLane615 While we’re glad to hear you liked your service at Gary Mathews, we’re sorry to hear you were unhappy with Hallmark Volkswagen.</t>
  </si>
  <si>
    <t>https://twitter.com/VW/status/637650362812399616</t>
  </si>
  <si>
    <t>@MatthewToto We’re sorry to hear this, Matt. Please reach out to us at http://vw.com/contact, we would like to hear more about it. #VWcares</t>
  </si>
  <si>
    <t>2015-08-29T15:37:48.000Z</t>
  </si>
  <si>
    <t>@MatthewToto</t>
  </si>
  <si>
    <t>https://twitter.com/VW/status/637345776285282304</t>
  </si>
  <si>
    <t>@mclaneadam Thank you for letting us know, Adam. Please reach out to us at 800-822-8987 if there’s anything we can do to help. #VWcares</t>
  </si>
  <si>
    <t>2015-08-28T19:27:29.000Z</t>
  </si>
  <si>
    <t>@mclaneadam</t>
  </si>
  <si>
    <t>https://twitter.com/VW/status/637343443975409664</t>
  </si>
  <si>
    <t>@maskhole61 We hear you, loud and clear! Stay tuned to http://media.vw.com for all our latest concepts and designs. #VWcares</t>
  </si>
  <si>
    <t>2015-08-28T19:18:12.000Z</t>
  </si>
  <si>
    <t>@maskhole61</t>
  </si>
  <si>
    <t>https://twitter.com/VW/status/637343441635028992</t>
  </si>
  <si>
    <t>@TheBrooklynLife Stay tuned to http://media.vw.com for all the latest! When the news arrives, it’ll appear there first! #VWcares</t>
  </si>
  <si>
    <t>@TheBrooklynLife</t>
  </si>
  <si>
    <t>https://twitter.com/VW/status/637343440150265856</t>
  </si>
  <si>
    <t>@TheBrooklynLife Since we haven’t released the 2016 Passat yet, we don’t have detailed information about the available features.</t>
  </si>
  <si>
    <t>https://twitter.com/VW/status/637343438048899072</t>
  </si>
  <si>
    <t>@JBickerton86 We’re sorry this happened. We’d like to learn more about it. Please DM us your VIN and email so we can research further</t>
  </si>
  <si>
    <t>2015-08-28T19:18:11.000Z</t>
  </si>
  <si>
    <t>@JBickerton86</t>
  </si>
  <si>
    <t>https://twitter.com/VW/status/637237699355656192</t>
  </si>
  <si>
    <t>@annewilmott One of our Region Case Managers will be reaching out to you today</t>
  </si>
  <si>
    <t>2015-08-28T12:18:01.000Z</t>
  </si>
  <si>
    <t>@aniwilmot</t>
  </si>
  <si>
    <t>https://twitter.com/VW/status/637235473266552832</t>
  </si>
  <si>
    <t>@rebeccalynn_xo If there’s anything we can do to help, please feel free to reach out to us at http://vw.com/contact. #VWcares</t>
  </si>
  <si>
    <t>2015-08-28T12:09:10.000Z</t>
  </si>
  <si>
    <t>https://twitter.com/VW/status/637235471328808960</t>
  </si>
  <si>
    <t>@rebeccalynn_xo We expect a world-class experience for you at our dealer, so we’re very sorry to hear this. #VWcares</t>
  </si>
  <si>
    <t>https://twitter.com/VW/status/637235469554593792</t>
  </si>
  <si>
    <t>@Drawbridge303 You’re welcome. It’s our pleasure to be able to help. Drive happy out there! #VWcares</t>
  </si>
  <si>
    <t>2015-08-28T12:09:09.000Z</t>
  </si>
  <si>
    <t>@Drawbridge303</t>
  </si>
  <si>
    <t>https://twitter.com/VW/status/637042430810832896</t>
  </si>
  <si>
    <t>@Carreno316 We would be happy to find out how we can help. Please DM your VIN and email and we'll contact you about your vehicle. #VWcares</t>
  </si>
  <si>
    <t>2015-08-27T23:22:05.000Z</t>
  </si>
  <si>
    <t>@Carreno316</t>
  </si>
  <si>
    <t>https://twitter.com/VW/status/637038037961015296</t>
  </si>
  <si>
    <t>@wrongdude We recommend checking out our parts website, http://parts.vw.com/vwparts/?searchText=lightning+cable&amp;action=searchAllCatalogs…, to locate a compatible lightning cable for your Golf TDI</t>
  </si>
  <si>
    <t>2015-08-27T23:04:38.000Z</t>
  </si>
  <si>
    <t>@wrongdude</t>
  </si>
  <si>
    <t>https://twitter.com/VW/status/637038036383961088</t>
  </si>
  <si>
    <t>@wrongdude Congratulations on your recent purchase! You have a great new member of your family.</t>
  </si>
  <si>
    <t>https://twitter.com/VW/status/637022795180830720</t>
  </si>
  <si>
    <t>@iHaleyElizabeth Please DM us your VIN and email so we can look into this further. This isn’t the experience we want for you. #VWCares</t>
  </si>
  <si>
    <t>2015-08-27T22:04:04.000Z</t>
  </si>
  <si>
    <t>https://twitter.com/VW/status/637022793004003328</t>
  </si>
  <si>
    <t>@GrantBoone87 This is not the experience we want for you. Please DM us your VIN and email &amp; we’d be happy to look into this further #VWCares</t>
  </si>
  <si>
    <t>2015-08-27T22:04:03.000Z</t>
  </si>
  <si>
    <t>@GrantBoone87</t>
  </si>
  <si>
    <t>https://twitter.com/VW/status/637011901973565440</t>
  </si>
  <si>
    <t>@simpsonjor We’re excited about your interest in a lease with VW. Please contact VW Credit, Inc. at 800-428-4034 for more info. #VWCares</t>
  </si>
  <si>
    <t>2015-08-27T21:20:47.000Z</t>
  </si>
  <si>
    <t>@simpsonjor</t>
  </si>
  <si>
    <t>https://twitter.com/VW/status/636873306688192512</t>
  </si>
  <si>
    <t>@annewilmott Driver satisfaction is important to us. Please DM us your Phone Number and VIN and we will make reaching out a priority</t>
  </si>
  <si>
    <t>2015-08-27T12:10:03.000Z</t>
  </si>
  <si>
    <t>https://twitter.com/VW/status/636640685970427904</t>
  </si>
  <si>
    <t>@lucretiab We regret we were unable to meet your expectations. If you have any future concerns, please feel free to reach out to us again.</t>
  </si>
  <si>
    <t>2015-08-26T20:45:42.000Z</t>
  </si>
  <si>
    <t>@lucretiab</t>
  </si>
  <si>
    <t>https://twitter.com/VW/status/636640684179505154</t>
  </si>
  <si>
    <t>@lucretiab We’re sorry to hear about your VW, Lucretia. It looks like you already had a chance to speak with one of our colleagues.</t>
  </si>
  <si>
    <t>2015-08-26T20:45:41.000Z</t>
  </si>
  <si>
    <t>https://twitter.com/VW/status/636607550515888128</t>
  </si>
  <si>
    <t>@Carreno316 We wanted a much better experience for you. Please DM us your email address and we’ll reach out to you to hear more. #VWcares</t>
  </si>
  <si>
    <t>2015-08-26T18:34:02.000Z</t>
  </si>
  <si>
    <t>https://twitter.com/VW/status/636561160532180992</t>
  </si>
  <si>
    <t>@Virginiazach We’re sorry to hear about your Tiguan. DM us your email address and we’ll gladly reach out to you. #VWcares</t>
  </si>
  <si>
    <t>2015-08-26T15:29:42.000Z</t>
  </si>
  <si>
    <t>@Virginiazach</t>
  </si>
  <si>
    <t>https://twitter.com/VW/status/636510748043161600</t>
  </si>
  <si>
    <t>@thefuture_00 Driver satisfaction is important to us. Please DM us your VIN and Phone Number and we will make reaching out to you a priority</t>
  </si>
  <si>
    <t>2015-08-26T12:09:22.000Z</t>
  </si>
  <si>
    <t>@thefuture_00</t>
  </si>
  <si>
    <t>https://twitter.com/VW/status/636299292014022656</t>
  </si>
  <si>
    <t>@rob_sparkman This is not the experience we want for you, Rob. Please DM us your VIN and email so we can research this further. #VWCares</t>
  </si>
  <si>
    <t>2015-08-25T22:09:07.000Z</t>
  </si>
  <si>
    <t>@rob_sparkman</t>
  </si>
  <si>
    <t>https://twitter.com/VW/status/636292526933065728</t>
  </si>
  <si>
    <t>@cikanman We don’t have that info just yet, but it’s coming soon. Stay tuned to http://media.vw.com for the latest news! #VWcares</t>
  </si>
  <si>
    <t>2015-08-25T21:42:14.000Z</t>
  </si>
  <si>
    <t>@cikanman</t>
  </si>
  <si>
    <t>https://twitter.com/VW/status/636263913097551872</t>
  </si>
  <si>
    <t>@dianathekidd If there’s anything we can do to help, please reach out to us at http://vw.com/contact. #VWcares</t>
  </si>
  <si>
    <t>2015-08-25T19:48:32.000Z</t>
  </si>
  <si>
    <t>@dianathekidd</t>
  </si>
  <si>
    <t>https://twitter.com/VW/status/636235267569922049</t>
  </si>
  <si>
    <t>@SelfieRob We’re very sorry to hear this, Rob. DM us your email address and we’ll be more than happy to contact you to hear more. #VWcares</t>
  </si>
  <si>
    <t>2015-08-25T17:54:43.000Z</t>
  </si>
  <si>
    <t>@RobertOttone</t>
  </si>
  <si>
    <t>https://twitter.com/VW/status/636235266353577984</t>
  </si>
  <si>
    <t>@alexcharletta We would be happy to see how we can help. DM us your VIN and email and we’ll be glad to reach out to you. #VWcares</t>
  </si>
  <si>
    <t>2015-08-25T17:54:42.000Z</t>
  </si>
  <si>
    <t>https://twitter.com/VW/status/636235264763953152</t>
  </si>
  <si>
    <t>@alexcharletta We want your ownership to be carefree, so we’re very sorry to hear you’ve been having concerns with your Jetta. #VWcares</t>
  </si>
  <si>
    <t>https://twitter.com/VW/status/636235263253987328</t>
  </si>
  <si>
    <t>@patmoynihan39 This is not the experience we want for our drivers. Please DM us your VIN and email so we can look into this further.</t>
  </si>
  <si>
    <t>@patmoynihan39</t>
  </si>
  <si>
    <t>https://twitter.com/VW/status/636235261001760768</t>
  </si>
  <si>
    <t>@DBessLady If there is anything more we can do to help, please don’t hesitate to let us know.</t>
  </si>
  <si>
    <t>2015-08-25T17:54:41.000Z</t>
  </si>
  <si>
    <t>https://twitter.com/VW/status/636235258883645440</t>
  </si>
  <si>
    <t>@DBessLady This is not the experience we want for you. We see you’re working with one of our colleagues.</t>
  </si>
  <si>
    <t>https://twitter.com/VW/status/636145108543344640</t>
  </si>
  <si>
    <t>@summer_elite We would be happy to see how we might be able to help. DM us your VIN and email and we’ll gladly reach out to you. #VWcares</t>
  </si>
  <si>
    <t>2015-08-25T11:56:27.000Z</t>
  </si>
  <si>
    <t>@summer_elite</t>
  </si>
  <si>
    <t>https://twitter.com/VW/status/636145106341396480</t>
  </si>
  <si>
    <t>@summer_elite We want your dealership experience to be easy and carefree, so we’re sorry to hear this. #VWcares</t>
  </si>
  <si>
    <t>https://twitter.com/VW/status/635862333718315008</t>
  </si>
  <si>
    <t>@morgandircks If you would like us to follow up on your appointment, feel free to reach out to us at http://vw.com/contact. #VWcares</t>
  </si>
  <si>
    <t>2015-08-24T17:12:48.000Z</t>
  </si>
  <si>
    <t>@morgandircks</t>
  </si>
  <si>
    <t>https://twitter.com/VW/status/635862331239501824</t>
  </si>
  <si>
    <t>@morgandircks We want your Bug smelling good! Your local VW dealer will be in the best position to assist you with your concerns. #VWcares</t>
  </si>
  <si>
    <t>https://twitter.com/VW/status/635862329993723905</t>
  </si>
  <si>
    <t>@CPonPatrol We would be glad to hear more about what happened. Please reach out to us at http://vw.com/contact. #VWcares</t>
  </si>
  <si>
    <t>2015-08-24T17:12:47.000Z</t>
  </si>
  <si>
    <t>@CPonPatrol</t>
  </si>
  <si>
    <t>https://twitter.com/VW/status/635862328211210240</t>
  </si>
  <si>
    <t>@CPonPatrol We want a world-class experience for you at our dealerships, so we apologize you had concerns at yours. #VWcares</t>
  </si>
  <si>
    <t>https://twitter.com/VW/status/635862326927712257</t>
  </si>
  <si>
    <t>@jesslovesjonesy We would be happy to hear more about your concerns. Please DM your email and we’ll be glad to reach out to you. #VWcares</t>
  </si>
  <si>
    <t>@jesslovesjonesy</t>
  </si>
  <si>
    <t>https://twitter.com/VW/status/635862325182926848</t>
  </si>
  <si>
    <t>@jesslovesjonesy We’re sorry to hear about your Jetta, Jess. We wanted your experience to be easy and carefree. #VWcares</t>
  </si>
  <si>
    <t>2015-08-24T17:12:46.000Z</t>
  </si>
  <si>
    <t>https://twitter.com/VW/status/635860232174854145</t>
  </si>
  <si>
    <t>@Wreckinjoint We’re very sorry this has been your experience. DM us your email and we’ll be happy to contact you to hear more. #VWcares</t>
  </si>
  <si>
    <t>2015-08-24T17:04:27.000Z</t>
  </si>
  <si>
    <t>@Wreckinjoint</t>
  </si>
  <si>
    <t>https://twitter.com/VW/status/635860225937899520</t>
  </si>
  <si>
    <t>@da_goodman We’re sorry this happened, Kyle. DM us your VIN and email and we’ll gladly reach out to you to find out more. #VWcares</t>
  </si>
  <si>
    <t>2015-08-24T17:04:26.000Z</t>
  </si>
  <si>
    <t>https://twitter.com/VW/status/635812244434087936</t>
  </si>
  <si>
    <t>We’re living in an age of convenience. Stay with the times–schedule your VW Service online. http://bit.ly/1gogQVJ</t>
  </si>
  <si>
    <t>2015-08-24T13:53:46.000Z</t>
  </si>
  <si>
    <t>https://twitter.com/VW/status/635775086822187008</t>
  </si>
  <si>
    <t>@RubySlipp3rs Yes, they can be copies. Just make sure to include the repair order and proof of payment.</t>
  </si>
  <si>
    <t>2015-08-24T11:26:07.000Z</t>
  </si>
  <si>
    <t>https://twitter.com/VW/status/635131460375085056</t>
  </si>
  <si>
    <t>@RubySlipp3rs Please send mail to our Reimbursement Department at 3800 Hamlin Rd, Auburn Hills, MI 48326</t>
  </si>
  <si>
    <t>2015-08-22T16:48:34.000Z</t>
  </si>
  <si>
    <t>https://twitter.com/VW/status/634746727245979649</t>
  </si>
  <si>
    <t>@Too_FREShh22 If you would like, DM us your email and VIN and we’ll gladly reach out to you to discuss your vehicle. #VWcares</t>
  </si>
  <si>
    <t>2015-08-21T15:19:47.000Z</t>
  </si>
  <si>
    <t>https://twitter.com/VW/status/634744631666806785</t>
  </si>
  <si>
    <t>@Too_FREShh22 Great question, Buddy. Our recall campaigns are VIN-specific, so you can check http://vw.com/content/vwcom/en/owners-recalls.html… to find out. #VWcares</t>
  </si>
  <si>
    <t>2015-08-21T15:11:27.000Z</t>
  </si>
  <si>
    <t>https://twitter.com/VW/status/634744630073028609</t>
  </si>
  <si>
    <t>@jefferyholmes We would be happy to see how we might be able to help. DM your VIN and email and we’ll gladly reach out to you. #VWcares</t>
  </si>
  <si>
    <t>@jefferyholmes</t>
  </si>
  <si>
    <t>https://twitter.com/VW/status/634744627829055488</t>
  </si>
  <si>
    <t>@jefferyholmes We’re very sorry to hear about your VW, Jeff. We want your ownership to be carefree. #VWcares</t>
  </si>
  <si>
    <t>2015-08-21T15:11:26.000Z</t>
  </si>
  <si>
    <t>https://twitter.com/VW/status/634703965284794369</t>
  </si>
  <si>
    <t>@jhshoe Please feel free to reach out to us again if you would like to discuss your vehicle further. We’re always listening.</t>
  </si>
  <si>
    <t>2015-08-21T12:29:52.000Z</t>
  </si>
  <si>
    <t>https://twitter.com/VW/status/634703963732901888</t>
  </si>
  <si>
    <t>@jhshoe We want your ownership to be carefree. We’re very sorry we weren’t able to meet your expectations for a resolution.</t>
  </si>
  <si>
    <t>2015-08-21T12:29:51.000Z</t>
  </si>
  <si>
    <t>https://twitter.com/VW/status/634703962311004161</t>
  </si>
  <si>
    <t>@DCDanKing We would be glad to reach out to you. DM your email address and we’ll make it a priority. #VWcares</t>
  </si>
  <si>
    <t>@DCDanKing</t>
  </si>
  <si>
    <t>https://twitter.com/VW/status/634703960729776128</t>
  </si>
  <si>
    <t>@DCDanKing We want your ownership to be carefree, so we’re very sorry to hear about your experience. #VWcares</t>
  </si>
  <si>
    <t>https://twitter.com/VW/status/634499032983969792</t>
  </si>
  <si>
    <t>@ShirleyCallis We want you to enjoy everything in your car. We’re sorry to hear about your radio. DM us your VIN &amp; email so we can research</t>
  </si>
  <si>
    <t>2015-08-20T22:55:32.000Z</t>
  </si>
  <si>
    <t>@ShirleyCallis</t>
  </si>
  <si>
    <t>https://twitter.com/VW/status/634499029477556224</t>
  </si>
  <si>
    <t>@megan_c_rose We’re sorry to hear about the repeat concerns with your vehicle. Please DM us your email and VIN so we can research more</t>
  </si>
  <si>
    <t>2015-08-20T22:55:31.000Z</t>
  </si>
  <si>
    <t>@AugustusLeopol</t>
  </si>
  <si>
    <t>https://twitter.com/VW/status/634499027543965696</t>
  </si>
  <si>
    <t>@AimeireaCluaran We recommend reaching out to VW Credit directly, as they would be in the best position to assist you.</t>
  </si>
  <si>
    <t>@AimeireaCluaran</t>
  </si>
  <si>
    <t>https://twitter.com/VW/status/634499024863784961</t>
  </si>
  <si>
    <t>@AimeireaCluaran We hope for a better experience for our drivers, and we’re sorry to hear this happened.</t>
  </si>
  <si>
    <t>2015-08-20T22:55:30.000Z</t>
  </si>
  <si>
    <t>https://twitter.com/VW/status/634499021726445568</t>
  </si>
  <si>
    <t>@hectorarce VW Customer CARE section</t>
  </si>
  <si>
    <t>2015-08-20T22:55:29.000Z</t>
  </si>
  <si>
    <t>@hectorarce</t>
  </si>
  <si>
    <t>https://twitter.com/VW/status/634148810495623168</t>
  </si>
  <si>
    <t>@vonnestar We’re happy to research this further. Please DM us your VIN and email so we can look into this more.</t>
  </si>
  <si>
    <t>2015-08-19T23:43:52.000Z</t>
  </si>
  <si>
    <t>@vonnestar</t>
  </si>
  <si>
    <t>https://twitter.com/VW/status/634087535610736640</t>
  </si>
  <si>
    <t>@streit_andy If there’s anything we can do to help, please reach out to us at http://vw.com/contact. #VWcares</t>
  </si>
  <si>
    <t>2015-08-19T19:40:23.000Z</t>
  </si>
  <si>
    <t>@lotzof_gas</t>
  </si>
  <si>
    <t>https://twitter.com/VW/status/634087534029504512</t>
  </si>
  <si>
    <t>@streit_andy We’re very sorry for the inconvenience, Andy. We hoped for a much better experience for you. #VWcares</t>
  </si>
  <si>
    <t>https://twitter.com/VW/status/634055529027887104</t>
  </si>
  <si>
    <t>@holleymatt We’re sorry to hear this happened. Please DM us your VIN and email so we can look into this further. #VWCares</t>
  </si>
  <si>
    <t>2015-08-19T17:33:12.000Z</t>
  </si>
  <si>
    <t>https://twitter.com/VW/status/634053425949315072</t>
  </si>
  <si>
    <t>@Jay2daCnE For more help, please contact your local VW dealer.  You can find your nearest dealer here: http://vw.com/find-a-dealer/.</t>
  </si>
  <si>
    <t>2015-08-19T17:24:51.000Z</t>
  </si>
  <si>
    <t>@Jay2daCnE</t>
  </si>
  <si>
    <t>https://twitter.com/VW/status/634038458097401856</t>
  </si>
  <si>
    <t>@BobbyFantast1c We’re sorry you’re facing concerns with your VW. Please reach out to us at http://vw.com/contact so we can hear more.</t>
  </si>
  <si>
    <t>2015-08-19T16:25:22.000Z</t>
  </si>
  <si>
    <t>@BobbyFantast1c</t>
  </si>
  <si>
    <t>https://twitter.com/VW/status/633728873377599488</t>
  </si>
  <si>
    <t>@Bluewatertang Your satisfaction is important to us. Please DM us your VIN and Phone Number and we will make reaching out to you a priority</t>
  </si>
  <si>
    <t>2015-08-18T19:55:12.000Z</t>
  </si>
  <si>
    <t>@Bluewatertang</t>
  </si>
  <si>
    <t>https://twitter.com/VW/status/633703384617484288</t>
  </si>
  <si>
    <t>@TheKittyBoss We’re sorry this happened. If you’d like to share more of your experience, please reach out to us at http://vw.com/contact</t>
  </si>
  <si>
    <t>2015-08-18T18:13:55.000Z</t>
  </si>
  <si>
    <t>https://twitter.com/VW/status/633703382864281600</t>
  </si>
  <si>
    <t>@lhoagz We appreciate your loyalty and would like to find out how we can help. DM us your email and we’ll gladly reach out to you. #VWcares</t>
  </si>
  <si>
    <t>2015-08-18T18:13:54.000Z</t>
  </si>
  <si>
    <t>@lhoagz</t>
  </si>
  <si>
    <t>https://twitter.com/VW/status/633703380318298113</t>
  </si>
  <si>
    <t>@lhoagz We sincerely apologize, Lauren. This is not the kind of experience we wanted for you with Roadside Assistance. #VWcares</t>
  </si>
  <si>
    <t>https://twitter.com/VW/status/633703377692696576</t>
  </si>
  <si>
    <t>@RealJackM If it’s more convenient for you, you can DM us your VIN and email, and we’d be happy to reach out to you</t>
  </si>
  <si>
    <t>2015-08-18T18:13:53.000Z</t>
  </si>
  <si>
    <t>@RealJackM</t>
  </si>
  <si>
    <t>https://twitter.com/VW/status/633703375515840513</t>
  </si>
  <si>
    <t>@RealJackM We’re happy to research any campaigns that may apply to your VW. Reach out to us at http://vw.com/contact</t>
  </si>
  <si>
    <t>https://twitter.com/VW/status/633677738612649984</t>
  </si>
  <si>
    <t>@hectorarce If you’d like to share more about your time with the dealer, please feel free to reach out to us at http://vw.com/contact</t>
  </si>
  <si>
    <t>2015-08-18T16:32:00.000Z</t>
  </si>
  <si>
    <t>https://twitter.com/VW/status/633677737048190976</t>
  </si>
  <si>
    <t>@hectorarce We’re sorry to hear this happened, Hector. This is not the experience we want you to have with our dealers.</t>
  </si>
  <si>
    <t>https://twitter.com/VW/status/633677735848611840</t>
  </si>
  <si>
    <t>@UmarEazyE We see you’re currently working with our colleagues. Please let us know if there’s anything more we can do to help. #VWcares</t>
  </si>
  <si>
    <t>@UmarEazyE</t>
  </si>
  <si>
    <t>https://twitter.com/VW/status/633394316262678529</t>
  </si>
  <si>
    <t>@JHendrix6426 You can register to receive recall info for your vehicle by reaching out to Customer CARE at http://vw.com/contact. #VWcares</t>
  </si>
  <si>
    <t>2015-08-17T21:45:47.000Z</t>
  </si>
  <si>
    <t>https://twitter.com/VW/status/633392125372010496</t>
  </si>
  <si>
    <t>@ohheyitsbenj Please DM us your email address and we’ll gladly reach out to you to hear more about what happened. #VWcares</t>
  </si>
  <si>
    <t>2015-08-17T21:37:05.000Z</t>
  </si>
  <si>
    <t>https://twitter.com/VW/status/633392123694329861</t>
  </si>
  <si>
    <t>@ohheyitsbenj This is not the experience we wanted for you at our dealership and we’d be happy to talk about your experience. #VWcares</t>
  </si>
  <si>
    <t>2015-08-17T21:37:04.000Z</t>
  </si>
  <si>
    <t>https://twitter.com/VW/status/633392122469572608</t>
  </si>
  <si>
    <t>@runa5kate We’re happy to find out how we might be able to help. You can reach out to us at http://vw.com/contact. #VWcares</t>
  </si>
  <si>
    <t>@runa5kate</t>
  </si>
  <si>
    <t>https://twitter.com/VW/status/633392121035132928</t>
  </si>
  <si>
    <t>@runa5kate We want a world-class experience for you at our dealer, so we’re sorry to hear yours was any less than that. #VWcares</t>
  </si>
  <si>
    <t>https://twitter.com/VW/status/633392118459863040</t>
  </si>
  <si>
    <t>@jaseduke We’re sorry to hear you’re having concerns with your new GTI. We want your ownership to be easy and carefree. #VWcares</t>
  </si>
  <si>
    <t>2015-08-17T21:37:03.000Z</t>
  </si>
  <si>
    <t>https://twitter.com/VW/status/633392115523842048</t>
  </si>
  <si>
    <t>@chrisb17x We’re sorry you’re facing concerns with your VW. Please DM us your VIN and email, and we’d be happy to research this further.</t>
  </si>
  <si>
    <t>2015-08-17T21:37:02.000Z</t>
  </si>
  <si>
    <t>@chrisb17x</t>
  </si>
  <si>
    <t>https://twitter.com/VW/status/633392111820259328</t>
  </si>
  <si>
    <t>@H0M0Hick We’re sorry to hear you’re facing concerns with your Car-Net. Please DM us your VIN and email, and we’d be happy to look into this</t>
  </si>
  <si>
    <t>2015-08-17T21:37:01.000Z</t>
  </si>
  <si>
    <t>@SiagonCorndog</t>
  </si>
  <si>
    <t>https://twitter.com/VW/status/633389878890246144</t>
  </si>
  <si>
    <t>@vonnestar Feel free to reach out to us at http://vw.com/contact if you’d like us to research any campaigns that may apply to your Tiguan</t>
  </si>
  <si>
    <t>2015-08-17T21:28:09.000Z</t>
  </si>
  <si>
    <t>https://twitter.com/VW/status/633389877522907136</t>
  </si>
  <si>
    <t>@vonnestar Great question, Yvonne. If your VW is part of a recall, your local VW dealer will take care of it at no cost to you.</t>
  </si>
  <si>
    <t>https://twitter.com/VW/status/633389876411396096</t>
  </si>
  <si>
    <t>@notcoolnuf2twt They will be reaching out to you soon. If you need anything in the meantime, please let us know.</t>
  </si>
  <si>
    <t>@notcoolnuf2twt</t>
  </si>
  <si>
    <t>https://twitter.com/VW/status/633389874905636864</t>
  </si>
  <si>
    <t>@notcoolnuf2twt This is not the experience we want you to have. We see one of our colleagues is actively reviewing your concerns.</t>
  </si>
  <si>
    <t>2015-08-17T21:28:08.000Z</t>
  </si>
  <si>
    <t>https://twitter.com/VW/status/633344554708566016</t>
  </si>
  <si>
    <t>@yschimke We’re sorry to hear this happened, Yuri. We’d like to look into this. Please DM us your VIN and email so we can research further.</t>
  </si>
  <si>
    <t>2015-08-17T18:28:03.000Z</t>
  </si>
  <si>
    <t>@yschimke</t>
  </si>
  <si>
    <t>https://twitter.com/VW/status/633344553089523713</t>
  </si>
  <si>
    <t>@Art_E_Miss_ This is not the experience we want you to have. Please DM us your VIN and email so we can look into this further.</t>
  </si>
  <si>
    <t>https://twitter.com/VW/status/633342519514763265</t>
  </si>
  <si>
    <t>@AndresMIguel We’re sorry Rick Case didn’t contact you. If you’d like us to reach out on your behalf, let us know http://vw.com/contact</t>
  </si>
  <si>
    <t>2015-08-17T18:19:58.000Z</t>
  </si>
  <si>
    <t>@surfisup123</t>
  </si>
  <si>
    <t>https://twitter.com/VW/status/633342518206164992</t>
  </si>
  <si>
    <t>@MrOsqui If you'd like, DM us your email address and VIN and we’ll gladly reach out to you with the information you’re looking for. #VWcares</t>
  </si>
  <si>
    <t>2015-08-17T18:19:57.000Z</t>
  </si>
  <si>
    <t>@MrOsqui</t>
  </si>
  <si>
    <t>https://twitter.com/VW/status/633342516557819904</t>
  </si>
  <si>
    <t>@MrOsqui We’re glad you’d like to know about any possible recalls for your VW. You can check for open recalls at http://vw.com/content/vwcom/en/owners-recalls.html….</t>
  </si>
  <si>
    <t>https://twitter.com/VW/status/632963976788373505</t>
  </si>
  <si>
    <t>It’s been a long road, but @VW &amp; #FoodNetworkStar will reveal the winner on tonight’s finale at 9/8c on @FoodNetwork.</t>
  </si>
  <si>
    <t>2015-08-16T17:15:46.000Z</t>
  </si>
  <si>
    <t>https://twitter.com/VW/status/632646668316471296</t>
  </si>
  <si>
    <t>After a tough final race, the #VWGRC team is looking forward to coming out on top in Los Angeles next month.</t>
  </si>
  <si>
    <t>2015-08-15T20:14:54.000Z</t>
  </si>
  <si>
    <t>https://twitter.com/VW/status/632625697283043328</t>
  </si>
  <si>
    <t>Number 41 @scottspeed cruises past the competition to take 1st place in the #RedBullGRC LCQ round. #VWGRC</t>
  </si>
  <si>
    <t>2015-08-15T18:51:34.000Z</t>
  </si>
  <si>
    <t>https://twitter.com/VW/status/632596503996026880</t>
  </si>
  <si>
    <t>Number 34 @TannerFoust gets some air and automatically advances to the final after Heat 2A.</t>
  </si>
  <si>
    <t>2015-08-15T16:55:34.000Z</t>
  </si>
  <si>
    <t>https://twitter.com/VW/status/632561566211305472</t>
  </si>
  <si>
    <t>Another beautiful day for #RedBullGRC racing in the nation's capital. #VWGRC</t>
  </si>
  <si>
    <t>2015-08-15T14:36:44.000Z</t>
  </si>
  <si>
    <t>https://twitter.com/VW/status/632343350348124160</t>
  </si>
  <si>
    <t>@yadimmedore We would be happy to find out how we might be able to help. DM your email address and we’ll gladly reach out to you. #VWcares</t>
  </si>
  <si>
    <t>2015-08-15T00:09:37.000Z</t>
  </si>
  <si>
    <t>https://twitter.com/VW/status/632343348116721664</t>
  </si>
  <si>
    <t>@yadimmedore We want every mile in your Jetta to be something to smile about, so we’re sorry to hear about your radio concerns. #VWcares</t>
  </si>
  <si>
    <t>https://twitter.com/VW/status/632343346413895680</t>
  </si>
  <si>
    <t>@Chewybbq This is not the kind of experience we want for you. DM us your email and we’ll be happy to reach out to you. #VWcares</t>
  </si>
  <si>
    <t>2015-08-15T00:09:36.000Z</t>
  </si>
  <si>
    <t>@Chewybbq</t>
  </si>
  <si>
    <t>https://twitter.com/VW/status/632321910173528064</t>
  </si>
  <si>
    <t>The #VWGRC team wraps up 2nd place in both Heat 1A and B to end the day!</t>
  </si>
  <si>
    <t>2015-08-14T22:44:26.000Z</t>
  </si>
  <si>
    <t>https://twitter.com/VW/status/632300603226501120</t>
  </si>
  <si>
    <t>Qualifying for tonight's heat, @scottspeed and @TannerFoust took 2nd and 5th respectively. #VWGRC #RedBullGRC</t>
  </si>
  <si>
    <t>2015-08-14T21:19:46.000Z</t>
  </si>
  <si>
    <t>https://twitter.com/VW/status/632274340793450496</t>
  </si>
  <si>
    <t>Speed finishes the second session of #RedBullGRC practice in a close 2nd with teammate Foust closing out the top 5.</t>
  </si>
  <si>
    <t>2015-08-14T19:35:24.000Z</t>
  </si>
  <si>
    <t>https://twitter.com/VW/status/632247924844425216</t>
  </si>
  <si>
    <t>@jen_wanders We would be happy to follow up on your appointment, if you would like. Just reach out to us at http://vw.com/contact #VWcares</t>
  </si>
  <si>
    <t>2015-08-14T17:50:26.000Z</t>
  </si>
  <si>
    <t>https://twitter.com/VW/status/632247923418378240</t>
  </si>
  <si>
    <t>@jen_wanders We want your Jetta turning heads in a good way! We recommend speaking with your local VW dealer for assistance with this.</t>
  </si>
  <si>
    <t>https://twitter.com/VW/status/632241536084918272</t>
  </si>
  <si>
    <t>Fastest time in the #RedBullGRC practice round goes to #VWGRC's own @scottspeed</t>
  </si>
  <si>
    <t>2015-08-14T17:25:03.000Z</t>
  </si>
  <si>
    <t>https://twitter.com/VW/status/632218214920011778</t>
  </si>
  <si>
    <t>#VWGRC Teammates tag team the #RedBullGRC DC Course Preview.</t>
  </si>
  <si>
    <t>2015-08-14T15:52:23.000Z</t>
  </si>
  <si>
    <t>https://twitter.com/VW/status/632190769797931008</t>
  </si>
  <si>
    <t>Team @TannerFoust &amp; Team @scottspeed left the track behind in a battle of wits at #EscapeRoomDC. #AlwaysRacing #VWGRC</t>
  </si>
  <si>
    <t>2015-08-14T14:03:19.000Z</t>
  </si>
  <si>
    <t>https://twitter.com/VW/status/632171230032822272</t>
  </si>
  <si>
    <t>@MindyMusco DM us your email address and we’ll reach out to you as soon as we can. #VWcares</t>
  </si>
  <si>
    <t>2015-08-14T12:45:41.000Z</t>
  </si>
  <si>
    <t>@PBjunkie2023</t>
  </si>
  <si>
    <t>https://twitter.com/VW/status/632171227986030592</t>
  </si>
  <si>
    <t>@MindyMusco We’re very sorry to hear your experience at our dealer was anything less than spectacular. We’d like to hear more. #VWcares</t>
  </si>
  <si>
    <t>2015-08-14T12:45:40.000Z</t>
  </si>
  <si>
    <t>https://twitter.com/VW/status/632171225033277442</t>
  </si>
  <si>
    <t>@CoreyRants We’re sorry this is happening. We see you are working with one of our colleagues, and they will be reaching out to you soon.</t>
  </si>
  <si>
    <t>2015-08-14T12:45:39.000Z</t>
  </si>
  <si>
    <t>@BlizzardCookie</t>
  </si>
  <si>
    <t>https://twitter.com/VW/status/631908883183726592</t>
  </si>
  <si>
    <t>@mdenny7777 This is not the experience we want you to have. Please DM us your VIN and email so we can look into this further.</t>
  </si>
  <si>
    <t>2015-08-13T19:23:12.000Z</t>
  </si>
  <si>
    <t>@mdenny7777</t>
  </si>
  <si>
    <t>https://twitter.com/VW/status/631830267703857153</t>
  </si>
  <si>
    <t>@NicolaMac We’re sorry this happened with the dealer. Our colleagues at VW Credit, 800-428-4034, may be able to answer your questions.</t>
  </si>
  <si>
    <t>2015-08-13T14:10:49.000Z</t>
  </si>
  <si>
    <t>@NicolaMac</t>
  </si>
  <si>
    <t>https://twitter.com/VW/status/631534811732054016</t>
  </si>
  <si>
    <t>@seanmcfarland1 Please DM us your VIN and email so we can look into this further.</t>
  </si>
  <si>
    <t>2015-08-12T18:36:47.000Z</t>
  </si>
  <si>
    <t>@seanmcfarland1</t>
  </si>
  <si>
    <t>https://twitter.com/VW/status/631534803133689856</t>
  </si>
  <si>
    <t>@Amyladd80 We apologize for not meeting your expectations. If you have need of us in the future, please let us know.</t>
  </si>
  <si>
    <t>2015-08-12T18:36:45.000Z</t>
  </si>
  <si>
    <t>@Amyladd80</t>
  </si>
  <si>
    <t>https://twitter.com/VW/status/631534800390586368</t>
  </si>
  <si>
    <t>@Amyladd80 Our hope is for you to have a carefree experience, and we’re sorry yours was not. We look into everything on an individual basis</t>
  </si>
  <si>
    <t>2015-08-12T18:36:44.000Z</t>
  </si>
  <si>
    <t>https://twitter.com/VW/status/631534797475581952</t>
  </si>
  <si>
    <t>@GowthamS2020 We would be glad to reach out to you to see how we might be able to help. DM your email and we’ll make it a priority. #VWcares</t>
  </si>
  <si>
    <t>2015-08-12T18:36:43.000Z</t>
  </si>
  <si>
    <t>https://twitter.com/VW/status/631534795906945024</t>
  </si>
  <si>
    <t>@GowthamS2020 We’re sorry to hear this. We wanted your experience at our dealership to be easy and carefree. #VWcares</t>
  </si>
  <si>
    <t>@GowthamS2020</t>
  </si>
  <si>
    <t>https://twitter.com/VW/status/631534794111762432</t>
  </si>
  <si>
    <t>@Erinn_2nns We would be happy to see how we might be able to help. DM your email and we’ll gladly reach out to you. #VWcares</t>
  </si>
  <si>
    <t>2015-08-12T18:36:42.000Z</t>
  </si>
  <si>
    <t>@Erinn_2nns</t>
  </si>
  <si>
    <t>https://twitter.com/VW/status/631534791905579008</t>
  </si>
  <si>
    <t>@Erinn_2nns We want your ownership to be something to smile about, so we’re very sorry to hear you’ve had concerns with your CC. #VWcares</t>
  </si>
  <si>
    <t>https://twitter.com/VW/status/631534790676582400</t>
  </si>
  <si>
    <t>@ryanlmurphy We’re happy to follow up with your appointment, if you’d like to reach out to us with more info at http://vw.com/contact</t>
  </si>
  <si>
    <t>@ryanlmurphy</t>
  </si>
  <si>
    <t>https://twitter.com/VW/status/631534788504068097</t>
  </si>
  <si>
    <t>@ryanlmurphy We’re sorry to hear you’re facing corrosion concerns. We recommend contacting your local VW dealer to find out the next steps</t>
  </si>
  <si>
    <t>2015-08-12T18:36:41.000Z</t>
  </si>
  <si>
    <t>https://twitter.com/VW/status/631534780945821696</t>
  </si>
  <si>
    <t>@seanmcfarland1 Our hope is for our drivers and dealers to have a great relationship. We’d like to hear more about what’s happening.</t>
  </si>
  <si>
    <t>2015-08-12T18:36:39.000Z</t>
  </si>
  <si>
    <t>https://twitter.com/VW/status/631442902435110912</t>
  </si>
  <si>
    <t>@NicolaMac Each one is different, and may have varied incentives regarding lease turn-ins. They are best placed to answer your questions.</t>
  </si>
  <si>
    <t>2015-08-12T12:31:34.000Z</t>
  </si>
  <si>
    <t>https://twitter.com/VW/status/631442899201163265</t>
  </si>
  <si>
    <t>@NicolaMac Thanks for your interest! We recommend reaching out to your local dealer for further assistance.</t>
  </si>
  <si>
    <t>2015-08-12T12:31:33.000Z</t>
  </si>
  <si>
    <t>https://twitter.com/VW/status/631223813779255296</t>
  </si>
  <si>
    <t>@pdangriff If you'd like to tell us more about your experience, please reach out to us at http://vw.com/contact #VWCares</t>
  </si>
  <si>
    <t>2015-08-11T22:00:59.000Z</t>
  </si>
  <si>
    <t>@pdangriff</t>
  </si>
  <si>
    <t>https://twitter.com/VW/status/631223793902419969</t>
  </si>
  <si>
    <t>@pdangriff We’re sorry to hear this is happening. We recommend contacting your local VW dealer, as they're in the best position to help.</t>
  </si>
  <si>
    <t>2015-08-11T22:00:54.000Z</t>
  </si>
  <si>
    <t>https://twitter.com/VW/status/631223765188227072</t>
  </si>
  <si>
    <t>@KelseyLCreech We’re sorry to hear this is happening. Please DM us your VIN and email so we can look into this further.</t>
  </si>
  <si>
    <t>2015-08-11T22:00:47.000Z</t>
  </si>
  <si>
    <t>@KelseyLCreech</t>
  </si>
  <si>
    <t>https://twitter.com/VW/status/631223757017776128</t>
  </si>
  <si>
    <t>@bl0ndiex88 Please reach out to us at http://vw.com/contact. We want you out enjoying your VW, and look forward to hearing from you soon.</t>
  </si>
  <si>
    <t>2015-08-11T22:00:45.000Z</t>
  </si>
  <si>
    <t>https://twitter.com/VW/status/631223740655800320</t>
  </si>
  <si>
    <t>@whitneyeldridge This is not the experience we want for you, Whitney. Please DM us your VIN and email so we can look into this further.</t>
  </si>
  <si>
    <t>2015-08-11T22:00:41.000Z</t>
  </si>
  <si>
    <t>@whitneyeldridge</t>
  </si>
  <si>
    <t>https://twitter.com/VW/status/630866424148328448</t>
  </si>
  <si>
    <t>@craige_87 They are in the best position to look into your concerns further. #VWcares</t>
  </si>
  <si>
    <t>2015-08-10T22:20:51.000Z</t>
  </si>
  <si>
    <t>@craige_87</t>
  </si>
  <si>
    <t>https://twitter.com/VW/status/630866421598154759</t>
  </si>
  <si>
    <t>@craige_87 This is not the experience we want for you. We recommend reaching out to @UKVolkswagen.</t>
  </si>
  <si>
    <t>2015-08-10T22:20:50.000Z</t>
  </si>
  <si>
    <t>https://twitter.com/VW/status/630858795527180288</t>
  </si>
  <si>
    <t>@redban We’re very sorry to hear this, Brian. DM your email and we’ll gladly reach out to you to learn more about what happened. #VWcares</t>
  </si>
  <si>
    <t>2015-08-10T21:50:32.000Z</t>
  </si>
  <si>
    <t>@redban</t>
  </si>
  <si>
    <t>https://twitter.com/VW/status/630858792557678592</t>
  </si>
  <si>
    <t>@blabbermouthaz We would be glad to see how we might be able to help. One of our colleagues will reach out to you soon. #VWcares</t>
  </si>
  <si>
    <t>2015-08-10T21:50:31.000Z</t>
  </si>
  <si>
    <t>https://twitter.com/VW/status/630858780788568065</t>
  </si>
  <si>
    <t>@blabbermouthaz We’re sorry to hear you’re having concerns with the Navigation in your Passat. We want a much better experience for you.</t>
  </si>
  <si>
    <t>2015-08-10T21:50:28.000Z</t>
  </si>
  <si>
    <t>https://twitter.com/VW/status/630858767433793540</t>
  </si>
  <si>
    <t>@1410Alice We would be happy to see how we might be able to help. DM your email and we’ll gladly reach out to you. #VWcares</t>
  </si>
  <si>
    <t>2015-08-10T21:50:25.000Z</t>
  </si>
  <si>
    <t>@1410Alice</t>
  </si>
  <si>
    <t>https://twitter.com/VW/status/630858746797780992</t>
  </si>
  <si>
    <t>@1410Alice We want a carefree experience for you at our dealer, so we’re sorry to hear yours did not meet our high expectations. #VWcares</t>
  </si>
  <si>
    <t>2015-08-10T21:50:20.000Z</t>
  </si>
  <si>
    <t>https://twitter.com/VW/status/630699886673956864</t>
  </si>
  <si>
    <t>@TiggerMills We’d like to see how we might be able to help. DM your email and we’ll be happy to reach out to you. #VWcares</t>
  </si>
  <si>
    <t>2015-08-10T11:19:05.000Z</t>
  </si>
  <si>
    <t>https://twitter.com/VW/status/630699884937515008</t>
  </si>
  <si>
    <t>@TiggerMills We want your ownership to be carefree, so we’re very sorry to hear you’ve had these concerns. #VWcares</t>
  </si>
  <si>
    <t>https://twitter.com/VW/status/630518517968863233</t>
  </si>
  <si>
    <t>#vwdogs of #vagfair</t>
  </si>
  <si>
    <t>2015-08-09T23:18:23.000Z</t>
  </si>
  <si>
    <t>https://twitter.com/VW/status/630497950435803136</t>
  </si>
  <si>
    <t>It's hip to be square. #vagfair</t>
  </si>
  <si>
    <t>2015-08-09T21:56:40.000Z</t>
  </si>
  <si>
    <t>https://twitter.com/VW/status/630454581030469632</t>
  </si>
  <si>
    <t>So fitting to spot a Rabbit Pickup in PA at #vagfair</t>
  </si>
  <si>
    <t>2015-08-09T19:04:20.000Z</t>
  </si>
  <si>
    <t>https://twitter.com/VW/status/630404625426948096</t>
  </si>
  <si>
    <t>Day 2 of #vagfair is underway! #corrado</t>
  </si>
  <si>
    <t>2015-08-09T15:45:49.000Z</t>
  </si>
  <si>
    <t>https://twitter.com/VW/status/630154909682417664</t>
  </si>
  <si>
    <t>Don't look past this transparent Beetle at #vagfair</t>
  </si>
  <si>
    <t>2015-08-08T23:13:32.000Z</t>
  </si>
  <si>
    <t>https://twitter.com/VW/status/630107604413341696</t>
  </si>
  <si>
    <t>@adamfeder We do. You can live chat with one of our advocates at http://vw.com/contact/. They'd be happy to help</t>
  </si>
  <si>
    <t>2015-08-08T20:05:34.000Z</t>
  </si>
  <si>
    <t>@adamfeder</t>
  </si>
  <si>
    <t>https://twitter.com/VW/status/630067296057339905</t>
  </si>
  <si>
    <t>We're at #vagfair in York, PA checkin' this Beetle out from the back!</t>
  </si>
  <si>
    <t>2015-08-08T17:25:24.000Z</t>
  </si>
  <si>
    <t>https://twitter.com/VW/status/630064870633816064</t>
  </si>
  <si>
    <t>@CoreyRants We’re sorry to hear that, Corey. We’ll pass this info along and have someone reach out to you soon. #VWcares</t>
  </si>
  <si>
    <t>2015-08-08T17:15:45.000Z</t>
  </si>
  <si>
    <t>https://twitter.com/VW/status/630064868146581504</t>
  </si>
  <si>
    <t>@madisondap We’re very sorry to hear this, Madison. Please DM us your email and we’ll gladly reach out to you. #VWcares</t>
  </si>
  <si>
    <t>@madisondap</t>
  </si>
  <si>
    <t>https://twitter.com/VW/status/630064867001569280</t>
  </si>
  <si>
    <t>@JeffreyJMeyer81 We recommend discussing maintenance pricing with your local VW dealer. They will be happy to assist you. #VWcares</t>
  </si>
  <si>
    <t>2015-08-08T17:15:44.000Z</t>
  </si>
  <si>
    <t>@JeffreyJMeyer81</t>
  </si>
  <si>
    <t>https://twitter.com/VW/status/630064865688686592</t>
  </si>
  <si>
    <t>@JeffreyJMeyer81 We’re thrilled to have your interest in the Passat! It would be a pleasure to welcome you to our family. #VWcares</t>
  </si>
  <si>
    <t>https://twitter.com/VW/status/630064864325537792</t>
  </si>
  <si>
    <t>@maddygathwrong We’re sorry this is happening. We recommend contacting your local VW dealer. They are in the best place to help.</t>
  </si>
  <si>
    <t>@maddygathwrong</t>
  </si>
  <si>
    <t>https://twitter.com/VW/status/629704063983038464</t>
  </si>
  <si>
    <t>@CommonFaust We’re sorry to hear this happened. We’d like to learn more. Please DM us your VIN and email so we can look into this further.</t>
  </si>
  <si>
    <t>2015-08-07T17:22:02.000Z</t>
  </si>
  <si>
    <t>https://twitter.com/VW/status/629704061294542849</t>
  </si>
  <si>
    <t>@litismp We’re very sorry to hear this, Matthew. DM us your email address and we’ll gladly reach out to you. #VWcares</t>
  </si>
  <si>
    <t>@lostreddit0r</t>
  </si>
  <si>
    <t>https://twitter.com/VW/status/629451115206041600</t>
  </si>
  <si>
    <t>@GiggsyTheCorgi We’re sorry to hear you’ve had concerns with your Tiguan. DM us your email and we’ll gladly reach out to you. #VWcares</t>
  </si>
  <si>
    <t>2015-08-07T00:36:55.000Z</t>
  </si>
  <si>
    <t>@GiggsyTheCorgi</t>
  </si>
  <si>
    <t>https://twitter.com/VW/status/629451113675120640</t>
  </si>
  <si>
    <t>@radkejen We’re very sorry to hear this, Jennifer. DM your email and we’ll gladly reach out to you. #VWcares</t>
  </si>
  <si>
    <t>2015-08-07T00:36:54.000Z</t>
  </si>
  <si>
    <t>@RadkeJen</t>
  </si>
  <si>
    <t>https://twitter.com/VW/status/629420224622796800</t>
  </si>
  <si>
    <t>@DREAMERSjoinus &amp; @DetroitJess hear their music for the first time on our @FenderAudio system at @MoPopFestival!</t>
  </si>
  <si>
    <t>2015-08-06T22:34:10.000Z</t>
  </si>
  <si>
    <t>https://twitter.com/VW/status/629303168975904768</t>
  </si>
  <si>
    <t>Get 20% off admission to #RedBullGRC DC and support the #VWGRC team next weekend: http://RedBullGlobalRallycross.com/Tickets</t>
  </si>
  <si>
    <t>2015-08-06T14:49:02.000Z</t>
  </si>
  <si>
    <t>https://twitter.com/VW/status/629034174381338624</t>
  </si>
  <si>
    <t>@JazzPacemaker Please DM your email address so we can get involved and get to the bottom of it for you. #VWcares</t>
  </si>
  <si>
    <t>2015-08-05T21:00:08.000Z</t>
  </si>
  <si>
    <t>https://twitter.com/VW/status/629034172674277376</t>
  </si>
  <si>
    <t>@JazzPacemaker We’re disappointed to hear you might have had a poor experience with one of our dealers.</t>
  </si>
  <si>
    <t>https://twitter.com/VW/status/629030451512897536</t>
  </si>
  <si>
    <t>@sarahharbin Reach out to us at http://vw.com/contact if you would like to talk more about what happened. #VWcares</t>
  </si>
  <si>
    <t>2015-08-05T20:45:21.000Z</t>
  </si>
  <si>
    <t>https://twitter.com/VW/status/629030448836931584</t>
  </si>
  <si>
    <t>@sarahharbin We’re very sorry to hear this, Sarah. We expect a world-class experience for our customers at our dealerships. #VWcares</t>
  </si>
  <si>
    <t>2015-08-05T20:45:20.000Z</t>
  </si>
  <si>
    <t>https://twitter.com/VW/status/629030447683497989</t>
  </si>
  <si>
    <t>@CoreyRants We see you’re currently working with one of our colleagues. Please let us know if there’s anything more we can do to help. #VWca</t>
  </si>
  <si>
    <t>https://twitter.com/VW/status/629030445666009088</t>
  </si>
  <si>
    <t>@CoreyRants We’re very sorry for the inconvenience, Corey. This is not the kind of experience we wanted for you. #VWcares</t>
  </si>
  <si>
    <t>2015-08-05T20:45:19.000Z</t>
  </si>
  <si>
    <t>https://twitter.com/VW/status/629028697643679744</t>
  </si>
  <si>
    <t>@C_t_r_l We wanted a much better experience for you. DM us your email and we’ll be happy to reach out to you. #VWcares</t>
  </si>
  <si>
    <t>2015-08-05T20:38:22.000Z</t>
  </si>
  <si>
    <t>@C_t_r_l</t>
  </si>
  <si>
    <t>https://twitter.com/VW/status/628695551937110016</t>
  </si>
  <si>
    <t>@CassHeather This is not the experience we want you to have. Please DM us your VIN and email so we can look into this further.</t>
  </si>
  <si>
    <t>2015-08-04T22:34:34.000Z</t>
  </si>
  <si>
    <t>https://twitter.com/VW/status/628695550095790080</t>
  </si>
  <si>
    <t>@PizzaQuixote This is not the experience we want you to have. Please DM us your VIN and email so we can look into this further. #VWCares</t>
  </si>
  <si>
    <t>@PizzaQuixote</t>
  </si>
  <si>
    <t>https://twitter.com/VW/status/628654599105150977</t>
  </si>
  <si>
    <t>@petalnim This is not the experience we want for our drivers. Please DM us your VIN and email so we can look into further.</t>
  </si>
  <si>
    <t>2015-08-04T19:51:50.000Z</t>
  </si>
  <si>
    <t>@petalnim</t>
  </si>
  <si>
    <t>https://twitter.com/VW/status/628654595690987520</t>
  </si>
  <si>
    <t>@oldertwin We’re sorry to hear this is happening. We recommend reaching out to your local VW dealer. They are in the best position to help.</t>
  </si>
  <si>
    <t>@oldertwin</t>
  </si>
  <si>
    <t>https://twitter.com/VW/status/628653753814552576</t>
  </si>
  <si>
    <t>@missjensteele We see our colleagues are currently researching your case. Please let us know if there’s anything more we can do. #VWcares</t>
  </si>
  <si>
    <t>2015-08-04T19:48:29.000Z</t>
  </si>
  <si>
    <t>https://twitter.com/VW/status/628653750949818368</t>
  </si>
  <si>
    <t>@missjensteele We wanted a carefree experience for you, so we’re very sorry to hear about your Jetta. #VWcares</t>
  </si>
  <si>
    <t>2015-08-04T19:48:28.000Z</t>
  </si>
  <si>
    <t>https://twitter.com/VW/status/628639187265150976</t>
  </si>
  <si>
    <t>@Chinchi_07 Please DM us your VIN and phone number and we will make reaching out to you a priority. #VWcares</t>
  </si>
  <si>
    <t>2015-08-04T18:50:36.000Z</t>
  </si>
  <si>
    <t>https://twitter.com/VW/status/628639185910366208</t>
  </si>
  <si>
    <t>@Chinchi_07 Thank you for taking the time to reach out to us about your husband's Passat. Your satisfaction is important to us. #VWcares</t>
  </si>
  <si>
    <t>https://twitter.com/VW/status/628300615504912384</t>
  </si>
  <si>
    <t>@jenelainexo We’d like to hear more about what happened. Please reach out to us at http://vw.com/contact so we can look into this further.</t>
  </si>
  <si>
    <t>2015-08-03T20:25:14.000Z</t>
  </si>
  <si>
    <t>https://twitter.com/VW/status/628293643468574720</t>
  </si>
  <si>
    <t>@TMobevelt We’re very sorry to hear about your Jetta. DM us your email address and VIN. We’ll be happy to reach out to you. #VWcares</t>
  </si>
  <si>
    <t>2015-08-03T19:57:32.000Z</t>
  </si>
  <si>
    <t>@TMobevelt</t>
  </si>
  <si>
    <t>https://twitter.com/VW/status/628293641778233345</t>
  </si>
  <si>
    <t>@atomk89 This is not the experience we want for our drivers. Please DM us your VIN and email so we can look into this further.</t>
  </si>
  <si>
    <t>2015-08-03T19:57:31.000Z</t>
  </si>
  <si>
    <t>@atomk89</t>
  </si>
  <si>
    <t>https://twitter.com/VW/status/628280019744194560</t>
  </si>
  <si>
    <t>@turtleboy925 This is not the experience we want you to have, Richard. We see one of our colleagues will be reaching out to you soon.</t>
  </si>
  <si>
    <t>2015-08-03T19:03:24.000Z</t>
  </si>
  <si>
    <t>@turtleboy925</t>
  </si>
  <si>
    <t>https://twitter.com/VW/status/628280018678878208</t>
  </si>
  <si>
    <t>@Kick_Ass_Jill You can contact us at http://vw.com/contact, or you can DM us your email and we’ll gladly reach out to you. #VWcares</t>
  </si>
  <si>
    <t>2015-08-03T19:03:23.000Z</t>
  </si>
  <si>
    <t>@sunflowerbum</t>
  </si>
  <si>
    <t>https://twitter.com/VW/status/628280017294770176</t>
  </si>
  <si>
    <t>@Kick_Ass_Jill We’re sorry to hear you’ve had concerns with your service experience. We wanted much better for you.</t>
  </si>
  <si>
    <t>https://twitter.com/VW/status/627993007468511236</t>
  </si>
  <si>
    <t>#Wolfsgart 6.0 has come to a close. What was your personal favorite?</t>
  </si>
  <si>
    <t>2015-08-03T00:02:55.000Z</t>
  </si>
  <si>
    <t>https://twitter.com/VW/status/627944642416349184</t>
  </si>
  <si>
    <t>Cruising Weather. #wolfsgart</t>
  </si>
  <si>
    <t>2015-08-02T20:50:44.000Z</t>
  </si>
  <si>
    <t>https://twitter.com/VW/status/627917002250842112</t>
  </si>
  <si>
    <t>Eyeing this beauty at #wolfsgart</t>
  </si>
  <si>
    <t>2015-08-02T19:00:54.000Z</t>
  </si>
  <si>
    <t>https://twitter.com/VW/status/627889030038949888</t>
  </si>
  <si>
    <t>Cruisin' through Burlington, VT in the #GolfR #wolfsgart</t>
  </si>
  <si>
    <t>2015-08-02T17:09:45.000Z</t>
  </si>
  <si>
    <t>https://twitter.com/VW/status/627860780604637184</t>
  </si>
  <si>
    <t>Taking a look under the hood at #wolfsgart today.</t>
  </si>
  <si>
    <t>2015-08-02T15:17:29.000Z</t>
  </si>
  <si>
    <t>https://twitter.com/VW/status/627636955526770689</t>
  </si>
  <si>
    <t>How low can you go? #limbo #wolfsgart</t>
  </si>
  <si>
    <t>2015-08-02T00:28:05.000Z</t>
  </si>
  <si>
    <t>https://twitter.com/VW/status/627581626256592896</t>
  </si>
  <si>
    <t>VolkSWAGen. #wolfsgart #classic</t>
  </si>
  <si>
    <t>2015-08-01T20:48:14.000Z</t>
  </si>
  <si>
    <t>https://twitter.com/VW/status/627565466463006720</t>
  </si>
  <si>
    <t>Classic inside and out. #wolfsgart</t>
  </si>
  <si>
    <t>2015-08-01T19:44:01.000Z</t>
  </si>
  <si>
    <t>https://twitter.com/VW/status/627529038890971136</t>
  </si>
  <si>
    <t>It's game time. What are you seeing at #wolfsgart today?</t>
  </si>
  <si>
    <t>2015-08-01T17:19:16.000Z</t>
  </si>
  <si>
    <t>https://twitter.com/VW/status/627502506608881664</t>
  </si>
  <si>
    <t>Can never be too clean for the judges. #wolfsgart</t>
  </si>
  <si>
    <t>2015-08-01T15:33:50.000Z</t>
  </si>
  <si>
    <t>https://twitter.com/VW/status/627253906322493441</t>
  </si>
  <si>
    <t>Wolf pups welcome. #wolfsgart</t>
  </si>
  <si>
    <t>2015-07-31T23:05:59.000Z</t>
  </si>
  <si>
    <t>https://twitter.com/VW/status/627211186644234240</t>
  </si>
  <si>
    <t>@kcools12 We’re very sorry for the inconvenience. DM your email and we’ll be glad to reach out to you to discuss how we can help. #VWcares</t>
  </si>
  <si>
    <t>2015-07-31T20:16:14.000Z</t>
  </si>
  <si>
    <t>@kcools12</t>
  </si>
  <si>
    <t>https://twitter.com/VW/status/627209615998988288</t>
  </si>
  <si>
    <t>@Trancerave We recommend bringing your Beetle to your local VW dealership for a diagnosis. They’ll be happy to help! #VWcares</t>
  </si>
  <si>
    <t>2015-07-31T20:10:00.000Z</t>
  </si>
  <si>
    <t>@Trancerave</t>
  </si>
  <si>
    <t>https://twitter.com/VW/status/627209614359068672</t>
  </si>
  <si>
    <t>@Trancerave We’re sorry to hear the cruise control isn’t working in your Beetle. We want you out there cruising the roads without a care.</t>
  </si>
  <si>
    <t>2015-07-31T20:09:59.000Z</t>
  </si>
  <si>
    <t>https://twitter.com/VW/status/627192560591572993</t>
  </si>
  <si>
    <t>@NikkiMarieDetMi This is not the experience we want for our drivers. Please DM us your VIN and email so we can look into this further.</t>
  </si>
  <si>
    <t>2015-07-31T19:02:13.000Z</t>
  </si>
  <si>
    <t>@NikkiMarieDetMi</t>
  </si>
  <si>
    <t>https://twitter.com/VW/status/627192556716068864</t>
  </si>
  <si>
    <t>@AndresMIguel We’re very sorry to hear about your experience. Give us a call at 800-822-8987 if there’s anything we can do to help #VWcares</t>
  </si>
  <si>
    <t>2015-07-31T19:02:12.000Z</t>
  </si>
  <si>
    <t>https://twitter.com/VW/status/627188711625625600</t>
  </si>
  <si>
    <t>@TheDrunkBlonde_ Thank you for your email address. One of our colleagues will reach out to you soon.</t>
  </si>
  <si>
    <t>2015-07-31T18:46:56.000Z</t>
  </si>
  <si>
    <t>https://twitter.com/VW/status/627188710124056576</t>
  </si>
  <si>
    <t>@DevonHodor You can purchase an Owner’s Manual for your VW at https://vw.techliterature.com/consumer. #VWcares</t>
  </si>
  <si>
    <t>2015-07-31T18:46:55.000Z</t>
  </si>
  <si>
    <t>@DevonHodor</t>
  </si>
  <si>
    <t>https://twitter.com/VW/status/627188707246804992</t>
  </si>
  <si>
    <t>@DevonHodor We recommend using VW 502 00 synthetic oil with a viscosity of 5W30 or 5W40. Contact your local VW dealer for more info!</t>
  </si>
  <si>
    <t>https://twitter.com/VW/status/627188704495308800</t>
  </si>
  <si>
    <t>@Sneezy_Breezy We’re so sorry to see your Beetle like that! DM us your email and we’ll gladly reach out to you. #VWcares</t>
  </si>
  <si>
    <t>2015-07-31T18:46:54.000Z</t>
  </si>
  <si>
    <t>@Sneezy_Breezy</t>
  </si>
  <si>
    <t>https://twitter.com/VW/status/627113526197227520</t>
  </si>
  <si>
    <t>@jasonjross Please DM us the information about your car and how to contact you. We want to look into this for you.</t>
  </si>
  <si>
    <t>2015-07-31T13:48:10.000Z</t>
  </si>
  <si>
    <t>https://twitter.com/VW/status/626488629943144448</t>
  </si>
  <si>
    <t>@jennltodd We would be happy to see how we might be able to help. DM us your email address and we’ll gladly reach out to you. #VWcares</t>
  </si>
  <si>
    <t>2015-07-29T20:25:03.000Z</t>
  </si>
  <si>
    <t>@jennltodd</t>
  </si>
  <si>
    <t>https://twitter.com/VW/status/626488627829190656</t>
  </si>
  <si>
    <t>@jennltodd We wanted your experience to be carefree, so we’re very sorry to hear about the concerns you’ve had with your VW. #VWcares</t>
  </si>
  <si>
    <t>https://twitter.com/VW/status/626479710868865024</t>
  </si>
  <si>
    <t>@TheDrunkBlonde_ Thanks for the info. One of our colleagues will be reaching out soon!</t>
  </si>
  <si>
    <t>2015-07-29T19:49:37.000Z</t>
  </si>
  <si>
    <t>https://twitter.com/VW/status/626475141690626049</t>
  </si>
  <si>
    <t>@TheDrunkBlonde_ We want your experience to be easy and carefree. DM us your email address if you’d like to talk more about it. #VWcares</t>
  </si>
  <si>
    <t>2015-07-29T19:31:27.000Z</t>
  </si>
  <si>
    <t>https://twitter.com/VW/status/626475139677335553</t>
  </si>
  <si>
    <t>@cccele4eva This is not the kind of experience we wanted for you. DM us your email and we’ll be glad to reach out to you. #VWcares</t>
  </si>
  <si>
    <t>@cccele4eva</t>
  </si>
  <si>
    <t>https://twitter.com/VW/status/626441755232235521</t>
  </si>
  <si>
    <t>Hot bum warmers. Hot guys. It’s our hottest summer’s sales event ever. #VWSummerSale http://vw.com/special-offers</t>
  </si>
  <si>
    <t>2015-07-29T17:18:47.000Z</t>
  </si>
  <si>
    <t>https://twitter.com/VW/status/626437211114729472</t>
  </si>
  <si>
    <t>@zannafranca We want your ownership to be satisfactory. Please DM us your VIN and email so we can hear more about what’s happening.</t>
  </si>
  <si>
    <t>2015-07-29T17:00:44.000Z</t>
  </si>
  <si>
    <t>@zannafranca</t>
  </si>
  <si>
    <t>https://twitter.com/VW/status/626420658075860992</t>
  </si>
  <si>
    <t>@Major_Disaster This is not the experience we want you to have. Please DM us your VIN and email so we can hear more about what’s happening.</t>
  </si>
  <si>
    <t>2015-07-29T15:54:57.000Z</t>
  </si>
  <si>
    <t>@Major_Disaster</t>
  </si>
  <si>
    <t>https://twitter.com/VW/status/626420656003919872</t>
  </si>
  <si>
    <t>@danieldides Thanks for the heads up. The site appears to be working now. If you need anything else, please let us know!</t>
  </si>
  <si>
    <t>@danieldides</t>
  </si>
  <si>
    <t>https://twitter.com/VW/status/626390888306991109</t>
  </si>
  <si>
    <t>@bigjondaniel It looks like one of our colleagues will reach out soon.</t>
  </si>
  <si>
    <t>2015-07-29T13:56:40.000Z</t>
  </si>
  <si>
    <t>@bigjondaniel</t>
  </si>
  <si>
    <t>https://twitter.com/VW/status/626366289930383360</t>
  </si>
  <si>
    <t>@jameswendt Thanks for the info. One of our colleagues will reach out soon</t>
  </si>
  <si>
    <t>2015-07-29T12:18:55.000Z</t>
  </si>
  <si>
    <t>@jameswendt</t>
  </si>
  <si>
    <t>https://twitter.com/VW/status/626158823170904064</t>
  </si>
  <si>
    <t>What do @Jillkintner, @EvDong, @harrisonchar, Riley Mueller &amp; @TannerFoust all share? Competitive drive. #VW4Cycling</t>
  </si>
  <si>
    <t>2015-07-28T22:34:31.000Z</t>
  </si>
  <si>
    <t>https://twitter.com/VW/status/626128180898705408</t>
  </si>
  <si>
    <t>@WhoIsMikeKelly We’re sorry to hear this is happening. If you’d like to share more about it, please contact us at http://vw.com/contact</t>
  </si>
  <si>
    <t>2015-07-28T20:32:45.000Z</t>
  </si>
  <si>
    <t>https://twitter.com/VW/status/626128179552358400</t>
  </si>
  <si>
    <t>@SchillStacey This is not the experience we want you to have. Please DM us your VIN &amp; email so we can hear more about it. #VWCares</t>
  </si>
  <si>
    <t>@SchillStacey</t>
  </si>
  <si>
    <t>https://twitter.com/VW/status/626128178172407808</t>
  </si>
  <si>
    <t>@bl0ndiex88 This is not the experience we want for our drivers. Please DM us your VIN &amp; email so we can look into this further.</t>
  </si>
  <si>
    <t>@bl0ndiex88</t>
  </si>
  <si>
    <t>https://twitter.com/VW/status/626128175605481472</t>
  </si>
  <si>
    <t>@jameswendt We want to find out more about what’s going on. Once we have your VIN and email, we will make reaching out to you a priority.</t>
  </si>
  <si>
    <t>2015-07-28T20:32:44.000Z</t>
  </si>
  <si>
    <t>https://twitter.com/VW/status/626007845742313472</t>
  </si>
  <si>
    <t>@NYYFAN46 Thank you for your info, Gary. One of our colleagues will be reaching out to you soon.</t>
  </si>
  <si>
    <t>2015-07-28T12:34:35.000Z</t>
  </si>
  <si>
    <t>https://twitter.com/VW/status/626006800572133376</t>
  </si>
  <si>
    <t>@TheGreenIsGood We hope for a carefree experience for our drivers, and I’m sorry to hear yours was not.</t>
  </si>
  <si>
    <t>2015-07-28T12:30:26.000Z</t>
  </si>
  <si>
    <t>@TheGreenIsGood</t>
  </si>
  <si>
    <t>https://twitter.com/VW/status/626006798210723840</t>
  </si>
  <si>
    <t>@Chz95 This is not the experience we want you to have. Please DM us your VIN and email so we can look into this further.</t>
  </si>
  <si>
    <t>2015-07-28T12:30:25.000Z</t>
  </si>
  <si>
    <t>https://twitter.com/VW/status/626005765354991621</t>
  </si>
  <si>
    <t>@hearttohart_ Your satisfaction is important to us. Please DM us your VIN and Phone # and we will make reaching out to you a priority</t>
  </si>
  <si>
    <t>2015-07-28T12:26:19.000Z</t>
  </si>
  <si>
    <t>@hearttohart_</t>
  </si>
  <si>
    <t>https://twitter.com/VW/status/626005762477719552</t>
  </si>
  <si>
    <t>@ckd This is not the experience we want for our drivers. Please DM us your email so we can hear more about what happened.</t>
  </si>
  <si>
    <t>@ckd</t>
  </si>
  <si>
    <t>https://twitter.com/VW/status/626001219899645953</t>
  </si>
  <si>
    <t>@Sthe91 We’re sorry to hear this happened. DM us your VIN and email so we can look into this further. We look forward to hearing from you.</t>
  </si>
  <si>
    <t>2015-07-28T12:08:16.000Z</t>
  </si>
  <si>
    <t>@Sthe91</t>
  </si>
  <si>
    <t>https://twitter.com/VW/status/626001218192539648</t>
  </si>
  <si>
    <t>@Grey_Books We’re sorry for the inconvenience this may have caused. May we have your email address? We’d be happy to look into this further.</t>
  </si>
  <si>
    <t>2015-07-28T12:08:15.000Z</t>
  </si>
  <si>
    <t>@Grey_Books</t>
  </si>
  <si>
    <t>https://twitter.com/VW/status/626001216678432768</t>
  </si>
  <si>
    <t>@adamfeder This is not the experience we want you to have, Adam. Please DM us your VIN and email so we can hear more about it.</t>
  </si>
  <si>
    <t>https://twitter.com/VW/status/625432975023321088</t>
  </si>
  <si>
    <t>@jameswendt Sorry to hear about your radio concerns. Please DM us your VIN and email so we can talk more. #VWCares</t>
  </si>
  <si>
    <t>2015-07-26T22:30:15.000Z</t>
  </si>
  <si>
    <t>https://twitter.com/VW/status/625426362849980416</t>
  </si>
  <si>
    <t>Back-to-back 2nd place finishes for @ScottSpeed in Detroit! #VWGRC</t>
  </si>
  <si>
    <t>2015-07-26T22:03:59.000Z</t>
  </si>
  <si>
    <t>https://twitter.com/VW/status/625426143319953408</t>
  </si>
  <si>
    <t>@DarwynZ We're sorry to hear about this! It's not the experience we hoped for you. Please DM us your VIN and email so we can reach out.</t>
  </si>
  <si>
    <t>2015-07-26T22:03:07.000Z</t>
  </si>
  <si>
    <t>@DarwynZ</t>
  </si>
  <si>
    <t>https://twitter.com/VW/status/625383921564426241</t>
  </si>
  <si>
    <t>Sibling rivalry! @TannerFoust battles @ScottSpeed to finish 1-2 in Semi-final B. #VWGRC</t>
  </si>
  <si>
    <t>2015-07-26T19:15:20.000Z</t>
  </si>
  <si>
    <t>https://twitter.com/VW/status/625367700613767169</t>
  </si>
  <si>
    <t>This 1969 "Desert Dingo" Beetle, shown at #RedBullGRC Detroit, competes regularly in the Baja 1000. #VWGRC</t>
  </si>
  <si>
    <t>2015-07-26T18:10:53.000Z</t>
  </si>
  <si>
    <t>https://twitter.com/VW/status/625359161782616064</t>
  </si>
  <si>
    <t>Flying high, @scottspeed wins Heat 1B! #VWGRC</t>
  </si>
  <si>
    <t>2015-07-26T17:36:57.000Z</t>
  </si>
  <si>
    <t>https://twitter.com/VW/status/625356085420027908</t>
  </si>
  <si>
    <t>Passing 3 cars, @TannerFoust uses the joker lap to grab 2nd place in the last lap of Heat 1A. #VWGRC</t>
  </si>
  <si>
    <t>2015-07-26T17:24:43.000Z</t>
  </si>
  <si>
    <t>https://twitter.com/VW/status/625349566737551361</t>
  </si>
  <si>
    <t>Behind bars. #VWGRC</t>
  </si>
  <si>
    <t>2015-07-26T16:58:49.000Z</t>
  </si>
  <si>
    <t>https://twitter.com/VW/status/625344880924065792</t>
  </si>
  <si>
    <t>For those at #RedBullGRC Detroit, stop by our team trailer soon for VW Waffles. #VWGRC</t>
  </si>
  <si>
    <t>2015-07-26T16:40:12.000Z</t>
  </si>
  <si>
    <t>https://twitter.com/VW/status/625337990424993792</t>
  </si>
  <si>
    <t>Very tight qualifying times! @scottspeed and @TannerFoust posted the 3rd and 7th quickest laps. #VWGRC</t>
  </si>
  <si>
    <t>2015-07-26T16:12:49.000Z</t>
  </si>
  <si>
    <t>https://twitter.com/VW/status/625321997342507008</t>
  </si>
  <si>
    <t>Qualifying for day 2 of #RedBullGRC racing in the Motor City starts soon. #VWGRC</t>
  </si>
  <si>
    <t>2015-07-26T15:09:16.000Z</t>
  </si>
  <si>
    <t>https://twitter.com/VW/status/625321329277968385</t>
  </si>
  <si>
    <t>Brimtek #VWGLI race car shown in our historic VW Motorsport booth today. #VWGRC</t>
  </si>
  <si>
    <t>2015-07-26T15:06:37.000Z</t>
  </si>
  <si>
    <t>https://twitter.com/VW/status/625320133960028160</t>
  </si>
  <si>
    <t>If you're at #RedBullGRC Detroit today, stop by our booth and check out our historic VW Motorsport race cars. #VWGRC</t>
  </si>
  <si>
    <t>2015-07-26T15:01:52.000Z</t>
  </si>
  <si>
    <t>https://twitter.com/VW/status/625065238623158272</t>
  </si>
  <si>
    <t>Kicking off #mopopfest with @KINGTUFFY on the VW #fenderpremiumaudio stage!</t>
  </si>
  <si>
    <t>2015-07-25T22:09:00.000Z</t>
  </si>
  <si>
    <t>https://twitter.com/VW/status/625013635203624960</t>
  </si>
  <si>
    <t>2nd place finish for @ScottSpeed in the first final of the doubleheader weekend. #VWGRC</t>
  </si>
  <si>
    <t>2015-07-25T18:43:57.000Z</t>
  </si>
  <si>
    <t>https://twitter.com/VW/status/624997011184488448</t>
  </si>
  <si>
    <t>The #VWGRC teammates place 2nd and 3rd in Semi-final B at #RedBullGRC Detroit.</t>
  </si>
  <si>
    <t>2015-07-25T17:37:54.000Z</t>
  </si>
  <si>
    <t>https://twitter.com/VW/status/624982966926770176</t>
  </si>
  <si>
    <t>The No. 34 finishes 3rd in Heat 1B. #VWGRC</t>
  </si>
  <si>
    <t>2015-07-25T16:42:05.000Z</t>
  </si>
  <si>
    <t>https://twitter.com/VW/status/624978086560464896</t>
  </si>
  <si>
    <t>Starting from the back, @scottspeed finishes P2 in Heat 1A. #VWGRC</t>
  </si>
  <si>
    <t>2015-07-25T16:22:42.000Z</t>
  </si>
  <si>
    <t>https://twitter.com/VW/status/624971811730628608</t>
  </si>
  <si>
    <t>Quickest in morning practice. #VWGRC</t>
  </si>
  <si>
    <t>2015-07-25T15:57:45.000Z</t>
  </si>
  <si>
    <t>https://twitter.com/VW/status/624960768581091328</t>
  </si>
  <si>
    <t>@TLChace Sorry to hear that. We'd like to hear more about this. Can you DM us your VIN and email address so we can dig deeper? #VWcares</t>
  </si>
  <si>
    <t>2015-07-25T15:13:53.000Z</t>
  </si>
  <si>
    <t>https://twitter.com/VW/status/624957215309369344</t>
  </si>
  <si>
    <t>@kaybrown6791 Sorry to hear of your issues with your Passat, Kay. We want to hear more. Please reach out us http://vw.com/contact/  #VWcares</t>
  </si>
  <si>
    <t>2015-07-25T14:59:45.000Z</t>
  </si>
  <si>
    <t>@kaybrown6791</t>
  </si>
  <si>
    <t>https://twitter.com/VW/status/624953686712676352</t>
  </si>
  <si>
    <t>@NYYFAN46 Sorry to heat that, Gary. We want a better experience for you while leasing. Can you DM us your VIN and email address? #VWcares</t>
  </si>
  <si>
    <t>2015-07-25T14:45:44.000Z</t>
  </si>
  <si>
    <t>https://twitter.com/VW/status/624953685064335360</t>
  </si>
  <si>
    <t>@elpalmisano Glad it's running well but let's look a little further into this for you. Can you DM us your VIN and email address? #VWcares</t>
  </si>
  <si>
    <t>@elpalmisano</t>
  </si>
  <si>
    <t>https://twitter.com/VW/status/624951925528604672</t>
  </si>
  <si>
    <t>@delasoulValerie Sorry to hear that, Valerie. Can you DM us your VIN and email address and we can look further into this for you? #VWcares</t>
  </si>
  <si>
    <t>2015-07-25T14:38:44.000Z</t>
  </si>
  <si>
    <t>@stonecolddivaa</t>
  </si>
  <si>
    <t>https://twitter.com/VW/status/624668907287089152</t>
  </si>
  <si>
    <t>@JLCBeck That is not the experience we want you to have at one of our dealers. Please DM us your email address if you'd like to tell us more</t>
  </si>
  <si>
    <t>2015-07-24T19:54:07.000Z</t>
  </si>
  <si>
    <t>@JLCBeck</t>
  </si>
  <si>
    <t>https://twitter.com/VW/status/624659793228095488</t>
  </si>
  <si>
    <t>Tomorrow #RedBullGRC takes to the Motor City as @TannerFoust and @ScottSpeed show the Midwest what #VWGRC is made of!</t>
  </si>
  <si>
    <t>2015-07-24T19:17:54.000Z</t>
  </si>
  <si>
    <t>https://twitter.com/VW/status/624647334434074624</t>
  </si>
  <si>
    <t>Dune Buggy.
#VWGRC</t>
  </si>
  <si>
    <t>2015-07-24T18:28:24.000Z</t>
  </si>
  <si>
    <t>https://twitter.com/VW/status/624643845817565184</t>
  </si>
  <si>
    <t>Fast in practice! @scottspeed and @TannerFoust ran 2nd and 4th quickest. #VWGRC</t>
  </si>
  <si>
    <t>2015-07-24T18:14:32.000Z</t>
  </si>
  <si>
    <t>https://twitter.com/VW/status/624623405019430912</t>
  </si>
  <si>
    <t>@jbernardh Thanks for the info. One of our colleagues will be reaching out to you soon</t>
  </si>
  <si>
    <t>2015-07-24T16:53:19.000Z</t>
  </si>
  <si>
    <t>@jbernardh</t>
  </si>
  <si>
    <t>https://twitter.com/VW/status/624623403266281472</t>
  </si>
  <si>
    <t>@HolleeAAnder We cannot see the pictures but we'd like to hear more about it. DM us your VIN and email and we will reach out to you</t>
  </si>
  <si>
    <t>2015-07-24T16:53:18.000Z</t>
  </si>
  <si>
    <t>https://twitter.com/VW/status/624620710862807041</t>
  </si>
  <si>
    <t>@robinsuchan We are glad you love your Passat! DM us your VIN and email address and we will see what we can do #VWcares</t>
  </si>
  <si>
    <t>2015-07-24T16:42:37.000Z</t>
  </si>
  <si>
    <t>@robinsuchan</t>
  </si>
  <si>
    <t>https://twitter.com/VW/status/624619823532642304</t>
  </si>
  <si>
    <t>@ksanjay We’d like to look into this further for you. Please DM us your VIN and email so we can research more.</t>
  </si>
  <si>
    <t>2015-07-24T16:39:05.000Z</t>
  </si>
  <si>
    <t>@ksanjay</t>
  </si>
  <si>
    <t>https://twitter.com/VW/status/624618906527772672</t>
  </si>
  <si>
    <t>@mrs_jmb_ You’re important to us. We’d like to hear more about your situation. Please DM us your VIN and phone number so we can look into it</t>
  </si>
  <si>
    <t>2015-07-24T16:35:26.000Z</t>
  </si>
  <si>
    <t>@jenny_e_m</t>
  </si>
  <si>
    <t>https://twitter.com/VW/status/624608865229746176</t>
  </si>
  <si>
    <t>Our 600 horsepower Beetle GRC hits 60mph in 1.9 seconds! #VWGRC</t>
  </si>
  <si>
    <t>2015-07-24T15:55:32.000Z</t>
  </si>
  <si>
    <t>https://twitter.com/VW/status/624593430845353986</t>
  </si>
  <si>
    <t>Get ready for a weekend of 600 horsepower racing in Detroit! Follow #VWGRC for updates.</t>
  </si>
  <si>
    <t>2015-07-24T14:54:12.000Z</t>
  </si>
  <si>
    <t>https://twitter.com/VW/status/624358364739432448</t>
  </si>
  <si>
    <t>Our three old wives are back for the model rear end event. #yearend #rearend #yearend #VWSummerSale</t>
  </si>
  <si>
    <t>2015-07-23T23:20:08.000Z</t>
  </si>
  <si>
    <t>https://twitter.com/VW/status/624272501451943936</t>
  </si>
  <si>
    <t>@turtleboy925 DM us your contact information and we can reach out</t>
  </si>
  <si>
    <t>2015-07-23T17:38:57.000Z</t>
  </si>
  <si>
    <t>https://twitter.com/VW/status/624271610539851776</t>
  </si>
  <si>
    <t>@jbernardh We want to look into this further for you. Please DM us your VIN and email so we can reach out to you.</t>
  </si>
  <si>
    <t>2015-07-23T17:35:25.000Z</t>
  </si>
  <si>
    <t>https://twitter.com/VW/status/624271607779971072</t>
  </si>
  <si>
    <t>@turtleboy925 We see one of our colleagues as reached out to you asking for more info. If you need anything else please let us know.</t>
  </si>
  <si>
    <t>2015-07-23T17:35:24.000Z</t>
  </si>
  <si>
    <t>https://twitter.com/VW/status/624252265608581121</t>
  </si>
  <si>
    <t>@M_A_R_K_rees You should be enjoying your VW. We’d like to hear more about it. DM us your VIN &amp; email so we can look into this further.</t>
  </si>
  <si>
    <t>2015-07-23T16:18:32.000Z</t>
  </si>
  <si>
    <t>@VSVPMarky</t>
  </si>
  <si>
    <t>https://twitter.com/VW/status/624251362226737152</t>
  </si>
  <si>
    <t>@anishaaaaa This is not what we expect for our drivers. Please DM us your VIN and email so we can look into this further for you.</t>
  </si>
  <si>
    <t>2015-07-23T16:14:57.000Z</t>
  </si>
  <si>
    <t>https://twitter.com/VW/status/624235152659619840</t>
  </si>
  <si>
    <t>Our #VWGRC drivers stopped by the Auburn Hills offices today to meet employees before heading to #RedBullGRC Detroit.</t>
  </si>
  <si>
    <t>2015-07-23T15:10:32.000Z</t>
  </si>
  <si>
    <t>https://twitter.com/VW/status/624194931817484288</t>
  </si>
  <si>
    <t>@nj_devils05 We’re sorry to hear this. Please DM us your VIN and email so we can research this further.</t>
  </si>
  <si>
    <t>2015-07-23T12:30:43.000Z</t>
  </si>
  <si>
    <t>https://twitter.com/VW/status/624189579763957760</t>
  </si>
  <si>
    <t>@fredguthrie We’re sorry to hear this happened. Please DM us your email address so we can look into this further.</t>
  </si>
  <si>
    <t>2015-07-23T12:09:27.000Z</t>
  </si>
  <si>
    <t>@fredguthrie</t>
  </si>
  <si>
    <t>https://twitter.com/VW/status/624021570751721473</t>
  </si>
  <si>
    <t>Fans had @TannerFoust and @scottspeed sign their VWs today. #VWGRC</t>
  </si>
  <si>
    <t>2015-07-23T01:01:50.000Z</t>
  </si>
  <si>
    <t>https://twitter.com/VW/status/623951330550255616</t>
  </si>
  <si>
    <t>@AntneyG1974 Our hope is for you to enjoy every minute in your VW. Please DM us your VIN and email so we can look into this further.</t>
  </si>
  <si>
    <t>2015-07-22T20:22:44.000Z</t>
  </si>
  <si>
    <t>https://twitter.com/VW/status/623951329208078336</t>
  </si>
  <si>
    <t>@BeccaaaWallace This is not the experience we want for our drivers. Please DM us your VIN and email so we can look into this further for you</t>
  </si>
  <si>
    <t>2015-07-22T20:22:43.000Z</t>
  </si>
  <si>
    <t>https://twitter.com/VW/status/623949440135491584</t>
  </si>
  <si>
    <t>@Treebear11 Please DM us your VIN and email so we can look into this further for you.</t>
  </si>
  <si>
    <t>2015-07-22T20:15:13.000Z</t>
  </si>
  <si>
    <t>@NathanD726</t>
  </si>
  <si>
    <t>https://twitter.com/VW/status/623949436327034880</t>
  </si>
  <si>
    <t>@Treebear11 This is not the experience we want you to have, you’re important to us.</t>
  </si>
  <si>
    <t>2015-07-22T20:15:12.000Z</t>
  </si>
  <si>
    <t>https://twitter.com/VW/status/623940300440928257</t>
  </si>
  <si>
    <t>@HungerfordKatie This is not the experience we want you to have. Please DM us your VIN and email so we can look into this further for you.</t>
  </si>
  <si>
    <t>2015-07-22T19:38:54.000Z</t>
  </si>
  <si>
    <t>@HungerfordKatie</t>
  </si>
  <si>
    <t>https://twitter.com/VW/status/623910264136577024</t>
  </si>
  <si>
    <t>@wrotte We’re sorry to hear of your dissatisfaction. Please DM us your VIN and email so we can look into this further for you.</t>
  </si>
  <si>
    <t>2015-07-22T17:39:33.000Z</t>
  </si>
  <si>
    <t>@wrotte</t>
  </si>
  <si>
    <t>https://twitter.com/VW/status/623910261133438976</t>
  </si>
  <si>
    <t>@bmirales Your satisfaction is important to us. Please DM us your VIN and email so we can look into this further.</t>
  </si>
  <si>
    <t>2015-07-22T17:39:32.000Z</t>
  </si>
  <si>
    <t>https://twitter.com/VW/status/623838540191784960</t>
  </si>
  <si>
    <t>@Rockandbrock Driver satisfaction is our priority. Please DM us your VIN and phone # so we can reach out to discuss your concerns further</t>
  </si>
  <si>
    <t>2015-07-22T12:54:32.000Z</t>
  </si>
  <si>
    <t>@Rockandbrock</t>
  </si>
  <si>
    <t>https://twitter.com/VW/status/623607857846464512</t>
  </si>
  <si>
    <t>Did we snap pics of your VW at #Waterfest21? Visit our Facebook album to see &amp; tag yourself: https://facebook.com/media/set/?set=a.10155864422420790.1073741907.169890760789&amp;type=3…</t>
  </si>
  <si>
    <t>2015-07-21T21:37:54.000Z</t>
  </si>
  <si>
    <t>https://twitter.com/VW/status/623604635044065280</t>
  </si>
  <si>
    <t>Receive a 20% discount on #RedBullGRC Detroit tickets for this weekend using RBGRCDTVW: http://bit.ly/1HQjDBx #VWGRC</t>
  </si>
  <si>
    <t>2015-07-21T21:25:05.000Z</t>
  </si>
  <si>
    <t>https://twitter.com/VW/status/623596890479681536</t>
  </si>
  <si>
    <t>@SusacTomislav We’re sorry this is happening. Please DM us your VIN and email so we can look into this further for you.</t>
  </si>
  <si>
    <t>2015-07-21T20:54:19.000Z</t>
  </si>
  <si>
    <t>https://twitter.com/VW/status/623570002596098048</t>
  </si>
  <si>
    <t>@melenagandara We’d like to hear more about what happened. Please DM us your VIN and email so we can look into this further for you.</t>
  </si>
  <si>
    <t>2015-07-21T19:07:28.000Z</t>
  </si>
  <si>
    <t>@melenagandara</t>
  </si>
  <si>
    <t>https://twitter.com/VW/status/623570000742236160</t>
  </si>
  <si>
    <t>@melenagandara Our hope is for you to have a great relationship with your dealer, and we’re sorry this was not yours with Deel VW.</t>
  </si>
  <si>
    <t>https://twitter.com/VW/status/623562018684043264</t>
  </si>
  <si>
    <t>Rrrrrrrremarkable. #VW #GolfR #UnleashYourRrrr http://rrr.vw.com</t>
  </si>
  <si>
    <t>2015-07-21T18:35:45.000Z</t>
  </si>
  <si>
    <t>https://twitter.com/VW/status/623560702423252992</t>
  </si>
  <si>
    <t>@ladyguenivere This is not the experience we want you to have. Please DM us your VIN and email so we can look into this further.</t>
  </si>
  <si>
    <t>2015-07-21T18:30:31.000Z</t>
  </si>
  <si>
    <t>@gweniphur</t>
  </si>
  <si>
    <t>https://twitter.com/VW/status/623557102607298560</t>
  </si>
  <si>
    <t>@JaimeVotaw Thanks for the info! We will be reaching out soon.</t>
  </si>
  <si>
    <t>2015-07-21T18:16:13.000Z</t>
  </si>
  <si>
    <t>@JaimeVotaw</t>
  </si>
  <si>
    <t>https://twitter.com/VW/status/623479291334955008</t>
  </si>
  <si>
    <t>@ThomasBenson5 We see you've contacted our Customer CARE Team. One of our colleagues will be reaching out soon</t>
  </si>
  <si>
    <t>2015-07-21T13:07:01.000Z</t>
  </si>
  <si>
    <t>https://twitter.com/VW/status/623357276712079360</t>
  </si>
  <si>
    <t>Meet @TannerFoust and @ScottSpeed at Suburban VW in Troy, MI, this Wednesday from 6:30-8pm. #VWGRC</t>
  </si>
  <si>
    <t>2015-07-21T05:02:10.000Z</t>
  </si>
  <si>
    <t>https://twitter.com/VW/status/623196873323581441</t>
  </si>
  <si>
    <t>Brrrrrrrrilliant. #VW #GolfR #UnleashYourRrrr http://rrr.vw.com https://twitter.com/TannerFoust/status/622541845797564416…</t>
  </si>
  <si>
    <t>2015-07-20T18:24:47.000Z</t>
  </si>
  <si>
    <t>https://twitter.com/VW/status/623194077874425857</t>
  </si>
  <si>
    <t>@EVossburg We’re happy to research this further. Please DM us your email, and we will look into this for you.</t>
  </si>
  <si>
    <t>2015-07-20T18:13:41.000Z</t>
  </si>
  <si>
    <t>@EVossburg</t>
  </si>
  <si>
    <t>https://twitter.com/VW/status/623187275489251328</t>
  </si>
  <si>
    <t>@JazzPacemaker This is not the experience we want you to have. Please DM us your VIN and email so we can look into this further.</t>
  </si>
  <si>
    <t>2015-07-20T17:46:39.000Z</t>
  </si>
  <si>
    <t>https://twitter.com/VW/status/623187271370477568</t>
  </si>
  <si>
    <t>@jmu23p We see you’ve been working with one of our colleagues, please let us know if there’s anything else we can do for you. #VWcares</t>
  </si>
  <si>
    <t>2015-07-20T17:46:38.000Z</t>
  </si>
  <si>
    <t>https://twitter.com/VW/status/623187267075510272</t>
  </si>
  <si>
    <t>@jmu23p We’re very sorry, John. We wanted a much better experience for you at our dealership. #VWcares</t>
  </si>
  <si>
    <t>2015-07-20T17:46:37.000Z</t>
  </si>
  <si>
    <t>https://twitter.com/VW/status/623187264189825024</t>
  </si>
  <si>
    <t>@BHEC Once we have it, we will make reaching out to you a priority #VWCares.</t>
  </si>
  <si>
    <t>2015-07-20T17:46:36.000Z</t>
  </si>
  <si>
    <t>@BHEC</t>
  </si>
  <si>
    <t>https://twitter.com/VW/status/623187260133904384</t>
  </si>
  <si>
    <t>@BHEC We’re sorry for any inconvenience this may have caused. We seem to have not received your email and VIN.</t>
  </si>
  <si>
    <t>2015-07-20T17:46:35.000Z</t>
  </si>
  <si>
    <t>https://twitter.com/VW/status/623187258405826560</t>
  </si>
  <si>
    <t>@jason25cali f there’s anything we can do to assist you, please give us a call at 800-822-8987. We’re always happy to help! #VWcares</t>
  </si>
  <si>
    <t>@jason25cali</t>
  </si>
  <si>
    <t>https://twitter.com/VW/status/623187255075540992</t>
  </si>
  <si>
    <t>@jason25cali We wanted you to have a carefree experience with your Golf, so we’re very sorry to hear you’ve had concerns.</t>
  </si>
  <si>
    <t>2015-07-20T17:46:34.000Z</t>
  </si>
  <si>
    <t>https://twitter.com/VW/status/623187253284597760</t>
  </si>
  <si>
    <t>@vw32167 Be safe on your travels, and have fun!</t>
  </si>
  <si>
    <t>@vw32167</t>
  </si>
  <si>
    <t>https://twitter.com/VW/status/623187250608640000</t>
  </si>
  <si>
    <t>@vw32167 We recommend reaching out to your local VW dealer for information regarding your questions. They’re in the best position to help</t>
  </si>
  <si>
    <t>2015-07-20T17:46:33.000Z</t>
  </si>
  <si>
    <t>https://twitter.com/VW/status/623187248964485120</t>
  </si>
  <si>
    <t>@RichBecker Please feel free to contact us at http://vw.com/contact. We would be glad to hear more about what happened. #VWcares</t>
  </si>
  <si>
    <t>@RichBecker</t>
  </si>
  <si>
    <t>https://twitter.com/VW/status/623187244057145345</t>
  </si>
  <si>
    <t>@RichBecker We’re very sorry to hear this, Richard. We wanted an easy and carefree experience for you at our dealership.</t>
  </si>
  <si>
    <t>2015-07-20T17:46:31.000Z</t>
  </si>
  <si>
    <t>https://twitter.com/VW/status/623187242039705600</t>
  </si>
  <si>
    <t>@JaimeVotaw Please DM us your email address so we can research this further.</t>
  </si>
  <si>
    <t>https://twitter.com/VW/status/623187239560843264</t>
  </si>
  <si>
    <t>@JaimeVotaw Thank you so much for sharing this exciting news! We’re ecstatic to hear of your father’s time as part of our family.</t>
  </si>
  <si>
    <t>2015-07-20T17:46:30.000Z</t>
  </si>
  <si>
    <t>https://twitter.com/VW/status/623167834621751296</t>
  </si>
  <si>
    <t>@taygillespie DM us your VIN and email so we can look into this further for you.</t>
  </si>
  <si>
    <t>2015-07-20T16:29:24.000Z</t>
  </si>
  <si>
    <t>@taygillespie</t>
  </si>
  <si>
    <t>https://twitter.com/VW/status/623167831857762305</t>
  </si>
  <si>
    <t>@taygillespie Our hope is for our drivers and dealers to have a great relationship, and we’d like to hear more about yours.</t>
  </si>
  <si>
    <t>2015-07-20T16:29:23.000Z</t>
  </si>
  <si>
    <t>https://twitter.com/VW/status/622896500763414529</t>
  </si>
  <si>
    <t>2015-07-19T22:31:13.000Z</t>
  </si>
  <si>
    <t>https://twitter.com/VW/status/622885435375755264</t>
  </si>
  <si>
    <t>Thanks to everyone who made it out to #Waterfest21. Until next year!</t>
  </si>
  <si>
    <t>2015-07-19T21:47:15.000Z</t>
  </si>
  <si>
    <t>https://twitter.com/VW/status/622856636416266240</t>
  </si>
  <si>
    <t>2015-07-19T19:52:48.000Z</t>
  </si>
  <si>
    <t>https://twitter.com/VW/status/622848508387831808</t>
  </si>
  <si>
    <t>Pretty in Pink. #Waterfest21</t>
  </si>
  <si>
    <t>2015-07-19T19:20:31.000Z</t>
  </si>
  <si>
    <t>https://twitter.com/VW/status/622806509563412480</t>
  </si>
  <si>
    <t>The #MTBnats Downhill is hair-raising whether you’re on two wheels or four. #VW4Cycling</t>
  </si>
  <si>
    <t>2015-07-19T16:33:37.000Z</t>
  </si>
  <si>
    <t>https://twitter.com/VW/status/622791238555705345</t>
  </si>
  <si>
    <t>#VW 4 Tricycling! #Waterfest21 #VW4Cycling</t>
  </si>
  <si>
    <t>2015-07-19T15:32:56.000Z</t>
  </si>
  <si>
    <t>https://twitter.com/VW/status/622783029245820928</t>
  </si>
  <si>
    <t>Water. Fest. Fire. Bug. #Waterfest21</t>
  </si>
  <si>
    <t>2015-07-19T15:00:19.000Z</t>
  </si>
  <si>
    <t>https://twitter.com/VW/status/622769388358365185</t>
  </si>
  <si>
    <t>At #Waterfest21? Visit #VW to get your swag!</t>
  </si>
  <si>
    <t>2015-07-19T14:06:07.000Z</t>
  </si>
  <si>
    <t>https://twitter.com/VW/status/622763865009467392</t>
  </si>
  <si>
    <t>It's going to be a hot one today at #Waterfest21.</t>
  </si>
  <si>
    <t>2015-07-19T13:44:10.000Z</t>
  </si>
  <si>
    <t>https://twitter.com/VW/status/622753152417329152</t>
  </si>
  <si>
    <t>Are you ready for Day 2 of #Waterfest21?</t>
  </si>
  <si>
    <t>2015-07-19T13:01:36.000Z</t>
  </si>
  <si>
    <t>https://twitter.com/VW/status/622522408264712192</t>
  </si>
  <si>
    <t>This Caddy's got bite! #Waterfest21</t>
  </si>
  <si>
    <t>2015-07-18T21:44:42.000Z</t>
  </si>
  <si>
    <t>https://twitter.com/VW/status/622513287914221568</t>
  </si>
  <si>
    <t>... and we love @rico_arg's #SCIROCCO! #Waterfest21</t>
  </si>
  <si>
    <t>2015-07-18T21:08:28.000Z</t>
  </si>
  <si>
    <t>https://twitter.com/VW/status/622502639905935364</t>
  </si>
  <si>
    <t>2015-07-18T20:26:09.000Z</t>
  </si>
  <si>
    <t>https://twitter.com/VW/status/622493288021557248</t>
  </si>
  <si>
    <t>Can you say Doka? #Waterfest21</t>
  </si>
  <si>
    <t>2015-07-18T19:48:59.000Z</t>
  </si>
  <si>
    <t>https://twitter.com/VW/status/622463500175028224</t>
  </si>
  <si>
    <t>#MTBnats attendees, come grab free VW Waffles until 1pm today. #VW4Cycling</t>
  </si>
  <si>
    <t>2015-07-18T17:50:37.000Z</t>
  </si>
  <si>
    <t>https://twitter.com/VW/status/622459970525605888</t>
  </si>
  <si>
    <t>Eat our dust. #MTBnats 
#VW4Cycling</t>
  </si>
  <si>
    <t>2015-07-18T17:36:36.000Z</t>
  </si>
  <si>
    <t>https://twitter.com/VW/status/622418686821945344</t>
  </si>
  <si>
    <t>1hr left for final #WaterfestPrep! Stay tuned for all things #Waterfest21 later today.</t>
  </si>
  <si>
    <t>2015-07-18T14:52:33.000Z</t>
  </si>
  <si>
    <t>https://twitter.com/VW/status/622410961882886144</t>
  </si>
  <si>
    <t>Which models do you want to see from #Waterfest21?</t>
  </si>
  <si>
    <t>2015-07-18T14:21:51.000Z</t>
  </si>
  <si>
    <t>https://twitter.com/VW/status/622403319466729472</t>
  </si>
  <si>
    <t>.@TannerFoust fan? Be sure to check out his RWB Beetle and #VWGRC Beetle on display at #Waterfest21.</t>
  </si>
  <si>
    <t>2015-07-18T13:51:29.000Z</t>
  </si>
  <si>
    <t>https://twitter.com/VW/status/622395047858802688</t>
  </si>
  <si>
    <t>Now this is what we call "an inside look" at #Waterfest21. #WaterfestPrep</t>
  </si>
  <si>
    <t>2015-07-18T13:18:37.000Z</t>
  </si>
  <si>
    <t>https://twitter.com/VW/status/622214738873724928</t>
  </si>
  <si>
    <t>@911bris Your satisfaction is important to us. Please DM us your VIN and phone # and we will make reaching out to you a priority. #VWCares</t>
  </si>
  <si>
    <t>2015-07-18T01:22:08.000Z</t>
  </si>
  <si>
    <t>@911bris</t>
  </si>
  <si>
    <t>https://twitter.com/VW/status/622187746292039680</t>
  </si>
  <si>
    <t>Sneak peak at our #MTBnats stunt video releasing next week. #VW4Cycling</t>
  </si>
  <si>
    <t>2015-07-17T23:34:53.000Z</t>
  </si>
  <si>
    <t>https://twitter.com/VW/status/622163482587361280</t>
  </si>
  <si>
    <t>Tweet us your caption for this photo. #Waterfest21 #WaterfestPrep</t>
  </si>
  <si>
    <t>2015-07-17T21:58:28.000Z</t>
  </si>
  <si>
    <t>https://twitter.com/VW/status/622148550026264576</t>
  </si>
  <si>
    <t>We're in Jersey... #GTL! Gear. Tires. Launch control. #Waterfest21 #WaterfestPrep</t>
  </si>
  <si>
    <t>2015-07-17T20:59:07.000Z</t>
  </si>
  <si>
    <t>https://twitter.com/VW/status/622136820218863617</t>
  </si>
  <si>
    <t>We put the "Fun" in TELEFUNKEN! #Waterfest21 #WaterfestPrep</t>
  </si>
  <si>
    <t>2015-07-17T20:12:31.000Z</t>
  </si>
  <si>
    <t>https://twitter.com/VW/status/622125437376839681</t>
  </si>
  <si>
    <t>For those attending #MTBnats, visit our space between 9am-1pm today and tomorrow for VW waffles. #VW4Cycling</t>
  </si>
  <si>
    <t>2015-07-17T19:27:17.000Z</t>
  </si>
  <si>
    <t>https://twitter.com/VW/status/622124982160748545</t>
  </si>
  <si>
    <t>Team #VW in full #WaterfestPrep mode. #Waterfest21</t>
  </si>
  <si>
    <t>2015-07-17T19:25:28.000Z</t>
  </si>
  <si>
    <t>https://twitter.com/VW/status/622106728046264320</t>
  </si>
  <si>
    <t>@sweettrini You’re important to us, and we’d like to hear more. Please DM us your VIN and email.</t>
  </si>
  <si>
    <t>2015-07-17T18:12:56.000Z</t>
  </si>
  <si>
    <t>https://twitter.com/VW/status/622094132811448320</t>
  </si>
  <si>
    <t>@KevinGibbsPGA We’re happy to see how we can help. One of our colleagues will reach out to you soon. #VWcares</t>
  </si>
  <si>
    <t>2015-07-17T17:22:53.000Z</t>
  </si>
  <si>
    <t>@KevinGibbsPGA</t>
  </si>
  <si>
    <t>https://twitter.com/VW/status/622094128331911168</t>
  </si>
  <si>
    <t>@KevinGibbsPGA We’re very sorry to hear this, Kevin. That is not the kind of experience we wanted for you or your wife</t>
  </si>
  <si>
    <t>2015-07-17T17:22:52.000Z</t>
  </si>
  <si>
    <t>https://twitter.com/VW/status/622085614511517700</t>
  </si>
  <si>
    <t>You make the sounds. We make the video. Create your own #GolfR film. -&gt; http://rrr.vw.com #VW #UnleashYourRrrr https://twitter.com/VW/status/620649045657300992…</t>
  </si>
  <si>
    <t>2015-07-17T16:49:02.000Z</t>
  </si>
  <si>
    <t>https://twitter.com/VW/status/622083905999474688</t>
  </si>
  <si>
    <t>"We know who we're voting for!" Vote Team #VWGRC, No. 34 and No. 41 HERE: http://redbullglobalrallycross.com/news/features/fan-voice-friday-livery-madness/…</t>
  </si>
  <si>
    <t>2015-07-17T16:42:15.000Z</t>
  </si>
  <si>
    <t>https://twitter.com/VW/status/622083736709013504</t>
  </si>
  <si>
    <t>Kicking up dust at #MTBnats. #VW4Cycling</t>
  </si>
  <si>
    <t>2015-07-17T16:41:35.000Z</t>
  </si>
  <si>
    <t>https://twitter.com/VW/status/622024721341751296</t>
  </si>
  <si>
    <t>2015-07-17T12:47:04.000Z</t>
  </si>
  <si>
    <t>https://twitter.com/VW/status/622022598503706624</t>
  </si>
  <si>
    <t>@pgolo Please DM us your VIN and email so we can look into this further. #VWCares</t>
  </si>
  <si>
    <t>2015-07-17T12:38:38.000Z</t>
  </si>
  <si>
    <t>@pgolo</t>
  </si>
  <si>
    <t>https://twitter.com/VW/status/622022596830171136</t>
  </si>
  <si>
    <t>@pgolo We’re saddened to hear your experience has caused you to want to leave the brand. We’d like to hear more about what happened.</t>
  </si>
  <si>
    <t>https://twitter.com/VW/status/621842158929063936</t>
  </si>
  <si>
    <t>We're proud to sponsor the #MTBnats this week in Mammoth Lakes. #VW4Cycling</t>
  </si>
  <si>
    <t>2015-07-17T00:41:38.000Z</t>
  </si>
  <si>
    <t>https://twitter.com/VW/status/621836260475166720</t>
  </si>
  <si>
    <t>Riley Mueller shows what it takes to ride Enduro at #MTBnats. #VW4Cycling</t>
  </si>
  <si>
    <t>2015-07-17T00:18:12.000Z</t>
  </si>
  <si>
    <t>https://twitter.com/VW/status/621731507019714560</t>
  </si>
  <si>
    <t>@MeKnite We're sorry this happened with your vehicle. Please feel free to contact us at http://vw.com/contact if we can do anything to help</t>
  </si>
  <si>
    <t>2015-07-16T17:21:57.000Z</t>
  </si>
  <si>
    <t>@MeKnite</t>
  </si>
  <si>
    <t>https://twitter.com/VW/status/621657261325205504</t>
  </si>
  <si>
    <t>@trager_emma If it’s easier for you, you can reach us by phone at 800-822-8987. Any of our colleagues would be happy to assist you. #VWcares</t>
  </si>
  <si>
    <t>2015-07-16T12:26:55.000Z</t>
  </si>
  <si>
    <t>@trager_emma</t>
  </si>
  <si>
    <t>https://twitter.com/VW/status/621657259618123776</t>
  </si>
  <si>
    <t>@trager_emma We would be more than happy to see how we can help. DM us your email and we’ll gladly reach out to you. #VWcares</t>
  </si>
  <si>
    <t>https://twitter.com/VW/status/621657257533517825</t>
  </si>
  <si>
    <t>@khloed You can reach us at http://vw.com/contact. We’re always happy to see what we can do to help! #VWcares</t>
  </si>
  <si>
    <t>2015-07-16T12:26:54.000Z</t>
  </si>
  <si>
    <t>https://twitter.com/VW/status/621657255193128960</t>
  </si>
  <si>
    <t>@khloed We’re very sorry for any inconvenience this has caused. Please let us know if you’d like us to follow up on your service. #VWcares</t>
  </si>
  <si>
    <t>https://twitter.com/VW/status/621656382106808320</t>
  </si>
  <si>
    <t>@scottmoberly They will be reaching out to you soon. If you need anything else from us, please let us know.</t>
  </si>
  <si>
    <t>2015-07-16T12:23:25.000Z</t>
  </si>
  <si>
    <t>@scottmoberly</t>
  </si>
  <si>
    <t>https://twitter.com/VW/status/621656380064149505</t>
  </si>
  <si>
    <t>@scottmoberly We want our drivers and dealers to have a great relationship. We see you’re working with one of our colleagues.</t>
  </si>
  <si>
    <t>https://twitter.com/VW/status/621656378885541888</t>
  </si>
  <si>
    <t>@ladyjt We would be happy to see how we might be able to help. DM us your email and we’ll reach out to you as soon as we can. #VWcares</t>
  </si>
  <si>
    <t>@bicoastalwitch</t>
  </si>
  <si>
    <t>https://twitter.com/VW/status/621655452288286720</t>
  </si>
  <si>
    <t>@ladyjt We wanted your ownership to be easy and carefree, so we’re sorry to hear you’re having concerns with your Passat. #VWcares</t>
  </si>
  <si>
    <t>2015-07-16T12:19:44.000Z</t>
  </si>
  <si>
    <t>https://twitter.com/VW/status/621494467187478528</t>
  </si>
  <si>
    <t>@FranklinHolly We’d like to verify your contact info. Please DM us your email and we’ll make reaching out to you a priority. #VWcares</t>
  </si>
  <si>
    <t>2015-07-16T01:40:02.000Z</t>
  </si>
  <si>
    <t>@FranklinHolly</t>
  </si>
  <si>
    <t>https://twitter.com/VW/status/621494465404891136</t>
  </si>
  <si>
    <t>@FranklinHolly We’re very sorry, Holly. Please know your concerns are of the utmost importance to us.</t>
  </si>
  <si>
    <t>https://twitter.com/VW/status/621467550635937792</t>
  </si>
  <si>
    <t>Shooting the #MTBnats courses with @EvDong. #VW4Cycling</t>
  </si>
  <si>
    <t>2015-07-15T23:53:05.000Z</t>
  </si>
  <si>
    <t>https://twitter.com/VW/status/621401470416502784</t>
  </si>
  <si>
    <t>@kfishal You can keep up with http://media.vw.com for all the latest news from us! #VWcares</t>
  </si>
  <si>
    <t>2015-07-15T19:30:30.000Z</t>
  </si>
  <si>
    <t>https://twitter.com/VW/status/621401468961058816</t>
  </si>
  <si>
    <t>@kfishal We’re glad to have your interest, but we don’t yet have any updates about the CrossBlue.</t>
  </si>
  <si>
    <t>2015-07-15T19:30:29.000Z</t>
  </si>
  <si>
    <t>https://twitter.com/VW/status/621388365464612864</t>
  </si>
  <si>
    <t>@olygeeks This is not the experience we want you to have. Please DM us your email and VIN so we can look into this further.</t>
  </si>
  <si>
    <t>2015-07-15T18:38:25.000Z</t>
  </si>
  <si>
    <t>@olygeeks</t>
  </si>
  <si>
    <t>https://twitter.com/VW/status/621385776815669250</t>
  </si>
  <si>
    <t>@daddyrush_ We’re happy to try to help with any worries you may be facing.</t>
  </si>
  <si>
    <t>2015-07-15T18:28:08.000Z</t>
  </si>
  <si>
    <t>@daddyrush_</t>
  </si>
  <si>
    <t>https://twitter.com/VW/status/621385773154078721</t>
  </si>
  <si>
    <t>@cchamelin This is not the experience we want you to have. Please DM us your VIN and email so we can look into this further.</t>
  </si>
  <si>
    <t>2015-07-15T18:28:07.000Z</t>
  </si>
  <si>
    <t>@cchamelin</t>
  </si>
  <si>
    <t>https://twitter.com/VW/status/621380362866855936</t>
  </si>
  <si>
    <t>@UglyGoatHerder This is not the experience we want for our drivers. Please DM us you VIN and email so we can look into this further for you</t>
  </si>
  <si>
    <t>2015-07-15T18:06:37.000Z</t>
  </si>
  <si>
    <t>@UglyGoatHerder</t>
  </si>
  <si>
    <t>https://twitter.com/VW/status/621363696128905217</t>
  </si>
  <si>
    <t>We want to hear you roar. And roar. And roarrrr. #VW #GolfR #UnleashYourRrrr https://twitter.com/VW/status/620649045657300992…</t>
  </si>
  <si>
    <t>2015-07-15T17:00:24.000Z</t>
  </si>
  <si>
    <t>https://twitter.com/VW/status/621318179961352193</t>
  </si>
  <si>
    <t>Save your voice. Use VW Online Service Scheduling instead. How convenient. http://bit.ly/1FQhun0</t>
  </si>
  <si>
    <t>2015-07-15T13:59:32.000Z</t>
  </si>
  <si>
    <t>https://twitter.com/VW/status/621119913839607808</t>
  </si>
  <si>
    <t>@KolbPlay We would be more than happy to find out how we can help. DM us your email address and we’ll reach out to you. #VWcares</t>
  </si>
  <si>
    <t>2015-07-15T00:51:41.000Z</t>
  </si>
  <si>
    <t>https://twitter.com/VW/status/621106072271458304</t>
  </si>
  <si>
    <t>@M_Katzer11 This is not the experience we want you to have, Mike. Please DM us your VIN and email so we can look into this further.</t>
  </si>
  <si>
    <t>2015-07-14T23:56:41.000Z</t>
  </si>
  <si>
    <t>https://twitter.com/VW/status/621100848655921153</t>
  </si>
  <si>
    <t>@dawngluskin We’re sorry to hear this happened. Please DM us your VIN and email so we can look into this further.</t>
  </si>
  <si>
    <t>2015-07-14T23:35:56.000Z</t>
  </si>
  <si>
    <t>https://twitter.com/VW/status/621100847074705408</t>
  </si>
  <si>
    <t>@cdengKSU This is not the experience we want for our drivers. Please DM us our VIN and email so we can look into this more.</t>
  </si>
  <si>
    <t>@cdengKSU</t>
  </si>
  <si>
    <t>https://twitter.com/VW/status/621100845921275912</t>
  </si>
  <si>
    <t>@TimBlaze We would like to hear more about it. DM us your email address and we will be glad to reach out to you. #VWcares</t>
  </si>
  <si>
    <t>2015-07-14T23:35:55.000Z</t>
  </si>
  <si>
    <t>@TimBlaze</t>
  </si>
  <si>
    <t>https://twitter.com/VW/status/621100844277067777</t>
  </si>
  <si>
    <t>@TimBlaze We wanted your ownership to be carefree. We’re very sorry to hear our Roadside Assistance did not meet your expectations.</t>
  </si>
  <si>
    <t>https://twitter.com/VW/status/621082621469036544</t>
  </si>
  <si>
    <t>@Mungub We’re sorry your Jetta was towed! We’d like to hear more about what happened. Please DM your VIN and email so we can look into this</t>
  </si>
  <si>
    <t>2015-07-14T22:23:30.000Z</t>
  </si>
  <si>
    <t>@Mungub</t>
  </si>
  <si>
    <t>https://twitter.com/VW/status/621082619782926336</t>
  </si>
  <si>
    <t>@kaharpe We’re sorry to hear this is happening. Please DM us your VIN and email so we can look into this further.</t>
  </si>
  <si>
    <t>@kaharpe</t>
  </si>
  <si>
    <t>https://twitter.com/VW/status/621082618474270722</t>
  </si>
  <si>
    <t>@OhMoonsey We would very much appreciate the chance to get involved. DM us your email and we’ll gladly reach out to you. #VWcares</t>
  </si>
  <si>
    <t>https://twitter.com/VW/status/621082616507166721</t>
  </si>
  <si>
    <t>@OhMoonsey We’re very sorry, Susan. That is not at all the type of experience we wanted for you in your Jetta.</t>
  </si>
  <si>
    <t>2015-07-14T22:23:29.000Z</t>
  </si>
  <si>
    <t>https://twitter.com/VW/status/621082615148232704</t>
  </si>
  <si>
    <t>@_rickmoore_  You spoke with one of our colleagues, and we regret we didn’t meet your expectations. If you need us in the future, we’re here</t>
  </si>
  <si>
    <t>@_rickmoore_</t>
  </si>
  <si>
    <t>https://twitter.com/VW/status/621082613013331968</t>
  </si>
  <si>
    <t>@_rickmoore_ Our hope is for you to have a carefree experience, and we’re sorry yours was anything less than wonderful.</t>
  </si>
  <si>
    <t>2015-07-14T22:23:28.000Z</t>
  </si>
  <si>
    <t>https://twitter.com/VW/status/621071841583456257</t>
  </si>
  <si>
    <t>@MrBlank This is not the experience we want you to have. Please DM us your VIN and email so we can hear more about it.</t>
  </si>
  <si>
    <t>2015-07-14T21:40:40.000Z</t>
  </si>
  <si>
    <t>@MrBlank</t>
  </si>
  <si>
    <t>https://twitter.com/VW/status/621071840279015424</t>
  </si>
  <si>
    <t>@ryanjordansf If you’d like, DM us your email address and we will gladly reach out to you. #VWcares</t>
  </si>
  <si>
    <t>https://twitter.com/VW/status/621071838441943040</t>
  </si>
  <si>
    <t>@ryanjordansf We wanted a world-class experience for you at our dealer. We sincerely apologize that yours did not meet that expectation.</t>
  </si>
  <si>
    <t>2015-07-14T21:40:39.000Z</t>
  </si>
  <si>
    <t>https://twitter.com/VW/status/621044667426082816</t>
  </si>
  <si>
    <t>@mason_aaron We’d like to see how we might be able to help. DM your email and we’ll be glad to reach out to you. #VWcares</t>
  </si>
  <si>
    <t>2015-07-14T19:52:41.000Z</t>
  </si>
  <si>
    <t>@mason_aaron</t>
  </si>
  <si>
    <t>https://twitter.com/VW/status/621041286875713536</t>
  </si>
  <si>
    <t>@JohnSwafford13 We’ll make sure to send the email again. Be sure to check your SPAM folder, as our emails can sometimes be directed there.</t>
  </si>
  <si>
    <t>2015-07-14T19:39:15.000Z</t>
  </si>
  <si>
    <t>@JohnSwafford13</t>
  </si>
  <si>
    <t>https://twitter.com/VW/status/621041283490975745</t>
  </si>
  <si>
    <t>@JohnSwafford13 Your concerns are very important to us, John. It looks like we emailed you on 7/2/15 and didn’t hear back.</t>
  </si>
  <si>
    <t>https://twitter.com/VW/status/620958408263471104</t>
  </si>
  <si>
    <t>Get a unique video generated by your drrrriving sounds. Meet the #VW #GolfR. #UnleashYourRrrr http://bit.ly/golfrrrr</t>
  </si>
  <si>
    <t>2015-07-14T14:09:56.000Z</t>
  </si>
  <si>
    <t>https://twitter.com/VW/status/620680450290233344</t>
  </si>
  <si>
    <t>@cdfornya This is not the experience we wanted for you. Please DM us your VIN and email and we will reach out to you.</t>
  </si>
  <si>
    <t>2015-07-13T19:45:25.000Z</t>
  </si>
  <si>
    <t>@cdfornya</t>
  </si>
  <si>
    <t>https://twitter.com/VW/status/620678665655877632</t>
  </si>
  <si>
    <t>@jasonanddemarco Please DM us your VIN and phone number. We've also responded to your Facebook post.</t>
  </si>
  <si>
    <t>2015-07-13T19:38:20.000Z</t>
  </si>
  <si>
    <t>https://twitter.com/VW/status/620678663957184512</t>
  </si>
  <si>
    <t>@jasonanddemarco Your satisfaction is important. We’d like to talk more about your vehicle and will make reaching out to you a priority</t>
  </si>
  <si>
    <t>2015-07-13T19:38:19.000Z</t>
  </si>
  <si>
    <t>https://twitter.com/VW/status/620600379995099136</t>
  </si>
  <si>
    <t>@Beetlebaum73 Happy Birthday to your Beetle!</t>
  </si>
  <si>
    <t>2015-07-13T14:27:15.000Z</t>
  </si>
  <si>
    <t>https://twitter.com/VW/status/620569623788793857</t>
  </si>
  <si>
    <t>@KevinMo4351 For more help, please contact your local VW dealer.  You can find your nearest dealer here: http://vw.com/find-a-dealer/.</t>
  </si>
  <si>
    <t>2015-07-13T12:25:02.000Z</t>
  </si>
  <si>
    <t>@KevinMo4351</t>
  </si>
  <si>
    <t>https://twitter.com/VW/status/620267130521415680</t>
  </si>
  <si>
    <t>@Joc_Gee We see you’ve spoken with Customer CARE recently. If you’d like to discuss your case further, please give us a call. #VWcares</t>
  </si>
  <si>
    <t>2015-07-12T16:23:02.000Z</t>
  </si>
  <si>
    <t>@Joc_Gee</t>
  </si>
  <si>
    <t>https://twitter.com/VW/status/620267128730464256</t>
  </si>
  <si>
    <t>@Joc_Gee We’re very sorry to hear about your Jetta. That is not the kind of experience we wanted for you.</t>
  </si>
  <si>
    <t>https://twitter.com/VW/status/620267127216345088</t>
  </si>
  <si>
    <t>@dana_leavitt We’d like to see how we can help. DM us your email address and we’ll gladly reach out to you. #VWcares</t>
  </si>
  <si>
    <t>2015-07-12T16:23:01.000Z</t>
  </si>
  <si>
    <t>@dana_leavitt</t>
  </si>
  <si>
    <t>https://twitter.com/VW/status/620267125454667776</t>
  </si>
  <si>
    <t>@dana_leavitt We’re very sorry, Dana. This is not the kind of experience we want you to have with your vehicle and our dealership.</t>
  </si>
  <si>
    <t>https://twitter.com/VW/status/619654476236886016</t>
  </si>
  <si>
    <t>@morgancoletta We want your VWs out on the open road! Contact us at http://vw.com/contact if there’s anything we can do to help. #VWcares</t>
  </si>
  <si>
    <t>2015-07-10T23:48:34.000Z</t>
  </si>
  <si>
    <t>@morgancoletta</t>
  </si>
  <si>
    <t>https://twitter.com/VW/status/619490453704957953</t>
  </si>
  <si>
    <t>@flagsemdown We hope you’re enjoying your Passat. A VW dealer can help you obtain the radio code. Locate a dealer at http://vw.com/find-a-dealer</t>
  </si>
  <si>
    <t>2015-07-10T12:56:48.000Z</t>
  </si>
  <si>
    <t>https://twitter.com/VW/status/619486031197306881</t>
  </si>
  <si>
    <t>@johnwilliams713 Someone will reach out to you today, John.</t>
  </si>
  <si>
    <t>2015-07-10T12:39:13.000Z</t>
  </si>
  <si>
    <t>https://twitter.com/VW/status/619282189000126464</t>
  </si>
  <si>
    <t>@JC39_ Your satisfaction is important to us.  Please DM us your VIN and phone # and we will make reaching out to you a priority.   #VWcares</t>
  </si>
  <si>
    <t>2015-07-09T23:09:14.000Z</t>
  </si>
  <si>
    <t>@JR39_</t>
  </si>
  <si>
    <t>https://twitter.com/VW/status/619223247507300352</t>
  </si>
  <si>
    <t>@RealChrisReese We appreciate your feedback, and if you have any other questions, please let us know.</t>
  </si>
  <si>
    <t>2015-07-09T19:15:01.000Z</t>
  </si>
  <si>
    <t>https://twitter.com/VW/status/619223244801986561</t>
  </si>
  <si>
    <t>@RealChrisReese The Help button located at the bottom right of the Car-Net site gives access the FAQ which has info on how to contact them</t>
  </si>
  <si>
    <t>2015-07-09T19:15:00.000Z</t>
  </si>
  <si>
    <t>https://twitter.com/VW/status/619222396759863296</t>
  </si>
  <si>
    <t>@johnny_morrison We’re sorry to hear this is happening. Please DM us your VIN and email so we can look into this further. #VWCares</t>
  </si>
  <si>
    <t>2015-07-09T19:11:38.000Z</t>
  </si>
  <si>
    <t>@johnny_morrison</t>
  </si>
  <si>
    <t>https://twitter.com/VW/status/619221528031416320</t>
  </si>
  <si>
    <t>@Drawbridge303 We see you’re working with one of our colleagues, &amp; they will be contacting you soon. If you need anything else; let us know</t>
  </si>
  <si>
    <t>2015-07-09T19:08:11.000Z</t>
  </si>
  <si>
    <t>https://twitter.com/VW/status/619221525774893056</t>
  </si>
  <si>
    <t>@Drawbridge303 You should be out enjoying your VW, and we’re sorry to hear your time with your Passat has not been wonderful.</t>
  </si>
  <si>
    <t>2015-07-09T19:08:10.000Z</t>
  </si>
  <si>
    <t>https://twitter.com/VW/status/619221523736457216</t>
  </si>
  <si>
    <t>@bgoodsonjr We review every situation on an individual basis. Please feel free to reach out to us in the future if we can be of assistance.</t>
  </si>
  <si>
    <t>@bgoodsonjr</t>
  </si>
  <si>
    <t>https://twitter.com/VW/status/619221521471545344</t>
  </si>
  <si>
    <t>@bgoodsonjr This is not the kind of experience we wanted for you. We’re very sorry we were unable to meet your expectations.</t>
  </si>
  <si>
    <t>2015-07-09T19:08:09.000Z</t>
  </si>
  <si>
    <t>https://twitter.com/VW/status/619221519043022848</t>
  </si>
  <si>
    <t>@johnwilliams713 We’re very sorry to hear this, John. DM us your email address and we’ll be glad to reach out to you. #VWcares</t>
  </si>
  <si>
    <t>https://twitter.com/VW/status/619221516371259392</t>
  </si>
  <si>
    <t>@RyanAmirault We understand your concern. Your dealership is in the best position to advise best practices for maintaining your VW.</t>
  </si>
  <si>
    <t>2015-07-09T19:08:08.000Z</t>
  </si>
  <si>
    <t>@RyanAmirault</t>
  </si>
  <si>
    <t>https://twitter.com/VW/status/619185413853331457</t>
  </si>
  <si>
    <t>@colin_swanson Please let us know once you have your appointment, so we can research more for you. We look forward to hearing from you.</t>
  </si>
  <si>
    <t>2015-07-09T16:44:41.000Z</t>
  </si>
  <si>
    <t>@colin_swanson</t>
  </si>
  <si>
    <t>https://twitter.com/VW/status/619185411416436736</t>
  </si>
  <si>
    <t>@colin_swanson We want you to love every minute in your VW. We see you’ve been working with one of our colleagues.</t>
  </si>
  <si>
    <t>2015-07-09T16:44:40.000Z</t>
  </si>
  <si>
    <t>https://twitter.com/VW/status/618940982743072768</t>
  </si>
  <si>
    <t>@AvilesGab We would be happy to see how we can help. Please DM us your email and we’ll be glad to reach out to you. #VWcares</t>
  </si>
  <si>
    <t>2015-07-09T00:33:24.000Z</t>
  </si>
  <si>
    <t>@AvilesGab</t>
  </si>
  <si>
    <t>https://twitter.com/VW/status/618940981056942080</t>
  </si>
  <si>
    <t>@AvilesGab We’re very sorry, Gabriela. This not the kind of experience we wanted for you in your Passat and with our dealer.</t>
  </si>
  <si>
    <t>2015-07-09T00:33:23.000Z</t>
  </si>
  <si>
    <t>https://twitter.com/VW/status/618939207776493568</t>
  </si>
  <si>
    <t>@LynchInsights Tim, the surveys go to the dealerships as well as the Customer CARE Center &amp; we apologize for the repeated calls #VWCares</t>
  </si>
  <si>
    <t>2015-07-09T00:26:21.000Z</t>
  </si>
  <si>
    <t>https://twitter.com/VW/status/618900913206341633</t>
  </si>
  <si>
    <t>@SeanPeter24 Give us a call at 800 822 8987 to see if we can help</t>
  </si>
  <si>
    <t>2015-07-08T21:54:10.000Z</t>
  </si>
  <si>
    <t>@SeanPeter24</t>
  </si>
  <si>
    <t>https://twitter.com/VW/status/618879323123027968</t>
  </si>
  <si>
    <t>@TechNerd21 We’d like to hear more about what’s happening. Please DM us your VIN and email so we can look into this further.</t>
  </si>
  <si>
    <t>2015-07-08T20:28:23.000Z</t>
  </si>
  <si>
    <t>https://twitter.com/VW/status/618873328086876160</t>
  </si>
  <si>
    <t>@jordanreeed We’re sorry this is happening with your VW. Please DM us your VIN and email so we can look into this further.</t>
  </si>
  <si>
    <t>2015-07-08T20:04:34.000Z</t>
  </si>
  <si>
    <t>@jordanreeed</t>
  </si>
  <si>
    <t>https://twitter.com/VW/status/618873324991442944</t>
  </si>
  <si>
    <t>@morphy110 If you’d like to discuss this further, please feel free to reach out to us at http://vw.com/contact</t>
  </si>
  <si>
    <t>2015-07-08T20:04:33.000Z</t>
  </si>
  <si>
    <t>https://twitter.com/VW/status/618873323464757248</t>
  </si>
  <si>
    <t>@morphy110 We want you to enjoy every minute in your VW, and we’re sorry to hear yours has been anything less than wonderful.</t>
  </si>
  <si>
    <t>https://twitter.com/VW/status/618873321963171842</t>
  </si>
  <si>
    <t>@McCollisterN We’re happy to look into this further for you. Please DM us your VIN and email so we can further research.</t>
  </si>
  <si>
    <t>2015-07-08T20:04:32.000Z</t>
  </si>
  <si>
    <t>@McCollisterN</t>
  </si>
  <si>
    <t>https://twitter.com/VW/status/618873320298033152</t>
  </si>
  <si>
    <t>@mollari2261 We reached out to VCI on your behalf. One of our colleagues from VW Credit will be reaching out to you to discuss your payments</t>
  </si>
  <si>
    <t>https://twitter.com/VW/status/618841702325977089</t>
  </si>
  <si>
    <t>2015-07-08T17:58:54.000Z</t>
  </si>
  <si>
    <t>https://twitter.com/VW/status/618838187981471744</t>
  </si>
  <si>
    <t>@Tangerslanger The timer is the amount of days until the maintenance needs to be performed. We suggest taking it to a VW dealer for service.</t>
  </si>
  <si>
    <t>2015-07-08T17:44:56.000Z</t>
  </si>
  <si>
    <t>@anticopdoge</t>
  </si>
  <si>
    <t>https://twitter.com/VW/status/618838185573879808</t>
  </si>
  <si>
    <t>@Tangerslanger This should be how many miles you can go until your next needed maintenance.</t>
  </si>
  <si>
    <t>2015-07-08T17:44:55.000Z</t>
  </si>
  <si>
    <t>https://twitter.com/VW/status/618826120545222656</t>
  </si>
  <si>
    <t>@RobotSkeleton69  Your local VW dealer is in the best position to help you locate a vehicle. We can’t wait to see you in a VW soon.</t>
  </si>
  <si>
    <t>2015-07-08T16:56:59.000Z</t>
  </si>
  <si>
    <t>https://twitter.com/VW/status/618826118590627840</t>
  </si>
  <si>
    <t>@RobotSkeleton69 We’re excited by your interested, and appreciate your feedback.</t>
  </si>
  <si>
    <t>2015-07-08T16:56:58.000Z</t>
  </si>
  <si>
    <t>https://twitter.com/VW/status/618820690532134912</t>
  </si>
  <si>
    <t>@BHEC This is not the experience we want you to have, Hector. Please DM us your VIN and email address so we can look into this further</t>
  </si>
  <si>
    <t>2015-07-08T16:35:24.000Z</t>
  </si>
  <si>
    <t>https://twitter.com/VW/status/618820686853738496</t>
  </si>
  <si>
    <t>@ujdsanskruti Thanks for providing your info. One of our colleagues will be reaching out to you soon.</t>
  </si>
  <si>
    <t>2015-07-08T16:35:23.000Z</t>
  </si>
  <si>
    <t>@ujdsanskruti</t>
  </si>
  <si>
    <t>https://twitter.com/VW/status/618809358789390338</t>
  </si>
  <si>
    <t>@TheJasonProject We’re sorry to hear of your experience. If you’d like to share it, please reach out to us at http://vw.com/contact</t>
  </si>
  <si>
    <t>2015-07-08T15:50:22.000Z</t>
  </si>
  <si>
    <t>@TheJasonProject</t>
  </si>
  <si>
    <t>https://twitter.com/VW/status/618756164369526784</t>
  </si>
  <si>
    <t>@AyyBayyBayy_ We’re very sorry to hear about your windows. DM us your email address, we’d like to hear more about what’s happening. #VWcares</t>
  </si>
  <si>
    <t>2015-07-08T12:19:00.000Z</t>
  </si>
  <si>
    <t>@AyyBayyBayy_</t>
  </si>
  <si>
    <t>https://twitter.com/VW/status/618756161844592641</t>
  </si>
  <si>
    <t>@Sarah_BA We would be glad to see how we might be able help. DM us your email address and we’ll be happy to reach out to you. #VWcares</t>
  </si>
  <si>
    <t>2015-07-08T12:18:59.000Z</t>
  </si>
  <si>
    <t>@Sarah_BA</t>
  </si>
  <si>
    <t>https://twitter.com/VW/status/618755164917239808</t>
  </si>
  <si>
    <t>@Sarah_BA  We wanted an easy and carefree ownership for you, so we’re very sorry to hear you’ve had concerns with your Jetta.</t>
  </si>
  <si>
    <t>2015-07-08T12:15:01.000Z</t>
  </si>
  <si>
    <t>https://twitter.com/VW/status/618755162690039808</t>
  </si>
  <si>
    <t>@Jackielove_g We’re very sorry to hear about your airbags. One of our colleagues will reach out to you soon. #VWcares</t>
  </si>
  <si>
    <t>@Jackielove_g</t>
  </si>
  <si>
    <t>https://twitter.com/VW/status/618545324726980609</t>
  </si>
  <si>
    <t>@bactires We would be happy to see how we can help. Please DM us your email address and we’ll gladly reach out to you. #VWcares</t>
  </si>
  <si>
    <t>2015-07-07T22:21:12.000Z</t>
  </si>
  <si>
    <t>@bactires</t>
  </si>
  <si>
    <t>https://twitter.com/VW/status/618545322566901761</t>
  </si>
  <si>
    <t>@bactires We wanted a world-class experience for you at our dealer. We’re sorry yours did not meet our high expectations for you.</t>
  </si>
  <si>
    <t>2015-07-07T22:21:11.000Z</t>
  </si>
  <si>
    <t>https://twitter.com/VW/status/618545321107259392</t>
  </si>
  <si>
    <t>@RyanAmirault  If you’d like us to follow up on your repair, please feel free to reach out to us at http://vw.com/contact. #VWcares</t>
  </si>
  <si>
    <t>https://twitter.com/VW/status/618545318922072064</t>
  </si>
  <si>
    <t>@RyanAmirault We’re very sorry to hear about your VW. We recommend getting a diagnosis at your local VW dealership.</t>
  </si>
  <si>
    <t>2015-07-07T22:21:10.000Z</t>
  </si>
  <si>
    <t>https://twitter.com/VW/status/618223152326291456</t>
  </si>
  <si>
    <t>@ScoGood We’re sorry you’re waiting for your car. You can reach out to us at http://vw.com/contact, and we’re happy to look into this more</t>
  </si>
  <si>
    <t>2015-07-07T01:01:00.000Z</t>
  </si>
  <si>
    <t>@ScoGood</t>
  </si>
  <si>
    <t>https://twitter.com/VW/status/618219703706628096</t>
  </si>
  <si>
    <t>@MJax0n  Your local VW dealer is in the best place to provide you pricing info. You can find a dealer at http://vw.com/find-a-dealer/</t>
  </si>
  <si>
    <t>2015-07-07T00:47:17.000Z</t>
  </si>
  <si>
    <t>@HeyMikeJackson</t>
  </si>
  <si>
    <t>https://twitter.com/VW/status/618219701953429504</t>
  </si>
  <si>
    <t>@MJax0n It’s great to be up to date on caring for your car. We recommend the 90K maintenance be performed as close to 90K miles as you can.</t>
  </si>
  <si>
    <t>https://twitter.com/VW/status/618219700191821824</t>
  </si>
  <si>
    <t>@NFLHustleMama This is not the experience we want our drivers to have. Please DM us your VIN and email so we can look into this further.</t>
  </si>
  <si>
    <t>@EnginerdMama</t>
  </si>
  <si>
    <t>https://twitter.com/VW/status/618218815617249280</t>
  </si>
  <si>
    <t>@eastguidi Thanks for your interest! There are lots out there! Check out http://vw.com/special-offers/. Your local dealer can give more info.</t>
  </si>
  <si>
    <t>2015-07-07T00:43:46.000Z</t>
  </si>
  <si>
    <t>https://twitter.com/VW/status/618218813801140224</t>
  </si>
  <si>
    <t>@sabrinajanett We’re sorry to hear this is happening. Please DM us your VIN and email so we can learn more about it.</t>
  </si>
  <si>
    <t>2015-07-07T00:43:45.000Z</t>
  </si>
  <si>
    <t>https://twitter.com/VW/status/618217941490728960</t>
  </si>
  <si>
    <t>@D_IsHere2PAWTY We'd be happy to see how we might be able to help. Please DM us your email and we will gladly reach out to you. #VWcares</t>
  </si>
  <si>
    <t>2015-07-07T00:40:17.000Z</t>
  </si>
  <si>
    <t>@D_IsHere2PAWTY</t>
  </si>
  <si>
    <t>https://twitter.com/VW/status/618217938818957312</t>
  </si>
  <si>
    <t>@D_IsHere2PAWTY We wanted your ownership to be carefree. We’re very sorry to hear about your VW.</t>
  </si>
  <si>
    <t>https://twitter.com/VW/status/618217936671518720</t>
  </si>
  <si>
    <t>@bellagraziella We’re very sorry to hear this. We wanted much better for you. DM your email, we will be happy to reach out to you #VWcares</t>
  </si>
  <si>
    <t>2015-07-07T00:40:16.000Z</t>
  </si>
  <si>
    <t>@bellaagianna</t>
  </si>
  <si>
    <t>https://twitter.com/VW/status/618217092899168256</t>
  </si>
  <si>
    <t>@CcKimble You should be out enjoying your VW. Please DM us your VIN and email so we can learn more about what is going on.</t>
  </si>
  <si>
    <t>2015-07-07T00:36:55.000Z</t>
  </si>
  <si>
    <t>@CcKimble</t>
  </si>
  <si>
    <t>https://twitter.com/VW/status/618217091267596289</t>
  </si>
  <si>
    <t>@Qulnnlng We want you to have a wonderful time in your VW. Please DM us your VIN &amp; email so we can look into this further.</t>
  </si>
  <si>
    <t>@Qulnnlng</t>
  </si>
  <si>
    <t>https://twitter.com/VW/status/618157937131851777</t>
  </si>
  <si>
    <t>@CScrogham We’d like to see how we might be able to help. DM us your email address and we’ll gladly reach out to you. #VWcares</t>
  </si>
  <si>
    <t>2015-07-06T20:41:51.000Z</t>
  </si>
  <si>
    <t>https://twitter.com/VW/status/618157100238155776</t>
  </si>
  <si>
    <t>@CScrogham We want an easy and carefree ownership for you, so we’re very sorry to hear about your Jetta.</t>
  </si>
  <si>
    <t>2015-07-06T20:38:32.000Z</t>
  </si>
  <si>
    <t>https://twitter.com/VW/status/618157097826451456</t>
  </si>
  <si>
    <t>@MMMoneyyyy We’d like to see how we can help get you back in your VW. DM us your email and we’ll be happy to reach out to you. #VWcares</t>
  </si>
  <si>
    <t>2015-07-06T20:38:31.000Z</t>
  </si>
  <si>
    <t>@MMMoneyyyy</t>
  </si>
  <si>
    <t>https://twitter.com/VW/status/618157096043806720</t>
  </si>
  <si>
    <t>@BuzzFeces We’re very sorry for the expense of your repair. Give us a call at 800-822-8987 if you’d like to talk about it. #VWcares</t>
  </si>
  <si>
    <t>@BuzzFeces</t>
  </si>
  <si>
    <t>https://twitter.com/VW/status/618143836141817856</t>
  </si>
  <si>
    <t>@airmj23 We apologize, Andy. This is not the experience we wanted for you. DM us your email and we’ll be glad to reach out to you. #VWcares</t>
  </si>
  <si>
    <t>2015-07-06T19:45:49.000Z</t>
  </si>
  <si>
    <t>@airmj23</t>
  </si>
  <si>
    <t>https://twitter.com/VW/status/618142183401504768</t>
  </si>
  <si>
    <t>@kapitopia Give us a call at 800-822-8987 if you have any other questions. We’re always happy to help! #VWcares</t>
  </si>
  <si>
    <t>2015-07-06T19:39:15.000Z</t>
  </si>
  <si>
    <t>https://twitter.com/VW/status/618142181824421888</t>
  </si>
  <si>
    <t>@kapitopia We’re sorry for the inconvenience. You can access the keyhole by removing the plastic cover on the right side of the door handle.</t>
  </si>
  <si>
    <t>https://twitter.com/VW/status/618139602306490368</t>
  </si>
  <si>
    <t>@TiffieB_79 This isn't the experience we wanted for you. Please DM us your VIN and phone # and we will be glad to reach out to you. #VWcares</t>
  </si>
  <si>
    <t>2015-07-06T19:29:00.000Z</t>
  </si>
  <si>
    <t>https://twitter.com/VW/status/618132532412858368</t>
  </si>
  <si>
    <t>@DetroitBruce For customers &amp; for the city!</t>
  </si>
  <si>
    <t>2015-07-06T19:00:54.000Z</t>
  </si>
  <si>
    <t>@DetroitBruce</t>
  </si>
  <si>
    <t>https://twitter.com/VW/status/618132530529570816</t>
  </si>
  <si>
    <t>@DetroitBruce Props to our friends at Quicken Loans, who showed us some of the amazing things they are doing in the D!</t>
  </si>
  <si>
    <t>https://twitter.com/VW/status/618132529577504768</t>
  </si>
  <si>
    <t>RT @DetroitBruce: On the move this morning w/ @VW leadership, learning about the creative culture taking #Detroit by storm! http://t.c</t>
  </si>
  <si>
    <t>https://twitter.com/VW/status/618091929167728640</t>
  </si>
  <si>
    <t>@PhotoAbigail We’re sorry to hear that, Abigail. We’ll let VW Credit know what happened and have them reach out to you. #VWcares</t>
  </si>
  <si>
    <t>2015-07-06T16:19:34.000Z</t>
  </si>
  <si>
    <t>@PhotoAbigail</t>
  </si>
  <si>
    <t>https://twitter.com/VW/status/618069254387011584</t>
  </si>
  <si>
    <t>2015-07-06T14:49:28.000Z</t>
  </si>
  <si>
    <t>https://twitter.com/VW/status/618068048021303301</t>
  </si>
  <si>
    <t>2015-07-06T14:44:40.000Z</t>
  </si>
  <si>
    <t>https://twitter.com/VW/status/618067330237489152</t>
  </si>
  <si>
    <t>2015-07-06T14:41:49.000Z</t>
  </si>
  <si>
    <t>https://twitter.com/VW/status/617827653018632192</t>
  </si>
  <si>
    <t>Rough weekend for the #VWGRC team. We're taking the Beetle GRCs home to work out the kinks. #RedBullGRC</t>
  </si>
  <si>
    <t>2015-07-05T22:49:25.000Z</t>
  </si>
  <si>
    <t>https://twitter.com/VW/status/617821839469867008</t>
  </si>
  <si>
    <t>@ruinedbyreality Please DM us your VIN and email so we can reach out to you. #VWCares</t>
  </si>
  <si>
    <t>2015-07-05T22:26:19.000Z</t>
  </si>
  <si>
    <t>@ruinedbyreality</t>
  </si>
  <si>
    <t>https://twitter.com/VW/status/617821837242667008</t>
  </si>
  <si>
    <t>@ruinedbyreality  This is not the experience we anticipated for you! We'd like to see how we can help get your family started off right!</t>
  </si>
  <si>
    <t>https://twitter.com/VW/status/617779597619404800</t>
  </si>
  <si>
    <t>#RaceTheBase. 
#VWGRC</t>
  </si>
  <si>
    <t>2015-07-05T19:38:28.000Z</t>
  </si>
  <si>
    <t>https://twitter.com/VW/status/617766941881729024</t>
  </si>
  <si>
    <t>For live updates and results from #RaceTheBase, download the "VARX Supercars" mobile app. #VWGRC</t>
  </si>
  <si>
    <t>2015-07-05T18:48:11.000Z</t>
  </si>
  <si>
    <t>https://twitter.com/VW/status/617757340285169664</t>
  </si>
  <si>
    <t>Bad luck in second round of Heats with two DNFs. #VWGRC</t>
  </si>
  <si>
    <t>2015-07-05T18:10:01.000Z</t>
  </si>
  <si>
    <t>https://twitter.com/VW/status/617728635768668160</t>
  </si>
  <si>
    <t>First place! @ScottSpeed takes Heat 1A. #VWGRC</t>
  </si>
  <si>
    <t>2015-07-05T16:15:58.000Z</t>
  </si>
  <si>
    <t>https://twitter.com/VW/status/617713887375400960</t>
  </si>
  <si>
    <t>You won't mistake the Beetle GRC for another race car. #VWGRC</t>
  </si>
  <si>
    <t>2015-07-05T15:17:21.000Z</t>
  </si>
  <si>
    <t>https://twitter.com/VW/status/617712653159526400</t>
  </si>
  <si>
    <t>3rd and 4th quickest in morning warmup. Heat 1 coming up. #VWGRC</t>
  </si>
  <si>
    <t>2015-07-05T15:12:27.000Z</t>
  </si>
  <si>
    <t>https://twitter.com/VW/status/617698859242889216</t>
  </si>
  <si>
    <t>#RaceTheBase warmup. #VWGRC</t>
  </si>
  <si>
    <t>2015-07-05T14:17:38.000Z</t>
  </si>
  <si>
    <t>https://twitter.com/VW/status/617687361095356417</t>
  </si>
  <si>
    <t>Happy Race Day! #VWGRC</t>
  </si>
  <si>
    <t>2015-07-05T13:31:57.000Z</t>
  </si>
  <si>
    <t>https://twitter.com/VW/status/617179043222269952</t>
  </si>
  <si>
    <t>@bvanoudtshoorn We see you’re outside the U.S. Try reaching out to VW of Australia at the following link: http://volkswagen.com.au. #VWcares</t>
  </si>
  <si>
    <t>2015-07-04T03:52:05.000Z</t>
  </si>
  <si>
    <t>@bvanoudtshoorn</t>
  </si>
  <si>
    <t>https://twitter.com/VW/status/617110597960880129</t>
  </si>
  <si>
    <t>The rest of today has been canceled due to severe weather. #RaceTheBase will continue this Sunday. #VWGRC</t>
  </si>
  <si>
    <t>2015-07-03T23:20:06.000Z</t>
  </si>
  <si>
    <t>https://twitter.com/VW/status/617088371328835585</t>
  </si>
  <si>
    <t>@CoreyRants We’re very sorry to hear that, Corey. We will have one of our colleagues reach back out to you soon. #VWcares</t>
  </si>
  <si>
    <t>2015-07-03T21:51:47.000Z</t>
  </si>
  <si>
    <t>https://twitter.com/VW/status/617086582785314816</t>
  </si>
  <si>
    <t>@SashaCaramela DM us your email address and we would be glad to reach out to you about your repair. #VWcares</t>
  </si>
  <si>
    <t>2015-07-03T21:44:40.000Z</t>
  </si>
  <si>
    <t>@xpuppystompx</t>
  </si>
  <si>
    <t>https://twitter.com/VW/status/617086580927246336</t>
  </si>
  <si>
    <t>@SashaCaramela We’re very sorry, Sasha. That’s not how we ever want you feeling about your VW.</t>
  </si>
  <si>
    <t>https://twitter.com/VW/status/617086351327014913</t>
  </si>
  <si>
    <t>We're delayed at #RaceTheBase due to weather. #VWGRC</t>
  </si>
  <si>
    <t>2015-07-03T21:43:45.000Z</t>
  </si>
  <si>
    <t>https://twitter.com/VW/status/617083913618325504</t>
  </si>
  <si>
    <t>@Brookeelaurennn If you’d like us to follow up on your appointment, feel free to contact us at http://vw.com/contact. #VWcares</t>
  </si>
  <si>
    <t>2015-07-03T21:34:04.000Z</t>
  </si>
  <si>
    <t>@brookeperez__</t>
  </si>
  <si>
    <t>https://twitter.com/VW/status/617083912003530752</t>
  </si>
  <si>
    <t>@Brookeelaurennn We’re sorry to hear that! We recommend bringing your car to your local VW dealership for service. #VWcares</t>
  </si>
  <si>
    <t>https://twitter.com/VW/status/617079462354530304</t>
  </si>
  <si>
    <t>@iamkmobs We don’t yet have any plans to bring the California to the U.S. Stay tuned to http://media.vw.com for all the latest news!</t>
  </si>
  <si>
    <t>2015-07-03T21:16:23.000Z</t>
  </si>
  <si>
    <t>@dirtyboat</t>
  </si>
  <si>
    <t>https://twitter.com/VW/status/617077677678198784</t>
  </si>
  <si>
    <t>@societychef Thanks for your info. One of our colleagues will be reaching out to you soon.</t>
  </si>
  <si>
    <t>2015-07-03T21:09:17.000Z</t>
  </si>
  <si>
    <t>https://twitter.com/VW/status/617036952777457664</t>
  </si>
  <si>
    <t>First practice finished. @TannerFoust is currently fastest with @ScottSpeed P6. #VWGRC</t>
  </si>
  <si>
    <t>2015-07-03T18:27:28.000Z</t>
  </si>
  <si>
    <t>https://twitter.com/VW/status/617025143378997248</t>
  </si>
  <si>
    <t>@nathanyoung96 We’re glad your Jetta is alright! We recommend asking your VW dealer or checking http://vwtirestore.com. #VWcares</t>
  </si>
  <si>
    <t>2015-07-03T17:40:32.000Z</t>
  </si>
  <si>
    <t>https://twitter.com/VW/status/617025141789229056</t>
  </si>
  <si>
    <t>@Smdorland If you’d like us to follow up on any appointments, DM us your VIN and email and we’d be happy to review further.</t>
  </si>
  <si>
    <t>https://twitter.com/VW/status/617025140136677376</t>
  </si>
  <si>
    <t>@Smdorland We’re happy to know you’re getting better MPG, but you should have the warning light checked out.</t>
  </si>
  <si>
    <t>2015-07-03T17:40:31.000Z</t>
  </si>
  <si>
    <t>https://twitter.com/VW/status/617021618200559616</t>
  </si>
  <si>
    <t>@tdwilliamstx We’re sorry we didn’t meet your expectations. Give us a call at 800-822-8987 if you’d like to talk about it #VWcares</t>
  </si>
  <si>
    <t>2015-07-03T17:26:32.000Z</t>
  </si>
  <si>
    <t>https://twitter.com/VW/status/617020750369689600</t>
  </si>
  <si>
    <t>@CacchickSilke We’re very sorry to hear about your VW! DM us your email, we will be glad to hear more about it. #VWcares</t>
  </si>
  <si>
    <t>2015-07-03T17:23:05.000Z</t>
  </si>
  <si>
    <t>@silkecacchick</t>
  </si>
  <si>
    <t>https://twitter.com/VW/status/617018889445048320</t>
  </si>
  <si>
    <t>@travis1100 We want your VW looking its best! DM us your email address and we will be happy to reach out to you. #VWcares</t>
  </si>
  <si>
    <t>2015-07-03T17:15:41.000Z</t>
  </si>
  <si>
    <t>@travis1100</t>
  </si>
  <si>
    <t>https://twitter.com/VW/status/617018024520871936</t>
  </si>
  <si>
    <t>@Brendan_Dolan2 We’re very sorry to hear this happened. Reach out to us at http://vw.com/contact if you’d like to talk about it. #VWcares</t>
  </si>
  <si>
    <t>2015-07-03T17:12:15.000Z</t>
  </si>
  <si>
    <t>https://twitter.com/VW/status/617007475590602752</t>
  </si>
  <si>
    <t>Team #VWGRC is preparing to #RaceTheBase in NC. We'll post live updates from qualifying and heat races later today!</t>
  </si>
  <si>
    <t>2015-07-03T16:30:20.000Z</t>
  </si>
  <si>
    <t>https://twitter.com/VW/status/617003922541051904</t>
  </si>
  <si>
    <t>@rysgam If you need assistance, you can reach our VCI colleagues at 800-428-4034. Due to the holiday, their offices are closed until 7/6/15.</t>
  </si>
  <si>
    <t>2015-07-03T16:16:13.000Z</t>
  </si>
  <si>
    <t>@rysgam</t>
  </si>
  <si>
    <t>https://twitter.com/VW/status/617003920267722753</t>
  </si>
  <si>
    <t>@rysgam We’re sorry our site is giving you some trouble, Ryan. Thanks for letting us know so we can look into this a little further.</t>
  </si>
  <si>
    <t>2015-07-03T16:16:12.000Z</t>
  </si>
  <si>
    <t>https://twitter.com/VW/status/616956124579786752</t>
  </si>
  <si>
    <t>This Sunday (5PM ET/@NBC) will be the first time #RedBullGRC has ever taken place on an active military base. #VWGRC</t>
  </si>
  <si>
    <t>2015-07-03T13:06:17.000Z</t>
  </si>
  <si>
    <t>https://twitter.com/VW/status/616706865058091008</t>
  </si>
  <si>
    <t>@jen_heide At your convenience, please give us all call at 800-822-8987 so we can gather more information</t>
  </si>
  <si>
    <t>2015-07-02T20:35:49.000Z</t>
  </si>
  <si>
    <t>@JLFarms</t>
  </si>
  <si>
    <t>https://twitter.com/VW/status/616706862763786241</t>
  </si>
  <si>
    <t>@jen_heide We are sorry to hear about the incident with your daughter’s vehicle. We’d like to hear more about the situation</t>
  </si>
  <si>
    <t>2015-07-02T20:35:48.000Z</t>
  </si>
  <si>
    <t>https://twitter.com/VW/status/616699303533244416</t>
  </si>
  <si>
    <t>@DGERBUM Please DM us your VIN and email address so we can look into this further.</t>
  </si>
  <si>
    <t>2015-07-02T20:05:46.000Z</t>
  </si>
  <si>
    <t>@DGERBUM</t>
  </si>
  <si>
    <t>https://twitter.com/VW/status/616699301557710848</t>
  </si>
  <si>
    <t>@DGERBUM This is not the experience we want our drivers to have. We’d like to look into this further.</t>
  </si>
  <si>
    <t>2015-07-02T20:05:45.000Z</t>
  </si>
  <si>
    <t>https://twitter.com/VW/status/616685204070100992</t>
  </si>
  <si>
    <t>@alyssaSritter We’re sorry to hear about your Jetta. DM us your email address and we will be happy to discuss your repair. #VWcares</t>
  </si>
  <si>
    <t>2015-07-02T19:09:44.000Z</t>
  </si>
  <si>
    <t>@alyssaSritter</t>
  </si>
  <si>
    <t>https://twitter.com/VW/status/616674268219355136</t>
  </si>
  <si>
    <t>@TX_Reload We’re very sorry for your experience, Carlo. DM us your email address, we would be happy to reach out to you. #VWcares</t>
  </si>
  <si>
    <t>2015-07-02T18:26:17.000Z</t>
  </si>
  <si>
    <t>https://twitter.com/VW/status/616674263949512704</t>
  </si>
  <si>
    <t>@TDIProblems We’re very sorry for your situation. Please DM us your email address, we would be glad to reach out to you. #VWcares</t>
  </si>
  <si>
    <t>2015-07-02T18:26:16.000Z</t>
  </si>
  <si>
    <t>https://twitter.com/VW/status/616674261873377280</t>
  </si>
  <si>
    <t>@kelly42 Please be sure to delete the email and anything related to it. We appreciate your time and cooperation.</t>
  </si>
  <si>
    <t>2015-07-02T18:26:15.000Z</t>
  </si>
  <si>
    <t>@kelly42</t>
  </si>
  <si>
    <t>https://twitter.com/VW/status/616674259189018625</t>
  </si>
  <si>
    <t>@kelly42 Thank you, Kelly. We are handling the situation on our end and nothing further will be needed from you.</t>
  </si>
  <si>
    <t>https://twitter.com/VW/status/616668809554956288</t>
  </si>
  <si>
    <t>@mskamille Sorry about that. Try giving VW Credit a call to see if they can assist. They can be reached at 800-428-4034</t>
  </si>
  <si>
    <t>2015-07-02T18:04:36.000Z</t>
  </si>
  <si>
    <t>@mskamille</t>
  </si>
  <si>
    <t>https://twitter.com/VW/status/616654850495938560</t>
  </si>
  <si>
    <t>@mskamille If you are trying to pay your bill, visit the following website: https://vwcredit.com/Authentication/Login…</t>
  </si>
  <si>
    <t>2015-07-02T17:09:07.000Z</t>
  </si>
  <si>
    <t>https://twitter.com/VW/status/616610765898801152</t>
  </si>
  <si>
    <t>@RMBenson81 @dkebre We see we’re currently working with you to investigate further</t>
  </si>
  <si>
    <t>2015-07-02T14:13:57.000Z</t>
  </si>
  <si>
    <t>@RBPHISHED</t>
  </si>
  <si>
    <t>https://twitter.com/VW/status/616409839661551616</t>
  </si>
  <si>
    <t>@AcidWh0le We would be happy to see how we might be able to help. Please DM us your VIN and email and we’ll reach out to you. #VWcares</t>
  </si>
  <si>
    <t>2015-07-02T00:55:32.000Z</t>
  </si>
  <si>
    <t>https://twitter.com/VW/status/616405441203994624</t>
  </si>
  <si>
    <t>@SP_McCormick We’re sorry we didn’t meet your expectations, Sean. If you’d like to discuss further, please reach out to us again. #VWcares</t>
  </si>
  <si>
    <t>2015-07-02T00:38:04.000Z</t>
  </si>
  <si>
    <t>@SP_McCormick</t>
  </si>
  <si>
    <t>https://twitter.com/VW/status/616402719247437825</t>
  </si>
  <si>
    <t>@bburgwyn  We're sorry about the expense. Reach out to us at http://vw.com/contact if you'd like to talk about it. #VWcares</t>
  </si>
  <si>
    <t>2015-07-02T00:27:15.000Z</t>
  </si>
  <si>
    <t>@bburgwyn</t>
  </si>
  <si>
    <t>https://twitter.com/VW/status/616392198775422976</t>
  </si>
  <si>
    <t>@iceandtortila We’ve tried to find you, but can’t. Please DM us your email ASAP and we’ll get busy trying to help!</t>
  </si>
  <si>
    <t>2015-07-01T23:45:26.000Z</t>
  </si>
  <si>
    <t>@preciousmasumi</t>
  </si>
  <si>
    <t>https://twitter.com/VW/status/616388147161665537</t>
  </si>
  <si>
    <t>@N8Sandrs If you’d like to reach out to us about the concerns you’re having, feel free to do so here: http://vw.com/contact</t>
  </si>
  <si>
    <t>2015-07-01T23:29:20.000Z</t>
  </si>
  <si>
    <t>https://twitter.com/VW/status/616388145412571136</t>
  </si>
  <si>
    <t>@N8Sandrs We apologize you’ve been waiting for an update. Our dealers will be the first to know when an update is available</t>
  </si>
  <si>
    <t>https://twitter.com/VW/status/616388144292691968</t>
  </si>
  <si>
    <t>@Joefer13 We’d like to hear more. Please DM us your VIN and email so we can look into this further.</t>
  </si>
  <si>
    <t>https://twitter.com/VW/status/616388142703050753</t>
  </si>
  <si>
    <t>@Joefer13 You should be out enjoying your Jetta TDI, and we’re sorry to hear you’re facing this situation.</t>
  </si>
  <si>
    <t>2015-07-01T23:29:19.000Z</t>
  </si>
  <si>
    <t>https://twitter.com/VW/status/616343719873089536</t>
  </si>
  <si>
    <t>@WhitneyFTW We see one of our colleagues has reached out to you. Please reach out to us if there’s anything else we can do to help. #VWcares</t>
  </si>
  <si>
    <t>2015-07-01T20:32:48.000Z</t>
  </si>
  <si>
    <t>@FtwDew</t>
  </si>
  <si>
    <t>https://twitter.com/VW/status/616343718023442432</t>
  </si>
  <si>
    <t>@jdunz91 Sorry about the delay. We've located your email and one of our colleagues will reach out today.</t>
  </si>
  <si>
    <t>@jdunz91</t>
  </si>
  <si>
    <t>https://twitter.com/VW/status/616330834023309313</t>
  </si>
  <si>
    <t>@jdunz91 Thanks for reaching out to us for more info. You can contact us at http://vw.com/contact</t>
  </si>
  <si>
    <t>2015-07-01T19:41:36.000Z</t>
  </si>
  <si>
    <t>https://twitter.com/VW/status/616328948893396992</t>
  </si>
  <si>
    <t>@PhotoAbigail We’re sorry for the inconvenience, Abigail. You can also pay online securely at https://vwcredit.com/Authentication/Login… #VWcares</t>
  </si>
  <si>
    <t>2015-07-01T19:34:06.000Z</t>
  </si>
  <si>
    <t>https://twitter.com/VW/status/616328945022013441</t>
  </si>
  <si>
    <t>@JeffMoff We wanted a carefree experience for you at our dealer. We’re sorry to hear yours did not meet that expectation.</t>
  </si>
  <si>
    <t>2015-07-01T19:34:05.000Z</t>
  </si>
  <si>
    <t>@JeffMoff</t>
  </si>
  <si>
    <t>https://twitter.com/VW/status/616326144598474752</t>
  </si>
  <si>
    <t>@ujdsanskruti We’d be happy to see what we can do to try to help. Please DM us your VIN and email so we can research further.</t>
  </si>
  <si>
    <t>2015-07-01T19:22:58.000Z</t>
  </si>
  <si>
    <t>https://twitter.com/VW/status/616323284146089984</t>
  </si>
  <si>
    <t>@kellettejax We’re happy to know you’re okay, Kelly! Please DM us your VIN and email so we can hear more about it.</t>
  </si>
  <si>
    <t>2015-07-01T19:11:36.000Z</t>
  </si>
  <si>
    <t>@kellettejax</t>
  </si>
  <si>
    <t>https://twitter.com/VW/status/616320780838699008</t>
  </si>
  <si>
    <t>@societychef This is not the experience we want you to have. Please DM us your VIN and email so we can hear more about it.</t>
  </si>
  <si>
    <t>2015-07-01T19:01:39.000Z</t>
  </si>
  <si>
    <t>https://twitter.com/VW/status/616301368047853568</t>
  </si>
  <si>
    <t>@mart_fo You should be out enjoying your VW. We’re sorry to hear your warning light is on. DM us your VIN and email so we can hear more.</t>
  </si>
  <si>
    <t>2015-07-01T17:44:31.000Z</t>
  </si>
  <si>
    <t>@mart_fo</t>
  </si>
  <si>
    <t>https://twitter.com/VW/status/616251741110079488</t>
  </si>
  <si>
    <t>@TDIProblems @TDI_Problems</t>
  </si>
  <si>
    <t>2015-07-01T14:27:19.000Z</t>
  </si>
  <si>
    <t>https://twitter.com/VW/status/616250285090996224</t>
  </si>
  <si>
    <t>@traviscogg We see you’ve worked with one of our colleagues about this. Please let us know if there’s anything else we can do. #VWcares</t>
  </si>
  <si>
    <t>2015-07-01T14:21:31.000Z</t>
  </si>
  <si>
    <t>https://twitter.com/VW/status/616250283358752768</t>
  </si>
  <si>
    <t>@Nick_The_Dick_ We hear you, loud and clear, Nick! A manual transmission Golf R is planned for the 2016 model year! #VWcares</t>
  </si>
  <si>
    <t>@Nick_The_Dick_</t>
  </si>
  <si>
    <t>https://twitter.com/VW/status/616250281785856000</t>
  </si>
  <si>
    <t>@ScienceJesus We’re sorry for the inconvenience! Please reach out to us at http://vw.com/contact if we can be of any assistance. #VWcares</t>
  </si>
  <si>
    <t>@ScienceJesus</t>
  </si>
  <si>
    <t>https://twitter.com/VW/status/616020093915410432</t>
  </si>
  <si>
    <t>What do an orchestra, sharks, and the Golf SportWagen have in common? Find out July 5. #VW #SharkWeek</t>
  </si>
  <si>
    <t>2015-06-30T23:06:50.000Z</t>
  </si>
  <si>
    <t>https://twitter.com/VW/status/615969292303990784</t>
  </si>
  <si>
    <t>@Miss_Manhattan1 Congrats! What did you name your new #VWJetta?</t>
  </si>
  <si>
    <t>2015-06-30T19:44:58.000Z</t>
  </si>
  <si>
    <t>@Miss_Manhattan1</t>
  </si>
  <si>
    <t>https://twitter.com/VW/status/615963425181532160</t>
  </si>
  <si>
    <t>@ChrisEidd Your local VW dealer is in the best position to provide pricing info, or you can check out http://parts.vw.com</t>
  </si>
  <si>
    <t>2015-06-30T19:21:39.000Z</t>
  </si>
  <si>
    <t>@ChrisEidd</t>
  </si>
  <si>
    <t>https://twitter.com/VW/status/615963423734566912</t>
  </si>
  <si>
    <t>@etiviti Our hope is for you to be out enjoying your CC and we want to help point you in the right direction regarding this situation.</t>
  </si>
  <si>
    <t>2015-06-30T19:21:38.000Z</t>
  </si>
  <si>
    <t>@TheRichFuller</t>
  </si>
  <si>
    <t>https://twitter.com/VW/status/615963422635659264</t>
  </si>
  <si>
    <t>@rachelregal_ If you’d like, DM us your email address and we’ll be happy to reach out to you. #VWcares</t>
  </si>
  <si>
    <t>@rachelregal_</t>
  </si>
  <si>
    <t>https://twitter.com/VW/status/615963421016653825</t>
  </si>
  <si>
    <t>@rachelregal_ We’re so sorry to hear about your flat, Rachel. Being without the right tools certainly does not make matters easier.</t>
  </si>
  <si>
    <t>https://twitter.com/VW/status/615963419900915712</t>
  </si>
  <si>
    <t>@mraustinjq We see you’ve been working with one of our colleagues. Please let us know if there’s anything else we can do. #VWcares</t>
  </si>
  <si>
    <t>@mraustinjq</t>
  </si>
  <si>
    <t>https://twitter.com/VW/status/615963417807990784</t>
  </si>
  <si>
    <t>@mraustinjq We’re truly sorry, Austin. We wanted a much better experience for you with our dealership.</t>
  </si>
  <si>
    <t>2015-06-30T19:21:37.000Z</t>
  </si>
  <si>
    <t>https://twitter.com/VW/status/615919816495333377</t>
  </si>
  <si>
    <t>@ekeohane DM us your email address and we would be happy to reach out to you. #VWcares</t>
  </si>
  <si>
    <t>2015-06-30T16:28:22.000Z</t>
  </si>
  <si>
    <t>@ekeohane</t>
  </si>
  <si>
    <t>https://twitter.com/VW/status/615919814708625408</t>
  </si>
  <si>
    <t>@ekeohane We greatly appreciate your loyalty over the years and we’re very sorry we couldn’t meet your expectations for your lease turn-in.</t>
  </si>
  <si>
    <t>2015-06-30T16:28:21.000Z</t>
  </si>
  <si>
    <t>https://twitter.com/VW/status/615917958502612992</t>
  </si>
  <si>
    <t>@ProfessorYesser Thanks for spreading the #VDubLove Erin!</t>
  </si>
  <si>
    <t>2015-06-30T16:20:59.000Z</t>
  </si>
  <si>
    <t>https://twitter.com/VW/status/615889116375334912</t>
  </si>
  <si>
    <t>@Dsil102 Love it David!</t>
  </si>
  <si>
    <t>2015-06-30T14:26:22.000Z</t>
  </si>
  <si>
    <t>https://twitter.com/VW/status/615878021174530048</t>
  </si>
  <si>
    <t>@etiviti Please DM us your VIN and email address so we can look into this matter as soon as possible.</t>
  </si>
  <si>
    <t>2015-06-30T13:42:17.000Z</t>
  </si>
  <si>
    <t>https://twitter.com/VW/status/615878018225999872</t>
  </si>
  <si>
    <t>@cybrcar Sorry you couldn’t find your perfect Golf! Our 2016s should arrive very soon, we recommend working with your dealer to order one!</t>
  </si>
  <si>
    <t>2015-06-30T13:42:16.000Z</t>
  </si>
  <si>
    <t>@cybrcar</t>
  </si>
  <si>
    <t>https://twitter.com/VW/status/615878016669843456</t>
  </si>
  <si>
    <t>@mtofAmanda  Let us know if you’d like a follow up with your appointment. You can DM your VIN and email or contact us at www.vw.c</t>
  </si>
  <si>
    <t>@mtofAmanda</t>
  </si>
  <si>
    <t>https://twitter.com/VW/status/615878014425956352</t>
  </si>
  <si>
    <t>@mtofAmanda We’re sorry to hear this happened. We recommend contacting your local VW dealer for further assistance.</t>
  </si>
  <si>
    <t>2015-06-30T13:42:15.000Z</t>
  </si>
  <si>
    <t>https://twitter.com/VW/status/615875576264462338</t>
  </si>
  <si>
    <t>@ganzigal Please DM us your VIN and email so we can look into this further for you.</t>
  </si>
  <si>
    <t>2015-06-30T13:32:34.000Z</t>
  </si>
  <si>
    <t>@ganzigal</t>
  </si>
  <si>
    <t>https://twitter.com/VW/status/615875574234378241</t>
  </si>
  <si>
    <t>@ganzigal We want every moment of your ownership to be amazing. We’re sorry you haven’t received the welcome kit.</t>
  </si>
  <si>
    <t>2015-06-30T13:32:33.000Z</t>
  </si>
  <si>
    <t>https://twitter.com/VW/status/615610161101606912</t>
  </si>
  <si>
    <t>#ForzaHorizon2 gamer, Zach Lamb, gets BTS access with @TannerFoust and the #VWGRC Beetle in Daytona at #RedBullGRC!</t>
  </si>
  <si>
    <t>2015-06-29T19:57:54.000Z</t>
  </si>
  <si>
    <t>https://twitter.com/VW/status/615593861507776512</t>
  </si>
  <si>
    <t>@gmacek Congrats, Greg!</t>
  </si>
  <si>
    <t>2015-06-29T18:53:08.000Z</t>
  </si>
  <si>
    <t>@gmacek</t>
  </si>
  <si>
    <t>https://twitter.com/VW/status/615593859620274176</t>
  </si>
  <si>
    <t>@darinnebr We’re sorry to hear this happened with your turbo. We see one of our colleagues will be reaching out to you soon.</t>
  </si>
  <si>
    <t>2015-06-29T18:53:07.000Z</t>
  </si>
  <si>
    <t>https://twitter.com/VW/status/615536841765183491</t>
  </si>
  <si>
    <t>@PrezAndrew We love your interest in the GTI! We don’t have a specific date for availability, but we should see them later this year.</t>
  </si>
  <si>
    <t>2015-06-29T15:06:33.000Z</t>
  </si>
  <si>
    <t>@PrezAndrew</t>
  </si>
  <si>
    <t>https://twitter.com/VW/status/615535773119438849</t>
  </si>
  <si>
    <t>@GarrettaBrown85 If you have any questions or concerns about anything with your vehicle, please feel free to reach out to us again #VWCares</t>
  </si>
  <si>
    <t>2015-06-29T15:02:19.000Z</t>
  </si>
  <si>
    <t>https://twitter.com/VW/status/615535770359574528</t>
  </si>
  <si>
    <t>@GarrettaBrown85 We’re happy changing the tire went well for you. We hope to make VW ownership as carefree as possible #VWCares</t>
  </si>
  <si>
    <t>2015-06-29T15:02:18.000Z</t>
  </si>
  <si>
    <t>https://twitter.com/VW/status/615535769030004740</t>
  </si>
  <si>
    <t>@iamkmobs For further assistance, please use this link to view the international VW site: http://en.volkswagen.com/en/company/laenderauswahl.html….</t>
  </si>
  <si>
    <t>https://twitter.com/VW/status/615535767432003584</t>
  </si>
  <si>
    <t>@iamkmobs We appreciate your interest in the T6! Since we represent VW of America, we regret we don’t have this information.</t>
  </si>
  <si>
    <t>2015-06-29T15:02:17.000Z</t>
  </si>
  <si>
    <t>https://twitter.com/VW/status/615302360038912001</t>
  </si>
  <si>
    <t>@BullMarket420 It sure is!</t>
  </si>
  <si>
    <t>2015-06-28T23:34:49.000Z</t>
  </si>
  <si>
    <t>@BullMarket4Dub</t>
  </si>
  <si>
    <t>https://twitter.com/VW/status/615285679229042689</t>
  </si>
  <si>
    <t>One of the last 35 air-cooled Beetles built in North America on display at #WWOTG.</t>
  </si>
  <si>
    <t>2015-06-28T22:28:32.000Z</t>
  </si>
  <si>
    <t>https://twitter.com/VW/status/615283784959684608</t>
  </si>
  <si>
    <t>One can never have enough windows. #WWOTG</t>
  </si>
  <si>
    <t>2015-06-28T22:21:00.000Z</t>
  </si>
  <si>
    <t>https://twitter.com/VW/status/615275949999783937</t>
  </si>
  <si>
    <t>This one is for you, @Coloring_Is_Fun. #WWOTG</t>
  </si>
  <si>
    <t>2015-06-28T21:49:52.000Z</t>
  </si>
  <si>
    <t>@JessWillllliams</t>
  </si>
  <si>
    <t>https://twitter.com/VW/status/615275456447713280</t>
  </si>
  <si>
    <t>This is for all our fans who wanted us to post a Corrado from #WWOTG today. Enjoy!</t>
  </si>
  <si>
    <t>2015-06-28T21:47:54.000Z</t>
  </si>
  <si>
    <t>https://twitter.com/VW/status/615253829928398848</t>
  </si>
  <si>
    <t>Bring the entire family. #WWOTG</t>
  </si>
  <si>
    <t>2015-06-28T20:21:58.000Z</t>
  </si>
  <si>
    <t>https://twitter.com/VW/status/615232401724182528</t>
  </si>
  <si>
    <t>One of our favorite models to see at car shows: Scirocco 16V. #WWOTG</t>
  </si>
  <si>
    <t>2015-06-28T18:56:49.000Z</t>
  </si>
  <si>
    <t>https://twitter.com/VW/status/615225403179839488</t>
  </si>
  <si>
    <t>#WWOTG has begun. What models would you like us to tweet?</t>
  </si>
  <si>
    <t>2015-06-28T18:29:01.000Z</t>
  </si>
  <si>
    <t>https://twitter.com/VW/status/615017626377388032</t>
  </si>
  <si>
    <t>We've arrived. See you tomorrow #WWOTG.</t>
  </si>
  <si>
    <t>2015-06-28T04:43:23.000Z</t>
  </si>
  <si>
    <t>https://twitter.com/VW/status/614884595037634560</t>
  </si>
  <si>
    <t>Canyon carving weapon. #WWOTG</t>
  </si>
  <si>
    <t>2015-06-27T19:54:46.000Z</t>
  </si>
  <si>
    <t>https://twitter.com/VW/status/614586262498873344</t>
  </si>
  <si>
    <t>The road to #WWOTG isn't always paved.</t>
  </si>
  <si>
    <t>2015-06-27T00:09:18.000Z</t>
  </si>
  <si>
    <t>https://twitter.com/VW/status/614475157529194497</t>
  </si>
  <si>
    <t>We're driving from Los Angeles to North Bend, WA, for #WWOTG this weekend. Who recognizes this spot along the 101?</t>
  </si>
  <si>
    <t>2015-06-26T16:47:48.000Z</t>
  </si>
  <si>
    <t>https://twitter.com/VW/status/614431793094103040</t>
  </si>
  <si>
    <t>What model would you like to see win the #WWOTG trophy this Sunday? #VDubLove</t>
  </si>
  <si>
    <t>2015-06-26T13:55:29.000Z</t>
  </si>
  <si>
    <t>https://twitter.com/VW/status/614192932489314305</t>
  </si>
  <si>
    <t>@joshua_deford We call that #VDubLove!</t>
  </si>
  <si>
    <t>2015-06-25T22:06:20.000Z</t>
  </si>
  <si>
    <t>@josh_deford</t>
  </si>
  <si>
    <t>https://twitter.com/VW/status/614190523171995648</t>
  </si>
  <si>
    <t>@TheRealBranson This is not the experience we want you to have, Brandon. Please DM us your VIN and email so we can hear more.</t>
  </si>
  <si>
    <t>2015-06-25T21:56:46.000Z</t>
  </si>
  <si>
    <t>https://twitter.com/VW/status/614101558066704384</t>
  </si>
  <si>
    <t>@AyoGantt22 We made the Beetle for everyone to enjoy! It’s as much for boys as it is for girls. Don’t let her tell you otherwise! #VWcares</t>
  </si>
  <si>
    <t>2015-06-25T16:03:15.000Z</t>
  </si>
  <si>
    <t>https://twitter.com/VW/status/614063459156635648</t>
  </si>
  <si>
    <t>#TBT to our trip to #Fastivus this year with @TannerFoust and @TimJohnsonCX. Who is going to #WWOTG this weekend?</t>
  </si>
  <si>
    <t>2015-06-25T13:31:52.000Z</t>
  </si>
  <si>
    <t>https://twitter.com/VW/status/613777893596901376</t>
  </si>
  <si>
    <t>@mattyboy0912 This is not the experience we want you to have, Matt. Please DM us your VIN and email so we can hear more.</t>
  </si>
  <si>
    <t>2015-06-24T18:37:07.000Z</t>
  </si>
  <si>
    <t>@mattyboy0912</t>
  </si>
  <si>
    <t>https://twitter.com/VW/status/613777889398358016</t>
  </si>
  <si>
    <t>@SGerwel1985 We’re sorry this happened. We liked to hear more. DM us your VIN and email, or reach out to us at http://vw.com/contact</t>
  </si>
  <si>
    <t>2015-06-24T18:37:06.000Z</t>
  </si>
  <si>
    <t>@Stevie_Alf</t>
  </si>
  <si>
    <t>https://twitter.com/VW/status/613777887758450693</t>
  </si>
  <si>
    <t>@kimberly_hoff We want our drivers to love every minute with their VWs. Please DM us your VIN and email so we can hear more about it.</t>
  </si>
  <si>
    <t>@kimberly_hoff</t>
  </si>
  <si>
    <t>https://twitter.com/VW/status/613702242919563264</t>
  </si>
  <si>
    <t>@eLevateCEO It's easy to see why!</t>
  </si>
  <si>
    <t>2015-06-24T13:36:31.000Z</t>
  </si>
  <si>
    <t>@HatfieId9k</t>
  </si>
  <si>
    <t>https://twitter.com/VW/status/613700110782849024</t>
  </si>
  <si>
    <t>@thedanaash Glad we could help ease your concerns Dana.</t>
  </si>
  <si>
    <t>2015-06-24T13:28:03.000Z</t>
  </si>
  <si>
    <t>https://twitter.com/VW/status/613463045231120384</t>
  </si>
  <si>
    <t>@VickiWasylak We can confirm this.</t>
  </si>
  <si>
    <t>2015-06-23T21:46:02.000Z</t>
  </si>
  <si>
    <t>@VickiWasylak</t>
  </si>
  <si>
    <t>https://twitter.com/VW/status/613463043083649024</t>
  </si>
  <si>
    <t>@SandyPac We’re sorry for the inconvenience, Sandy. DM us your email address, we would be happy to reach out to you. #VWcares</t>
  </si>
  <si>
    <t>2015-06-23T21:46:01.000Z</t>
  </si>
  <si>
    <t>@SandyPac</t>
  </si>
  <si>
    <t>https://twitter.com/VW/status/613463040223133696</t>
  </si>
  <si>
    <t>@gmacek We love you too, Greg! We’re sorry for the inconvenience. If we can help, reach out to us at http://vw.com/contact. #VWcares</t>
  </si>
  <si>
    <t>https://twitter.com/VW/status/613453321542602753</t>
  </si>
  <si>
    <t>@BarefootLita We’re sorry, Lita. We wanted a carefree experience for you at our dealer. DM us your email so we can hear more. #VWcares</t>
  </si>
  <si>
    <t>2015-06-23T21:07:23.000Z</t>
  </si>
  <si>
    <t>https://twitter.com/VW/status/613453317994196992</t>
  </si>
  <si>
    <t>@hvasupuram We see one of our colleagues has reached out to you. If you need anything in the future, please let us know.</t>
  </si>
  <si>
    <t>https://twitter.com/VW/status/613453315129475072</t>
  </si>
  <si>
    <t>@hvasupuram We’re excited about your recent purchase, and sorry you didn’t receive the lightning cable.</t>
  </si>
  <si>
    <t>2015-06-23T21:07:22.000Z</t>
  </si>
  <si>
    <t>https://twitter.com/VW/status/613416027880206336</t>
  </si>
  <si>
    <t>@johnotani You should be enjoying your VW; we’re sorry this happened with the dealer. Please DM us your VIN and email so we can learn more.</t>
  </si>
  <si>
    <t>2015-06-23T18:39:12.000Z</t>
  </si>
  <si>
    <t>https://twitter.com/VW/status/613416025384574976</t>
  </si>
  <si>
    <t>@kelly42  Thank you for telling us, Kelly. If there is a name in the email, we would appreciate if you could DM us their info.</t>
  </si>
  <si>
    <t>2015-06-23T18:39:11.000Z</t>
  </si>
  <si>
    <t>https://twitter.com/VW/status/613352354830680064</t>
  </si>
  <si>
    <t>@BlueRoseOkestra We’re sorry to hear about your Tiguan! Please DM us your email, we would be happy to hear more about it. #VWcares</t>
  </si>
  <si>
    <t>2015-06-23T14:26:11.000Z</t>
  </si>
  <si>
    <t>https://twitter.com/VW/status/613352353056460800</t>
  </si>
  <si>
    <t>@itsjoviee We’re sorry you’re having concerns with your Jetta! One of our dealerships would be happy to help diagnose your VW. #VWcares</t>
  </si>
  <si>
    <t>@WhySoSerieuxx</t>
  </si>
  <si>
    <t>https://twitter.com/VW/status/613352351177441280</t>
  </si>
  <si>
    <t>@KennethCooke We see one of our colleagues has reached out to you. If you need anything in the future, let us know.</t>
  </si>
  <si>
    <t>2015-06-23T14:26:10.000Z</t>
  </si>
  <si>
    <t>@KennethCooke</t>
  </si>
  <si>
    <t>https://twitter.com/VW/status/613352346651787266</t>
  </si>
  <si>
    <t>@brianjohnsonusa We’re sorry for any inconvenience this may have caused. If you’d like more info, reach out to us at http://vw.com/contact.</t>
  </si>
  <si>
    <t>2015-06-23T14:26:09.000Z</t>
  </si>
  <si>
    <t>https://twitter.com/VW/status/613352344701440000</t>
  </si>
  <si>
    <t>@brianjohnsonusa We work with 3rd party companies who offer plans which extend the warranty coverage on your VW.</t>
  </si>
  <si>
    <t>https://twitter.com/VW/status/613067227248484352</t>
  </si>
  <si>
    <t>@dlprestholt Congrats!</t>
  </si>
  <si>
    <t>2015-06-22T19:33:11.000Z</t>
  </si>
  <si>
    <t>@dlprestholt</t>
  </si>
  <si>
    <t>https://twitter.com/VW/status/613066038855380992</t>
  </si>
  <si>
    <t>@AhaadMaghtu We’d be happy to hear more about it. DM us your email so we can reach out to you. #VWcares</t>
  </si>
  <si>
    <t>2015-06-22T19:28:28.000Z</t>
  </si>
  <si>
    <t>@theadrianmojica</t>
  </si>
  <si>
    <t>https://twitter.com/VW/status/613066036699529216</t>
  </si>
  <si>
    <t>@AhaadMaghtu We want a world class experience for you at your dealer. We’re sorry yours did not meet that expectation.</t>
  </si>
  <si>
    <t>https://twitter.com/VW/status/613066034816249856</t>
  </si>
  <si>
    <t>@markus_kim_ Great question! There are products out there to keep your VW clean. We suggest contacting your local VW dealer for more info</t>
  </si>
  <si>
    <t>2015-06-22T19:28:27.000Z</t>
  </si>
  <si>
    <t>https://twitter.com/VW/status/613057197400981504</t>
  </si>
  <si>
    <t>@ARaveschot We're still here for you Andrew!</t>
  </si>
  <si>
    <t>2015-06-22T18:53:20.000Z</t>
  </si>
  <si>
    <t>@ARaveschot</t>
  </si>
  <si>
    <t>https://twitter.com/VW/status/613043888245190657</t>
  </si>
  <si>
    <t>@OregonTrailCG This is not the experience we want for you, and we’re sorry it happened. DM your VIN and email, if you’d like to share more.</t>
  </si>
  <si>
    <t>2015-06-22T18:00:27.000Z</t>
  </si>
  <si>
    <t>@OregonTrailCG</t>
  </si>
  <si>
    <t>https://twitter.com/VW/status/613043885288243200</t>
  </si>
  <si>
    <t>@Rld_3 We’re sorry you’re facing concerns with your VW, and we’d like to hear more. Please DM your VIN and email so we can look into this.</t>
  </si>
  <si>
    <t>2015-06-22T18:00:26.000Z</t>
  </si>
  <si>
    <t>@Rld_3</t>
  </si>
  <si>
    <t>https://twitter.com/VW/status/613043883031687168</t>
  </si>
  <si>
    <t>@JBrauckmuller It’s good to stay up to date! You can check map updates for your CC at http://allthingsnav.navigation.com. #VWcares</t>
  </si>
  <si>
    <t>@JBrauckmuller</t>
  </si>
  <si>
    <t>https://twitter.com/VW/status/613043881161035776</t>
  </si>
  <si>
    <t>@siestadrive We’re sorry to hear this happened, Michael. We’d like to learn more about it. Please DM us your VIN and email.</t>
  </si>
  <si>
    <t>2015-06-22T18:00:25.000Z</t>
  </si>
  <si>
    <t>https://twitter.com/VW/status/613043878883528704</t>
  </si>
  <si>
    <t>@nathanyoung96 The lip spoiler was a factory option for every model, including TDI. Your local VW dealer can provide more info! #VWcares</t>
  </si>
  <si>
    <t>https://twitter.com/VW/status/613042200054599680</t>
  </si>
  <si>
    <t>@MrJohnnyBones Happy driving John! #VDubLove</t>
  </si>
  <si>
    <t>2015-06-22T17:53:44.000Z</t>
  </si>
  <si>
    <t>https://twitter.com/VW/status/612747113936453632</t>
  </si>
  <si>
    <t>Happy Father's Day!</t>
  </si>
  <si>
    <t>2015-06-21T22:21:10.000Z</t>
  </si>
  <si>
    <t>https://twitter.com/VW/status/612740420544630784</t>
  </si>
  <si>
    <t>Shoutouts to Team #VWGRC for all their hard work this weekend at #RedBullGRC Daytona!</t>
  </si>
  <si>
    <t>2015-06-21T21:54:35.000Z</t>
  </si>
  <si>
    <t>https://twitter.com/VW/status/612710385293094912</t>
  </si>
  <si>
    <t>An amazing weekend w/ @TannerFoust's Round 2 Supercar championship WIN. Next stop? #RedBullGRC MCAS New River! #VWGRC</t>
  </si>
  <si>
    <t>2015-06-21T19:55:14.000Z</t>
  </si>
  <si>
    <t>https://twitter.com/VW/status/612696570497232896</t>
  </si>
  <si>
    <t>BTS look at Team #VWGRC before they hit the track at #RedBullGRC Daytona Supercar Finals... 1min and counting!</t>
  </si>
  <si>
    <t>2015-06-21T19:00:20.000Z</t>
  </si>
  <si>
    <t>https://twitter.com/VW/status/612692516266242048</t>
  </si>
  <si>
    <t>Team #VWGRC FTW: No. 34 and No. 41 are in the #RedBullGRC Daytona Supercar Finals!</t>
  </si>
  <si>
    <t>2015-06-21T18:44:13.000Z</t>
  </si>
  <si>
    <t>https://twitter.com/VW/status/612685423039676416</t>
  </si>
  <si>
    <t>.@TannerFoust solidifies his spot in today's finals, with his 2nd place finish at #RedBullGRC Supercar LCQ! #VWGRC</t>
  </si>
  <si>
    <t>2015-06-21T18:16:02.000Z</t>
  </si>
  <si>
    <t>https://twitter.com/VW/status/612676457006014464</t>
  </si>
  <si>
    <t>Sunscreen. Chapstick. Cowbells. Team #VWGRC has you covered #RedBullGRC Daytona! Special gift for owners at #VW tent.</t>
  </si>
  <si>
    <t>2015-06-21T17:40:24.000Z</t>
  </si>
  <si>
    <t>https://twitter.com/VW/status/612670373008678912</t>
  </si>
  <si>
    <t>.@ScottSpeed advances to the finals, with his 3rd place finish at #RedBullGRC Daytona Supercar semi-finals! #VWGRC</t>
  </si>
  <si>
    <t>2015-06-21T17:16:14.000Z</t>
  </si>
  <si>
    <t>https://twitter.com/VW/status/612646191386505216</t>
  </si>
  <si>
    <t>.@TannerFoust finishes in 3rd at #RedBullGRC Daytona Supercar Heat 1B! #VWGRC</t>
  </si>
  <si>
    <t>2015-06-21T15:40:09.000Z</t>
  </si>
  <si>
    <t>https://twitter.com/VW/status/612632665343324160</t>
  </si>
  <si>
    <t>.@TannerFoust places 4th in #RedBullGRC Daytona Supercar Qualifying! #VWGRC</t>
  </si>
  <si>
    <t>2015-06-21T14:46:24.000Z</t>
  </si>
  <si>
    <t>https://twitter.com/VW/status/612617213451833344</t>
  </si>
  <si>
    <t>Team #VWGRC is ready for Day 3 of #RedBullGRC Daytona!</t>
  </si>
  <si>
    <t>2015-06-21T13:45:00.000Z</t>
  </si>
  <si>
    <t>https://twitter.com/VW/status/612609905195925504</t>
  </si>
  <si>
    <t>Team #VWGRC in 1st and 6th as we enter Round 3 of the #RedBullGRC Driver Championship today!</t>
  </si>
  <si>
    <t>2015-06-21T13:15:57.000Z</t>
  </si>
  <si>
    <t>https://twitter.com/VW/status/612584303281618944</t>
  </si>
  <si>
    <t>An inside look into @TannerFoust's WIN at #RedBullGRC Daytona yesterday. Go Team #VWGRC! #HumbleBrag</t>
  </si>
  <si>
    <t>2015-06-21T11:34:13.000Z</t>
  </si>
  <si>
    <t>https://twitter.com/VW/status/612397693541969921</t>
  </si>
  <si>
    <t>So proud of @TannerFoust's win today at the #RedBullGRC finals. Hoping for another Team #VWGRC victory tomorrow!</t>
  </si>
  <si>
    <t>2015-06-20T23:12:42.000Z</t>
  </si>
  <si>
    <t>https://twitter.com/VW/status/612347228968079360</t>
  </si>
  <si>
    <t>Team #VWGRC signing autographs until 4:30PM EST. Enter from garage 53! #RedBullGRC</t>
  </si>
  <si>
    <t>2015-06-20T19:52:10.000Z</t>
  </si>
  <si>
    <t>https://twitter.com/VW/status/612339392460550144</t>
  </si>
  <si>
    <t>In case you missed our VARX Supercars app notification about @TannerFoust autographs! #VWGRC #RedBullGRC</t>
  </si>
  <si>
    <t>2015-06-20T19:21:02.000Z</t>
  </si>
  <si>
    <t>https://twitter.com/VW/status/612323421003845636</t>
  </si>
  <si>
    <t>Our very own @TannerFoust takes gold at  #RedBullGRC Daytona! Team #VWGRC FTW!!!</t>
  </si>
  <si>
    <t>2015-06-20T18:17:34.000Z</t>
  </si>
  <si>
    <t>https://twitter.com/VW/status/612307397135179776</t>
  </si>
  <si>
    <t>At #RedBullGRC Daytona? Stop by the VW tents to see our #VWGolf SportWagen, #VWGTI and Beetle Shark Cage! #VWGRC</t>
  </si>
  <si>
    <t>2015-06-20T17:13:54.000Z</t>
  </si>
  <si>
    <t>https://twitter.com/VW/status/612301575185412096</t>
  </si>
  <si>
    <t>Starting grid for days! #VWGRC #RedBullGRC</t>
  </si>
  <si>
    <t>2015-06-20T16:50:46.000Z</t>
  </si>
  <si>
    <t>https://twitter.com/VW/status/612299184838979584</t>
  </si>
  <si>
    <t>.@TannerFoust and his #VWGRC Beetle fly into today's finals at #RedBullGRC Daytona!</t>
  </si>
  <si>
    <t>2015-06-20T16:41:16.000Z</t>
  </si>
  <si>
    <t>https://twitter.com/VW/status/612294305814851584</t>
  </si>
  <si>
    <t>It's official: Foust advances to the finals; Speed will go to the LCQ at #RedBullGRC Daytona. Go Team #VWGRC!!!</t>
  </si>
  <si>
    <t>2015-06-20T16:21:53.000Z</t>
  </si>
  <si>
    <t>https://twitter.com/VW/status/612286238486339584</t>
  </si>
  <si>
    <t>Add team #VWGRC stickers to your pics in the Photo Booth section of our VARX Supercars app (iOS/Android)! #RedBullGRC</t>
  </si>
  <si>
    <t>2015-06-20T15:49:49.000Z</t>
  </si>
  <si>
    <t>https://twitter.com/VW/status/612266449361633280</t>
  </si>
  <si>
    <t>Team #VWGRC is off to a great start with 2nd and 4th positions in today's Supercar Heat race at #RedBullGRC Daytona!</t>
  </si>
  <si>
    <t>2015-06-20T14:31:11.000Z</t>
  </si>
  <si>
    <t>https://twitter.com/VW/status/612251593350742016</t>
  </si>
  <si>
    <t>Team #VWGRC all smiles before kicking off today's races at #RedBullGRC Daytona!</t>
  </si>
  <si>
    <t>2015-06-20T13:32:09.000Z</t>
  </si>
  <si>
    <t>https://twitter.com/VW/status/612241502857728000</t>
  </si>
  <si>
    <t>Team #VWGRC hard at work, prepping for Day 2 at #RedBullGRC Daytona!</t>
  </si>
  <si>
    <t>2015-06-20T12:52:03.000Z</t>
  </si>
  <si>
    <t>https://twitter.com/VW/status/612063854147731458</t>
  </si>
  <si>
    <t>@quinton_luck We just want to help you in the most efficient manner possible. Not enough characters here on Twitter!</t>
  </si>
  <si>
    <t>2015-06-20T01:06:09.000Z</t>
  </si>
  <si>
    <t>@quinton_luck</t>
  </si>
  <si>
    <t>https://twitter.com/VW/status/612062052715081728</t>
  </si>
  <si>
    <t>@ciaraxkellyyy We’re sorry you’re unhappy with your Jetta! DM us your VIN and email address so we can discuss your concerns. #VWcares</t>
  </si>
  <si>
    <t>2015-06-20T00:58:59.000Z</t>
  </si>
  <si>
    <t>@ciaraxkellyyy</t>
  </si>
  <si>
    <t>https://twitter.com/VW/status/612062050622111744</t>
  </si>
  <si>
    <t>@CoreyRants  We’re sorry to hear about your VW! If you have any questions, feel free to reach out to us at http://vw.com/contact. #VWcares</t>
  </si>
  <si>
    <t>https://twitter.com/VW/status/612062045085630464</t>
  </si>
  <si>
    <t>@LShslatin  Sorry for the wait, Susan! DM us your email so we can reach out to you about your order. #VWcares</t>
  </si>
  <si>
    <t>2015-06-20T00:58:57.000Z</t>
  </si>
  <si>
    <t>@LShslatin</t>
  </si>
  <si>
    <t>https://twitter.com/VW/status/612062040153128960</t>
  </si>
  <si>
    <t>@sirnicholasdake  Nick, we’re sorry for your experience &amp; we’d like to hear more. Please follow &amp; DM us your VIN &amp; email address #VWCares</t>
  </si>
  <si>
    <t>2015-06-20T00:58:56.000Z</t>
  </si>
  <si>
    <t>https://twitter.com/VW/status/612060146450063360</t>
  </si>
  <si>
    <t>@JimDilley We’re sorry to hear this happened, Jim. We’ll be reaching out to you and your wife soon #VWCares</t>
  </si>
  <si>
    <t>2015-06-20T00:51:25.000Z</t>
  </si>
  <si>
    <t>https://twitter.com/VW/status/612039574496407552</t>
  </si>
  <si>
    <t>Due to potentially severe weather, #RedBullGRC Daytona has been suspended for tonight! We'll be back tomorrow! #VWGRC</t>
  </si>
  <si>
    <t>2015-06-19T23:29:40.000Z</t>
  </si>
  <si>
    <t>https://twitter.com/VW/status/612022293246689280</t>
  </si>
  <si>
    <t>Let's hear it for @scottspeed, who finished second in his heat at #RedBullGRC Daytona! #VWGRC</t>
  </si>
  <si>
    <t>2015-06-19T22:21:00.000Z</t>
  </si>
  <si>
    <t>https://twitter.com/VW/status/612004105033285632</t>
  </si>
  <si>
    <t>.@TannerFoust and his #VWGRC Beetle soaring high! #RedBullGRC</t>
  </si>
  <si>
    <t>2015-06-19T21:08:43.000Z</t>
  </si>
  <si>
    <t>https://twitter.com/VW/status/611999445367029761</t>
  </si>
  <si>
    <t>.@TannerFoust finishes 7th overall in Supercar Qualifying round at #RedBullGRC Daytona! #VWGRC</t>
  </si>
  <si>
    <t>2015-06-19T20:50:12.000Z</t>
  </si>
  <si>
    <t>https://twitter.com/VW/status/611939724710670336</t>
  </si>
  <si>
    <t>Tune-in to see @TannerFoust &amp; @ScottSpeed compete for the podium at GRC Daytona this Sunday at 2PM ET on NBC. #VWGRC</t>
  </si>
  <si>
    <t>2015-06-19T16:52:54.000Z</t>
  </si>
  <si>
    <t>https://twitter.com/VW/status/611937312306544640</t>
  </si>
  <si>
    <t>Download the free VARX Supercars app for iOS/Android to stay up to date on all things team #VWGRC! #RedBullGRC</t>
  </si>
  <si>
    <t>2015-06-19T16:43:19.000Z</t>
  </si>
  <si>
    <t>https://twitter.com/VW/status/611916326940995584</t>
  </si>
  <si>
    <t>@tbacchus20 Tatiana, thank you for sharing your wonderful feedback with us, we love hearing from our drivers.</t>
  </si>
  <si>
    <t>2015-06-19T15:19:55.000Z</t>
  </si>
  <si>
    <t>https://twitter.com/VW/status/611914282993717248</t>
  </si>
  <si>
    <t>@wandiezibani Thanks for sharing the positive feedback Nosipho!</t>
  </si>
  <si>
    <t>2015-06-19T15:11:48.000Z</t>
  </si>
  <si>
    <t>@wandiezibani</t>
  </si>
  <si>
    <t>https://twitter.com/VW/status/611889479947825152</t>
  </si>
  <si>
    <t>Rise and shine! The #VWGRC team is prepping for all things #RedBullGRC Daytona.</t>
  </si>
  <si>
    <t>2015-06-19T13:33:15.000Z</t>
  </si>
  <si>
    <t>https://twitter.com/VW/status/611844383982403584</t>
  </si>
  <si>
    <t>Summer days have you longing to cool off? Let VW DriverGear offer some relief. Shop Now: http://bit.ly/1OX9hEY</t>
  </si>
  <si>
    <t>2015-06-19T10:34:03.000Z</t>
  </si>
  <si>
    <t>https://twitter.com/VW/status/611647347869659136</t>
  </si>
  <si>
    <t>@christina_bagan We see you’ve reached out to us about this. Once you have a dealer appointment, please let us know so we can look into it.</t>
  </si>
  <si>
    <t>2015-06-18T21:31:06.000Z</t>
  </si>
  <si>
    <t>https://twitter.com/VW/status/611605242166185984</t>
  </si>
  <si>
    <t>@sdiddy31 Let us know if you encounter any more problems Sarah, we're sorry you were inconvenienced.</t>
  </si>
  <si>
    <t>2015-06-18T18:43:47.000Z</t>
  </si>
  <si>
    <t>@sdiddy31</t>
  </si>
  <si>
    <t>https://twitter.com/VW/status/611529315822407681</t>
  </si>
  <si>
    <t>@matthabel There will be more later this year! Stay in touch with your local VW dealer to find out when they will arrive near you. #VWcares</t>
  </si>
  <si>
    <t>2015-06-18T13:42:05.000Z</t>
  </si>
  <si>
    <t>@matthabel</t>
  </si>
  <si>
    <t>https://twitter.com/VW/status/611529313423245312</t>
  </si>
  <si>
    <t>@matthabel We’re thrilled you’re interested in the Golf R! The 2015 was a limited edition and sold very quickly. Sorry you missed them!</t>
  </si>
  <si>
    <t>2015-06-18T13:42:04.000Z</t>
  </si>
  <si>
    <t>https://twitter.com/VW/status/611529311305101314</t>
  </si>
  <si>
    <t>@LaurNicole Your privacy is important to us, and we’re sorry this is happening. We’re happy to research this, please DM your VIN and email.</t>
  </si>
  <si>
    <t>@LaurNicole</t>
  </si>
  <si>
    <t>Total engagement</t>
  </si>
  <si>
    <t>Discretised Timing</t>
  </si>
  <si>
    <t>Media Type</t>
  </si>
  <si>
    <t>Row Labels</t>
  </si>
  <si>
    <t>Grand Total</t>
  </si>
  <si>
    <t>Average of like_count</t>
  </si>
  <si>
    <t>Link</t>
  </si>
  <si>
    <t>Text only</t>
  </si>
  <si>
    <t>Average of reply_count</t>
  </si>
  <si>
    <t>Average of retweet_count</t>
  </si>
  <si>
    <t>Discretise Date (Period)</t>
  </si>
  <si>
    <t>Discretised Date (Period)</t>
  </si>
  <si>
    <t>After Recall</t>
  </si>
  <si>
    <t>Before Crisis</t>
  </si>
  <si>
    <t>Prior Recall</t>
  </si>
  <si>
    <t>Photo</t>
  </si>
  <si>
    <t>Video</t>
  </si>
  <si>
    <r>
      <t xml:space="preserve">It can weigh 4,000 pounds or more. Is it a Golf SportWagen or a </t>
    </r>
    <r>
      <rPr>
        <b/>
        <sz val="11"/>
        <color rgb="FFFF0000"/>
        <rFont val="Calibri (Body)"/>
      </rPr>
      <t>shark</t>
    </r>
    <r>
      <rPr>
        <sz val="11"/>
        <color theme="1"/>
        <rFont val="Calibri"/>
        <family val="2"/>
        <scheme val="minor"/>
      </rPr>
      <t>? Visit http://sharksrescored.com. #VW #SharkWeek</t>
    </r>
  </si>
  <si>
    <r>
      <t xml:space="preserve">It can see forward and behind. Is it a SportWagen or a shark? Visit http://sharksrescored.com. #VW </t>
    </r>
    <r>
      <rPr>
        <b/>
        <sz val="11"/>
        <color rgb="FFFF0000"/>
        <rFont val="Calibri (Body)"/>
      </rPr>
      <t>#SharkWeek</t>
    </r>
  </si>
  <si>
    <r>
      <t xml:space="preserve">Do you think a </t>
    </r>
    <r>
      <rPr>
        <b/>
        <sz val="11"/>
        <color rgb="FFFF0000"/>
        <rFont val="Calibri (Body)"/>
      </rPr>
      <t>Shark</t>
    </r>
    <r>
      <rPr>
        <sz val="11"/>
        <color theme="1"/>
        <rFont val="Calibri"/>
        <family val="2"/>
        <scheme val="minor"/>
      </rPr>
      <t xml:space="preserve"> or a Golf SportWagen can deliver up to 1.8 tons of force? http://sharksrescored.com. #VW #SharkWeek</t>
    </r>
  </si>
  <si>
    <r>
      <t xml:space="preserve">What's under your hood? </t>
    </r>
    <r>
      <rPr>
        <b/>
        <sz val="11"/>
        <color rgb="FF00B0F0"/>
        <rFont val="Calibri (Body)"/>
      </rPr>
      <t>#Waterfest21</t>
    </r>
  </si>
  <si>
    <r>
      <t xml:space="preserve">Watch all the amazing custom rides from </t>
    </r>
    <r>
      <rPr>
        <b/>
        <sz val="11"/>
        <color rgb="FF00B0F0"/>
        <rFont val="Calibri (Body)"/>
      </rPr>
      <t>#Waterfest21</t>
    </r>
    <r>
      <rPr>
        <sz val="11"/>
        <color theme="1"/>
        <rFont val="Calibri"/>
        <family val="2"/>
        <scheme val="minor"/>
      </rPr>
      <t>. Tweet at us your favorites.</t>
    </r>
  </si>
  <si>
    <r>
      <t xml:space="preserve">HARLEQUIN. </t>
    </r>
    <r>
      <rPr>
        <b/>
        <sz val="11"/>
        <color rgb="FF00B0F0"/>
        <rFont val="Calibri (Body)"/>
      </rPr>
      <t>#Waterfest21</t>
    </r>
  </si>
  <si>
    <r>
      <t>With custom rides, a drag strip and autocross, who wouldn’t want to soak up</t>
    </r>
    <r>
      <rPr>
        <b/>
        <sz val="11"/>
        <color rgb="FF00B0F0"/>
        <rFont val="Calibri (Body)"/>
      </rPr>
      <t xml:space="preserve"> #Waterfest</t>
    </r>
    <r>
      <rPr>
        <sz val="11"/>
        <color theme="1"/>
        <rFont val="Calibri"/>
        <family val="2"/>
        <scheme val="minor"/>
      </rPr>
      <t>21? http://waterfest.net</t>
    </r>
  </si>
  <si>
    <r>
      <t>VW is donating $50K to @Oceana. Share the http://SharksRescored.com experience to help save sharks. #VW</t>
    </r>
    <r>
      <rPr>
        <b/>
        <sz val="11"/>
        <color rgb="FF00B0F0"/>
        <rFont val="Calibri (Body)"/>
      </rPr>
      <t xml:space="preserve"> </t>
    </r>
    <r>
      <rPr>
        <b/>
        <sz val="11"/>
        <color rgb="FFFF0000"/>
        <rFont val="Calibri (Body)"/>
      </rPr>
      <t>#SharkWeek</t>
    </r>
  </si>
  <si>
    <r>
      <t xml:space="preserve">Update from Volkswagen regarding the EPA </t>
    </r>
    <r>
      <rPr>
        <b/>
        <sz val="11"/>
        <color rgb="FFFF0000"/>
        <rFont val="Calibri (Body)"/>
      </rPr>
      <t>investigation</t>
    </r>
    <r>
      <rPr>
        <sz val="11"/>
        <color theme="1"/>
        <rFont val="Calibri"/>
        <family val="2"/>
        <scheme val="minor"/>
      </rPr>
      <t>:</t>
    </r>
  </si>
  <si>
    <r>
      <rPr>
        <b/>
        <sz val="11"/>
        <color rgb="FFFF0000"/>
        <rFont val="Calibri (Body)"/>
      </rPr>
      <t>Visit</t>
    </r>
    <r>
      <rPr>
        <sz val="11"/>
        <color theme="1"/>
        <rFont val="Calibri"/>
        <family val="2"/>
        <scheme val="minor"/>
      </rPr>
      <t xml:space="preserve"> http://VWDieselInfo.com </t>
    </r>
    <r>
      <rPr>
        <b/>
        <sz val="11"/>
        <color rgb="FFFF0000"/>
        <rFont val="Calibri (Body)"/>
      </rPr>
      <t>for information</t>
    </r>
    <r>
      <rPr>
        <sz val="11"/>
        <color theme="1"/>
        <rFont val="Calibri"/>
        <family val="2"/>
        <scheme val="minor"/>
      </rPr>
      <t xml:space="preserve"> regarding affected TDI vehicles.</t>
    </r>
  </si>
  <si>
    <r>
      <t>Owners of affected 2.0L TDI vehicles can sign up on http://vwdieselinfo.com to receive</t>
    </r>
    <r>
      <rPr>
        <b/>
        <sz val="11"/>
        <color rgb="FFFF0000"/>
        <rFont val="Calibri (Body)"/>
      </rPr>
      <t xml:space="preserve"> communications &amp; updates.</t>
    </r>
  </si>
  <si>
    <r>
      <t xml:space="preserve">Use our VIN look up tool to find out if your 2.0L TDI is affected by the </t>
    </r>
    <r>
      <rPr>
        <b/>
        <sz val="11"/>
        <color rgb="FFFF0000"/>
        <rFont val="Calibri (Body)"/>
      </rPr>
      <t>emissions issue</t>
    </r>
    <r>
      <rPr>
        <sz val="11"/>
        <color theme="1"/>
        <rFont val="Calibri"/>
        <family val="2"/>
        <scheme val="minor"/>
      </rPr>
      <t>. http://vwdieselinfo.com</t>
    </r>
  </si>
  <si>
    <r>
      <t xml:space="preserve">2.0L TDI Owners, we’re working hard to make things right. Visit http://vwdieselinfo.com/goodwill_package/… for </t>
    </r>
    <r>
      <rPr>
        <b/>
        <sz val="11"/>
        <color rgb="FFFF0000"/>
        <rFont val="Calibri (Body)"/>
      </rPr>
      <t>more information.</t>
    </r>
  </si>
  <si>
    <t>Recall 1</t>
  </si>
  <si>
    <t>Recall 2</t>
  </si>
  <si>
    <t>Recall 3</t>
  </si>
  <si>
    <r>
      <t xml:space="preserve">To all our friends &amp; customers on twitter: Pls RT www.toyota.com/recall for </t>
    </r>
    <r>
      <rPr>
        <b/>
        <sz val="11"/>
        <color rgb="FFFF0000"/>
        <rFont val="Calibri (Body)"/>
      </rPr>
      <t>info on affected vehicles.</t>
    </r>
    <r>
      <rPr>
        <sz val="11"/>
        <color theme="1"/>
        <rFont val="Calibri"/>
        <family val="2"/>
        <scheme val="minor"/>
      </rPr>
      <t xml:space="preserve"> Don't give up on us.We hear you! ^DM</t>
    </r>
  </si>
  <si>
    <r>
      <t>Toyota President &amp; COO Jim Lentz will be</t>
    </r>
    <r>
      <rPr>
        <b/>
        <sz val="11"/>
        <color rgb="FFFF0000"/>
        <rFont val="Calibri (Body)"/>
      </rPr>
      <t xml:space="preserve"> taking questions</t>
    </r>
    <r>
      <rPr>
        <sz val="11"/>
        <color theme="1"/>
        <rFont val="Calibri"/>
        <family val="2"/>
        <scheme val="minor"/>
      </rPr>
      <t xml:space="preserve"> on @Toyota today at 3:00 pm EST for 20 minutes. Use #Lentz</t>
    </r>
  </si>
  <si>
    <r>
      <t>In an effort to keep our customers updated, we've posted an updated</t>
    </r>
    <r>
      <rPr>
        <b/>
        <sz val="11"/>
        <color rgb="FFFF0000"/>
        <rFont val="Calibri (Body)"/>
      </rPr>
      <t xml:space="preserve"> FAQ about Sticking Pedal </t>
    </r>
    <r>
      <rPr>
        <sz val="11"/>
        <color theme="1"/>
        <rFont val="Calibri"/>
        <family val="2"/>
        <scheme val="minor"/>
      </rPr>
      <t>Recall http://bit.ly/7uRDv6</t>
    </r>
  </si>
  <si>
    <r>
      <t xml:space="preserve">Jim Lentz, President and COO of Toyota Motor Sales, USA, will </t>
    </r>
    <r>
      <rPr>
        <b/>
        <sz val="11"/>
        <color rgb="FFFF0000"/>
        <rFont val="Calibri (Body)"/>
      </rPr>
      <t>answer @Digg community’s top questions</t>
    </r>
    <r>
      <rPr>
        <sz val="11"/>
        <color theme="1"/>
        <rFont val="Calibri"/>
        <family val="2"/>
        <scheme val="minor"/>
      </rPr>
      <t>: http://bit.ly/bQw7Al</t>
    </r>
  </si>
  <si>
    <r>
      <t xml:space="preserve">2 recalls - </t>
    </r>
    <r>
      <rPr>
        <b/>
        <sz val="11"/>
        <color rgb="FFFF0000"/>
        <rFont val="Calibri (Body)"/>
      </rPr>
      <t>get info</t>
    </r>
    <r>
      <rPr>
        <sz val="11"/>
        <color theme="1"/>
        <rFont val="Calibri"/>
        <family val="2"/>
        <scheme val="minor"/>
      </rPr>
      <t xml:space="preserve"> here www.toyota.com/recall spread the word. ^DM</t>
    </r>
  </si>
  <si>
    <r>
      <t xml:space="preserve">Toyota Announces Comprehensive </t>
    </r>
    <r>
      <rPr>
        <b/>
        <sz val="11"/>
        <color rgb="FFFF0000"/>
        <rFont val="Calibri (Body)"/>
      </rPr>
      <t xml:space="preserve">Plan to Fix Accelerator Pedals </t>
    </r>
    <r>
      <rPr>
        <sz val="11"/>
        <color theme="1"/>
        <rFont val="Calibri"/>
        <family val="2"/>
        <scheme val="minor"/>
      </rPr>
      <t>on Recalled Vehicles http://bit.ly/9yZUt1 ^DM</t>
    </r>
  </si>
  <si>
    <r>
      <t>ABC admits to</t>
    </r>
    <r>
      <rPr>
        <b/>
        <sz val="11"/>
        <color rgb="FFFF0000"/>
        <rFont val="Calibri (Body)"/>
      </rPr>
      <t xml:space="preserve"> misjudgment</t>
    </r>
    <r>
      <rPr>
        <sz val="11"/>
        <color theme="1"/>
        <rFont val="Calibri"/>
        <family val="2"/>
        <scheme val="minor"/>
      </rPr>
      <t xml:space="preserve"> in Toyota story http://bit.ly/cXbpx2</t>
    </r>
  </si>
  <si>
    <r>
      <rPr>
        <b/>
        <sz val="11"/>
        <color rgb="FFFF0000"/>
        <rFont val="Calibri (Body)"/>
      </rPr>
      <t>Preliminary Findings</t>
    </r>
    <r>
      <rPr>
        <sz val="11"/>
        <color theme="1"/>
        <rFont val="Calibri"/>
        <family val="2"/>
        <scheme val="minor"/>
      </rPr>
      <t xml:space="preserve"> From Technical Field Examination of Alleged 'Runaway Prius' in San Diego http://bit.ly/dD6tQF</t>
    </r>
  </si>
  <si>
    <r>
      <rPr>
        <b/>
        <sz val="11"/>
        <color rgb="FFFF0000"/>
        <rFont val="Calibri (Body)"/>
      </rPr>
      <t>FAQs</t>
    </r>
    <r>
      <rPr>
        <sz val="11"/>
        <color theme="1"/>
        <rFont val="Calibri"/>
        <family val="2"/>
        <scheme val="minor"/>
      </rPr>
      <t xml:space="preserve"> About the 2010 Prius/2010 Lexus HS 250h/Camry Voluntary Recalls: http://bit.ly/aUL7qm</t>
    </r>
  </si>
  <si>
    <r>
      <t xml:space="preserve">Check out Edmunds’ recall </t>
    </r>
    <r>
      <rPr>
        <b/>
        <sz val="11"/>
        <color rgb="FFFF0000"/>
        <rFont val="Calibri (Body)"/>
      </rPr>
      <t>analysis</t>
    </r>
    <r>
      <rPr>
        <sz val="11"/>
        <color theme="1"/>
        <rFont val="Calibri"/>
        <family val="2"/>
        <scheme val="minor"/>
      </rPr>
      <t xml:space="preserve"> http://bit.ly/cZu5dK</t>
    </r>
  </si>
  <si>
    <r>
      <t xml:space="preserve">Here's </t>
    </r>
    <r>
      <rPr>
        <b/>
        <sz val="11"/>
        <color rgb="FFFF0000"/>
        <rFont val="Calibri (Body)"/>
      </rPr>
      <t>Lexus’ statement regarding Consumer Reports</t>
    </r>
    <r>
      <rPr>
        <sz val="11"/>
        <color theme="1"/>
        <rFont val="Calibri"/>
        <family val="2"/>
        <scheme val="minor"/>
      </rPr>
      <t>’ testing of the 2010 GX 460 http://bit.ly/cIPU2y #GX #Lexus</t>
    </r>
  </si>
  <si>
    <r>
      <rPr>
        <b/>
        <sz val="11"/>
        <color rgb="FFFF0000"/>
        <rFont val="Calibri (Body)"/>
      </rPr>
      <t>Statement</t>
    </r>
    <r>
      <rPr>
        <sz val="11"/>
        <color theme="1"/>
        <rFont val="Calibri"/>
        <family val="2"/>
        <scheme val="minor"/>
      </rPr>
      <t xml:space="preserve"> Regarding ABC News Story: Expert Recreates Sudden Acceleration in Toyota http://bit.ly/dtGSgv</t>
    </r>
  </si>
  <si>
    <r>
      <t xml:space="preserve">Toyota </t>
    </r>
    <r>
      <rPr>
        <b/>
        <sz val="11"/>
        <color rgb="FFFF0000"/>
        <rFont val="Calibri (Body)"/>
      </rPr>
      <t>Announces</t>
    </r>
    <r>
      <rPr>
        <sz val="11"/>
        <color theme="1"/>
        <rFont val="Calibri"/>
        <family val="2"/>
        <scheme val="minor"/>
      </rPr>
      <t xml:space="preserve"> Voluntary Recall on 2010 Model-Year Lexus GX 460 to Update Vehicle Stability Control Software http://bit.ly/9hXQiK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</si>
</sst>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 (Body)"/>
    </font>
    <font>
      <b/>
      <sz val="11"/>
      <color rgb="FF00B0F0"/>
      <name val="Calibri (Body)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0" fillId="4" borderId="2" xfId="0" applyFill="1" applyBorder="1"/>
    <xf numFmtId="0" fontId="0" fillId="5" borderId="3" xfId="0" applyFill="1" applyBorder="1"/>
    <xf numFmtId="0" fontId="0" fillId="2" borderId="2" xfId="0" applyFill="1" applyBorder="1"/>
    <xf numFmtId="0" fontId="0" fillId="3" borderId="0" xfId="0" applyFill="1"/>
    <xf numFmtId="0" fontId="0" fillId="6" borderId="3" xfId="0" applyFill="1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6" borderId="8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0" fillId="7" borderId="9" xfId="0" applyFill="1" applyBorder="1"/>
    <xf numFmtId="0" fontId="3" fillId="2" borderId="11" xfId="0" applyFont="1" applyFill="1" applyBorder="1"/>
    <xf numFmtId="0" fontId="3" fillId="3" borderId="12" xfId="0" applyFont="1" applyFill="1" applyBorder="1"/>
    <xf numFmtId="0" fontId="3" fillId="6" borderId="13" xfId="0" applyFont="1" applyFill="1" applyBorder="1"/>
    <xf numFmtId="0" fontId="3" fillId="4" borderId="11" xfId="0" applyFont="1" applyFill="1" applyBorder="1"/>
    <xf numFmtId="0" fontId="3" fillId="5" borderId="13" xfId="0" applyFont="1" applyFill="1" applyBorder="1"/>
    <xf numFmtId="0" fontId="3" fillId="0" borderId="10" xfId="0" applyFont="1" applyBorder="1"/>
    <xf numFmtId="0" fontId="3" fillId="7" borderId="11" xfId="0" applyFont="1" applyFill="1" applyBorder="1"/>
    <xf numFmtId="0" fontId="0" fillId="7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14" fontId="0" fillId="2" borderId="2" xfId="0" applyNumberFormat="1" applyFill="1" applyBorder="1"/>
    <xf numFmtId="0" fontId="1" fillId="8" borderId="10" xfId="0" applyFont="1" applyFill="1" applyBorder="1" applyAlignment="1">
      <alignment horizontal="center" vertical="top"/>
    </xf>
    <xf numFmtId="0" fontId="0" fillId="8" borderId="0" xfId="0" applyFill="1"/>
    <xf numFmtId="0" fontId="4" fillId="0" borderId="0" xfId="0" applyFont="1"/>
    <xf numFmtId="0" fontId="5" fillId="0" borderId="0" xfId="1"/>
    <xf numFmtId="0" fontId="8" fillId="0" borderId="0" xfId="0" applyFont="1"/>
    <xf numFmtId="2" fontId="8" fillId="0" borderId="0" xfId="0" applyNumberFormat="1" applyFont="1"/>
    <xf numFmtId="0" fontId="9" fillId="0" borderId="0" xfId="0" applyFont="1" applyAlignment="1">
      <alignment horizontal="left"/>
    </xf>
    <xf numFmtId="2" fontId="0" fillId="4" borderId="0" xfId="0" applyNumberFormat="1" applyFill="1"/>
    <xf numFmtId="2" fontId="3" fillId="4" borderId="0" xfId="0" applyNumberFormat="1" applyFont="1" applyFill="1"/>
  </cellXfs>
  <cellStyles count="2">
    <cellStyle name="Hyperlink" xfId="1" builtinId="8"/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u/>
      </font>
    </dxf>
    <dxf>
      <font>
        <b/>
      </font>
    </dxf>
    <dxf>
      <numFmt numFmtId="2" formatCode="0.00"/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" formatCode="0"/>
    </dxf>
    <dxf>
      <numFmt numFmtId="1" formatCode="0"/>
    </dxf>
    <dxf>
      <numFmt numFmtId="0" formatCode="General"/>
    </dxf>
    <dxf>
      <fill>
        <patternFill patternType="solid">
          <fgColor indexed="64"/>
          <bgColor theme="9" tint="0.3999755851924192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numFmt numFmtId="19" formatCode="d/m/yyyy"/>
      <fill>
        <patternFill patternType="solid">
          <fgColor indexed="64"/>
          <bgColor theme="9" tint="0.79998168889431442"/>
        </patternFill>
      </fill>
      <border diagonalUp="0" diagonalDown="0" outline="0">
        <left style="medium">
          <color indexed="64"/>
        </left>
        <right/>
        <top/>
        <bottom/>
      </border>
    </dxf>
    <dxf>
      <border outline="0">
        <right style="medium">
          <color indexed="64"/>
        </right>
      </border>
    </dxf>
    <dxf>
      <border outline="0">
        <right style="medium">
          <color indexed="64"/>
        </right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fill>
        <patternFill patternType="solid">
          <fgColor indexed="64"/>
          <bgColor theme="8" tint="0.79998168889431442"/>
        </patternFill>
      </fill>
    </dxf>
    <dxf>
      <font>
        <color rgb="FFFF0000"/>
      </font>
    </dxf>
    <dxf>
      <font>
        <b/>
      </font>
    </dxf>
    <dxf>
      <numFmt numFmtId="2" formatCode="0.00"/>
    </dxf>
    <dxf>
      <font>
        <color rgb="FFFF0000"/>
      </font>
    </dxf>
    <dxf>
      <font>
        <b/>
      </font>
    </dxf>
    <dxf>
      <numFmt numFmtId="2" formatCode="0.00"/>
    </dxf>
    <dxf>
      <fill>
        <patternFill patternType="solid">
          <fgColor indexed="64"/>
          <bgColor theme="6" tint="0.79998168889431442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8" tint="0.5999938962981048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8" tint="0.79998168889431442"/>
        </patternFill>
      </fill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9" tint="0.39997558519241921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numFmt numFmtId="19" formatCode="d/m/yyyy"/>
      <fill>
        <patternFill patternType="solid">
          <fgColor indexed="64"/>
          <bgColor theme="9" tint="0.79998168889431442"/>
        </patternFill>
      </fill>
    </dxf>
    <dxf>
      <numFmt numFmtId="0" formatCode="General"/>
      <fill>
        <patternFill patternType="solid">
          <fgColor indexed="64"/>
          <bgColor theme="6" tint="0.59999389629810485"/>
        </patternFill>
      </fill>
      <border outline="0">
        <right style="medium">
          <color indexed="64"/>
        </right>
      </border>
    </dxf>
    <dxf>
      <border outline="0">
        <right style="medium">
          <color indexed="64"/>
        </right>
      </border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[Brand_Tweets_Toyota&amp;Volkswagen (Cleaned Version).xlsx]Toyota_Pivot Table!PivotTable1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'Toyota_Pivot Table'!$B$4</c:f>
              <c:strCache>
                <c:ptCount val="1"/>
                <c:pt idx="0">
                  <c:v>Average of like_count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'Toyota_Pivot Table'!$A$5:$A$10</c:f>
              <c:strCache>
                <c:ptCount val="5"/>
                <c:pt idx="0">
                  <c:v>After Recall</c:v>
                </c:pt>
                <c:pt idx="1">
                  <c:v>Prior Recall</c:v>
                </c:pt>
                <c:pt idx="2">
                  <c:v>Recall 1</c:v>
                </c:pt>
                <c:pt idx="3">
                  <c:v>Recall 2</c:v>
                </c:pt>
                <c:pt idx="4">
                  <c:v>Recall 3</c:v>
                </c:pt>
              </c:strCache>
            </c:strRef>
          </c:cat>
          <c:val>
            <c:numRef>
              <c:f>'Toyota_Pivot Table'!$B$5:$B$10</c:f>
              <c:numCache>
                <c:formatCode>0.00</c:formatCode>
                <c:ptCount val="5"/>
                <c:pt idx="0">
                  <c:v>0.52</c:v>
                </c:pt>
                <c:pt idx="1">
                  <c:v>0.1891891891891892</c:v>
                </c:pt>
                <c:pt idx="2">
                  <c:v>0.13008130081300814</c:v>
                </c:pt>
                <c:pt idx="3">
                  <c:v>0.15873015873015872</c:v>
                </c:pt>
                <c:pt idx="4">
                  <c:v>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7-B84C-B7D8-13B510C68328}"/>
            </c:ext>
          </c:extLst>
        </c:ser>
        <c:ser>
          <c:idx val="1"/>
          <c:order val="1"/>
          <c:tx>
            <c:strRef>
              <c:f>'Toyota_Pivot Table'!$C$4</c:f>
              <c:strCache>
                <c:ptCount val="1"/>
                <c:pt idx="0">
                  <c:v>Average of reply_count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'Toyota_Pivot Table'!$A$5:$A$10</c:f>
              <c:strCache>
                <c:ptCount val="5"/>
                <c:pt idx="0">
                  <c:v>After Recall</c:v>
                </c:pt>
                <c:pt idx="1">
                  <c:v>Prior Recall</c:v>
                </c:pt>
                <c:pt idx="2">
                  <c:v>Recall 1</c:v>
                </c:pt>
                <c:pt idx="3">
                  <c:v>Recall 2</c:v>
                </c:pt>
                <c:pt idx="4">
                  <c:v>Recall 3</c:v>
                </c:pt>
              </c:strCache>
            </c:strRef>
          </c:cat>
          <c:val>
            <c:numRef>
              <c:f>'Toyota_Pivot Table'!$C$5:$C$10</c:f>
              <c:numCache>
                <c:formatCode>0.00</c:formatCode>
                <c:ptCount val="5"/>
                <c:pt idx="0">
                  <c:v>0.01</c:v>
                </c:pt>
                <c:pt idx="1">
                  <c:v>0</c:v>
                </c:pt>
                <c:pt idx="2">
                  <c:v>1.6260162601626018E-2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57-B84C-B7D8-13B510C68328}"/>
            </c:ext>
          </c:extLst>
        </c:ser>
        <c:ser>
          <c:idx val="2"/>
          <c:order val="2"/>
          <c:tx>
            <c:strRef>
              <c:f>'Toyota_Pivot Table'!$D$4</c:f>
              <c:strCache>
                <c:ptCount val="1"/>
                <c:pt idx="0">
                  <c:v>Average of retweet_count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'Toyota_Pivot Table'!$A$5:$A$10</c:f>
              <c:strCache>
                <c:ptCount val="5"/>
                <c:pt idx="0">
                  <c:v>After Recall</c:v>
                </c:pt>
                <c:pt idx="1">
                  <c:v>Prior Recall</c:v>
                </c:pt>
                <c:pt idx="2">
                  <c:v>Recall 1</c:v>
                </c:pt>
                <c:pt idx="3">
                  <c:v>Recall 2</c:v>
                </c:pt>
                <c:pt idx="4">
                  <c:v>Recall 3</c:v>
                </c:pt>
              </c:strCache>
            </c:strRef>
          </c:cat>
          <c:val>
            <c:numRef>
              <c:f>'Toyota_Pivot Table'!$D$5:$D$10</c:f>
              <c:numCache>
                <c:formatCode>0.00</c:formatCode>
                <c:ptCount val="5"/>
                <c:pt idx="0">
                  <c:v>3.33</c:v>
                </c:pt>
                <c:pt idx="1">
                  <c:v>0</c:v>
                </c:pt>
                <c:pt idx="2">
                  <c:v>0.22764227642276422</c:v>
                </c:pt>
                <c:pt idx="3">
                  <c:v>2.0317460317460316</c:v>
                </c:pt>
                <c:pt idx="4">
                  <c:v>5.0454545454545459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7-B84C-B7D8-13B510C6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01408"/>
        <c:axId val="63003200"/>
      </c:lineChart>
      <c:catAx>
        <c:axId val="630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3200"/>
        <c:crosses val="autoZero"/>
        <c:auto val="1"/>
        <c:lblAlgn val="ctr"/>
        <c:lblOffset val="100"/>
        <c:noMultiLvlLbl val="0"/>
      </c:catAx>
      <c:valAx>
        <c:axId val="6300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Overall 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Sheet4!$A$2:$A$7</c:f>
              <c:strCache>
                <c:ptCount val="6"/>
                <c:pt idx="0">
                  <c:v>Prior Recall</c:v>
                </c:pt>
                <c:pt idx="1">
                  <c:v>Recall 1</c:v>
                </c:pt>
                <c:pt idx="2">
                  <c:v>Recall 2</c:v>
                </c:pt>
                <c:pt idx="3">
                  <c:v>Recall 3</c:v>
                </c:pt>
                <c:pt idx="4">
                  <c:v>After Recall</c:v>
                </c:pt>
                <c:pt idx="5">
                  <c:v>Grand Total</c:v>
                </c:pt>
              </c:strCache>
            </c:strRef>
          </c:cat>
          <c:val>
            <c:numRef>
              <c:f>Sheet4!$B$2:$B$7</c:f>
              <c:numCache>
                <c:formatCode>0.00</c:formatCode>
                <c:ptCount val="6"/>
                <c:pt idx="0">
                  <c:v>0.1891891891891892</c:v>
                </c:pt>
                <c:pt idx="1">
                  <c:v>0.13008130081300814</c:v>
                </c:pt>
                <c:pt idx="2">
                  <c:v>0.15873015873015872</c:v>
                </c:pt>
                <c:pt idx="3">
                  <c:v>0.625</c:v>
                </c:pt>
                <c:pt idx="4">
                  <c:v>0.52</c:v>
                </c:pt>
                <c:pt idx="5">
                  <c:v>0.31923601637107774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104B-A63D-B4C3B3E2F22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Sheet4!$A$2:$A$7</c:f>
              <c:strCache>
                <c:ptCount val="6"/>
                <c:pt idx="0">
                  <c:v>Prior Recall</c:v>
                </c:pt>
                <c:pt idx="1">
                  <c:v>Recall 1</c:v>
                </c:pt>
                <c:pt idx="2">
                  <c:v>Recall 2</c:v>
                </c:pt>
                <c:pt idx="3">
                  <c:v>Recall 3</c:v>
                </c:pt>
                <c:pt idx="4">
                  <c:v>After Recall</c:v>
                </c:pt>
                <c:pt idx="5">
                  <c:v>Grand Total</c:v>
                </c:pt>
              </c:strCache>
            </c:strRef>
          </c:cat>
          <c:val>
            <c:numRef>
              <c:f>Sheet4!$C$2:$C$7</c:f>
              <c:numCache>
                <c:formatCode>0.00</c:formatCode>
                <c:ptCount val="6"/>
                <c:pt idx="0">
                  <c:v>0</c:v>
                </c:pt>
                <c:pt idx="1">
                  <c:v>1.6260162601626018E-2</c:v>
                </c:pt>
                <c:pt idx="2">
                  <c:v>0</c:v>
                </c:pt>
                <c:pt idx="3">
                  <c:v>0</c:v>
                </c:pt>
                <c:pt idx="4">
                  <c:v>0.01</c:v>
                </c:pt>
                <c:pt idx="5">
                  <c:v>5.4570259208731242E-3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10-104B-A63D-B4C3B3E2F22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Sheet4!$A$2:$A$7</c:f>
              <c:strCache>
                <c:ptCount val="6"/>
                <c:pt idx="0">
                  <c:v>Prior Recall</c:v>
                </c:pt>
                <c:pt idx="1">
                  <c:v>Recall 1</c:v>
                </c:pt>
                <c:pt idx="2">
                  <c:v>Recall 2</c:v>
                </c:pt>
                <c:pt idx="3">
                  <c:v>Recall 3</c:v>
                </c:pt>
                <c:pt idx="4">
                  <c:v>After Recall</c:v>
                </c:pt>
                <c:pt idx="5">
                  <c:v>Grand Total</c:v>
                </c:pt>
              </c:strCache>
            </c:strRef>
          </c:cat>
          <c:val>
            <c:numRef>
              <c:f>Sheet4!$D$2:$D$7</c:f>
              <c:numCache>
                <c:formatCode>0.00</c:formatCode>
                <c:ptCount val="6"/>
                <c:pt idx="0">
                  <c:v>0</c:v>
                </c:pt>
                <c:pt idx="1">
                  <c:v>0.22764227642276422</c:v>
                </c:pt>
                <c:pt idx="2">
                  <c:v>2.0317460317460316</c:v>
                </c:pt>
                <c:pt idx="3">
                  <c:v>5.0454545454545459</c:v>
                </c:pt>
                <c:pt idx="4">
                  <c:v>3.33</c:v>
                </c:pt>
                <c:pt idx="5">
                  <c:v>1.7271487039563438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10-104B-A63D-B4C3B3E2F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921792"/>
        <c:axId val="208926720"/>
      </c:lineChart>
      <c:catAx>
        <c:axId val="20892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6720"/>
        <c:crosses val="autoZero"/>
        <c:auto val="1"/>
        <c:lblAlgn val="ctr"/>
        <c:lblOffset val="100"/>
        <c:noMultiLvlLbl val="0"/>
      </c:catAx>
      <c:valAx>
        <c:axId val="20892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2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[Brand_Tweets_Toyota&amp;Volkswagen (Cleaned Version).xlsx]Volkswagen_Pivot Table!PivotTable2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'Volkswagen_Pivot Table'!$B$3</c:f>
              <c:strCache>
                <c:ptCount val="1"/>
                <c:pt idx="0">
                  <c:v>Average of like_count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'Volkswagen_Pivot Table'!$A$4:$A$8</c:f>
              <c:strCache>
                <c:ptCount val="4"/>
                <c:pt idx="0">
                  <c:v>Link</c:v>
                </c:pt>
                <c:pt idx="1">
                  <c:v>Photo</c:v>
                </c:pt>
                <c:pt idx="2">
                  <c:v>Text only</c:v>
                </c:pt>
                <c:pt idx="3">
                  <c:v>Video</c:v>
                </c:pt>
              </c:strCache>
            </c:strRef>
          </c:cat>
          <c:val>
            <c:numRef>
              <c:f>'Volkswagen_Pivot Table'!$B$4:$B$8</c:f>
              <c:numCache>
                <c:formatCode>0.00</c:formatCode>
                <c:ptCount val="4"/>
                <c:pt idx="0">
                  <c:v>0.51818181818181819</c:v>
                </c:pt>
                <c:pt idx="1">
                  <c:v>51.705882352941174</c:v>
                </c:pt>
                <c:pt idx="2">
                  <c:v>0.24224806201550386</c:v>
                </c:pt>
                <c:pt idx="3">
                  <c:v>67.625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6D-CA46-BC32-E3DC20E944A8}"/>
            </c:ext>
          </c:extLst>
        </c:ser>
        <c:ser>
          <c:idx val="1"/>
          <c:order val="1"/>
          <c:tx>
            <c:strRef>
              <c:f>'Volkswagen_Pivot Table'!$C$3</c:f>
              <c:strCache>
                <c:ptCount val="1"/>
                <c:pt idx="0">
                  <c:v>Average of reply_count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'Volkswagen_Pivot Table'!$A$4:$A$8</c:f>
              <c:strCache>
                <c:ptCount val="4"/>
                <c:pt idx="0">
                  <c:v>Link</c:v>
                </c:pt>
                <c:pt idx="1">
                  <c:v>Photo</c:v>
                </c:pt>
                <c:pt idx="2">
                  <c:v>Text only</c:v>
                </c:pt>
                <c:pt idx="3">
                  <c:v>Video</c:v>
                </c:pt>
              </c:strCache>
            </c:strRef>
          </c:cat>
          <c:val>
            <c:numRef>
              <c:f>'Volkswagen_Pivot Table'!$C$4:$C$8</c:f>
              <c:numCache>
                <c:formatCode>0.00</c:formatCode>
                <c:ptCount val="4"/>
                <c:pt idx="0">
                  <c:v>0.23636363636363636</c:v>
                </c:pt>
                <c:pt idx="1">
                  <c:v>2.2470588235294118</c:v>
                </c:pt>
                <c:pt idx="2">
                  <c:v>0.22093023255813954</c:v>
                </c:pt>
                <c:pt idx="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6D-CA46-BC32-E3DC20E944A8}"/>
            </c:ext>
          </c:extLst>
        </c:ser>
        <c:ser>
          <c:idx val="2"/>
          <c:order val="2"/>
          <c:tx>
            <c:strRef>
              <c:f>'Volkswagen_Pivot Table'!$D$3</c:f>
              <c:strCache>
                <c:ptCount val="1"/>
                <c:pt idx="0">
                  <c:v>Average of retweet_count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'Volkswagen_Pivot Table'!$A$4:$A$8</c:f>
              <c:strCache>
                <c:ptCount val="4"/>
                <c:pt idx="0">
                  <c:v>Link</c:v>
                </c:pt>
                <c:pt idx="1">
                  <c:v>Photo</c:v>
                </c:pt>
                <c:pt idx="2">
                  <c:v>Text only</c:v>
                </c:pt>
                <c:pt idx="3">
                  <c:v>Video</c:v>
                </c:pt>
              </c:strCache>
            </c:strRef>
          </c:cat>
          <c:val>
            <c:numRef>
              <c:f>'Volkswagen_Pivot Table'!$D$4:$D$8</c:f>
              <c:numCache>
                <c:formatCode>0.00</c:formatCode>
                <c:ptCount val="4"/>
                <c:pt idx="0">
                  <c:v>0.84545454545454546</c:v>
                </c:pt>
                <c:pt idx="1">
                  <c:v>23.076470588235296</c:v>
                </c:pt>
                <c:pt idx="2">
                  <c:v>0.56007751937984496</c:v>
                </c:pt>
                <c:pt idx="3">
                  <c:v>37.875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6D-CA46-BC32-E3DC20E94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172288"/>
        <c:axId val="209442944"/>
      </c:lineChart>
      <c:catAx>
        <c:axId val="20017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2944"/>
        <c:crosses val="autoZero"/>
        <c:auto val="1"/>
        <c:lblAlgn val="ctr"/>
        <c:lblOffset val="100"/>
        <c:noMultiLvlLbl val="0"/>
      </c:catAx>
      <c:valAx>
        <c:axId val="2094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15</xdr:row>
      <xdr:rowOff>31750</xdr:rowOff>
    </xdr:from>
    <xdr:to>
      <xdr:col>5</xdr:col>
      <xdr:colOff>584200</xdr:colOff>
      <xdr:row>29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84C64A-07AB-226F-9362-15B1CA51E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95250</xdr:rowOff>
    </xdr:from>
    <xdr:to>
      <xdr:col>3</xdr:col>
      <xdr:colOff>1409700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9D3CC-5E9F-024A-25AA-93A83E7BA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25400</xdr:rowOff>
    </xdr:from>
    <xdr:to>
      <xdr:col>3</xdr:col>
      <xdr:colOff>1056640</xdr:colOff>
      <xdr:row>22</xdr:row>
      <xdr:rowOff>66040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7910D43-3EE7-3424-CBF8-F03868CE4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ton Tiong Huo Yiaw" refreshedDate="45974.763552662036" createdVersion="8" refreshedVersion="8" minRefreshableVersion="3" recordCount="733" xr:uid="{37793ABD-250C-C147-991B-422E54AC8CBB}">
  <cacheSource type="worksheet">
    <worksheetSource name="Table3"/>
  </cacheSource>
  <cacheFields count="20">
    <cacheField name="tweet_url" numFmtId="0">
      <sharedItems/>
    </cacheField>
    <cacheField name="author_name" numFmtId="0">
      <sharedItems/>
    </cacheField>
    <cacheField name="author_id" numFmtId="0">
      <sharedItems/>
    </cacheField>
    <cacheField name="text" numFmtId="0">
      <sharedItems/>
    </cacheField>
    <cacheField name="created_at" numFmtId="0">
      <sharedItems/>
    </cacheField>
    <cacheField name="Discretise Date (Period)" numFmtId="0">
      <sharedItems count="5">
        <s v="Prior Recall"/>
        <s v="Recall 1"/>
        <s v="Recall 2"/>
        <s v="Recall 3"/>
        <s v="After Recall"/>
      </sharedItems>
    </cacheField>
    <cacheField name="Date posted" numFmtId="14">
      <sharedItems containsNonDate="0" containsDate="1" containsMixedTypes="1" minDate="2009-05-29T00:00:00" maxDate="2010-04-29T00:00:00" count="408">
        <d v="2009-05-29T00:00:00"/>
        <d v="2009-06-01T00:00:00"/>
        <d v="2009-06-02T00:00:00"/>
        <d v="2009-06-05T00:00:00"/>
        <d v="2009-06-06T00:00:00"/>
        <d v="2009-06-08T00:00:00"/>
        <d v="2009-06-09T00:00:00"/>
        <d v="2009-06-10T00:00:00"/>
        <d v="2009-06-11T00:00:00"/>
        <d v="2009-06-12T00:00:00"/>
        <d v="2009-06-14T00:00:00"/>
        <d v="2009-06-15T00:00:00"/>
        <d v="2009-06-16T00:00:00"/>
        <d v="2009-06-17T00:00:00"/>
        <d v="2009-06-18T00:00:00"/>
        <d v="2009-06-22T00:00:00"/>
        <d v="2009-06-23T00:00:00"/>
        <d v="2009-06-24T00:00:00"/>
        <d v="2009-06-25T00:00:00"/>
        <d v="2009-06-29T00:00:00"/>
        <d v="2009-06-30T00:00:00"/>
        <d v="2009-07-01T00:00:00"/>
        <d v="2009-07-02T00:00:00"/>
        <d v="2009-07-06T00:00:00"/>
        <d v="2009-07-07T00:00:00"/>
        <d v="2009-07-09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4T00:00:00"/>
        <d v="2009-07-28T00:00:00"/>
        <d v="2009-07-29T00:00:00"/>
        <d v="2009-07-31T00:00:00"/>
        <d v="2009-08-03T00:00:00"/>
        <d v="2009-08-04T00:00:00"/>
        <d v="2009-08-05T00:00:00"/>
        <d v="2009-08-06T00:00:00"/>
        <d v="2009-08-07T00:00:00"/>
        <d v="2009-08-11T00:00:00"/>
        <d v="2009-08-12T00:00:00"/>
        <d v="2009-08-13T00:00:00"/>
        <d v="2009-08-14T00:00:00"/>
        <d v="2009-08-18T00:00:00"/>
        <d v="2009-08-19T00:00:00"/>
        <d v="2009-08-20T00:00:00"/>
        <d v="2009-08-21T00:00:00"/>
        <d v="2009-08-22T00:00:00"/>
        <d v="2009-08-26T00:00:00"/>
        <d v="2009-08-27T00:00:00"/>
        <d v="2009-08-28T00:00:00"/>
        <d v="2009-08-29T00:00:00"/>
        <d v="2009-08-31T00:00:00"/>
        <d v="2009-09-01T00:00:00"/>
        <d v="2009-09-02T00:00:00"/>
        <d v="2009-09-03T00:00:00"/>
        <d v="2009-09-04T00:00:00"/>
        <d v="2009-09-06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7T00:00:00"/>
        <d v="2009-10-08T00:00:00"/>
        <d v="2009-10-12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0-31T00:00:00"/>
        <d v="2009-11-02T00:00:00"/>
        <d v="2009-11-03T00:00:00"/>
        <d v="2009-11-04T00:00:00"/>
        <d v="2009-11-06T00:00:00"/>
        <d v="2009-11-08T00:00:00"/>
        <d v="2009-11-09T00:00:00"/>
        <d v="2009-11-10T00:00:00"/>
        <d v="2009-11-11T00:00:00"/>
        <d v="2009-11-12T00:00:00"/>
        <d v="2009-11-13T00:00:00"/>
        <d v="2009-11-18T00:00:00"/>
        <d v="2009-11-19T00:00:00"/>
        <d v="2009-11-20T00:00:00"/>
        <d v="2009-11-21T00:00:00"/>
        <d v="2009-11-22T00:00:00"/>
        <d v="2009-11-23T00:00:00"/>
        <d v="2009-11-24T00:00:00"/>
        <d v="2009-11-25T00:00:00"/>
        <d v="2009-12-01T00:00:00"/>
        <d v="2009-12-02T00:00:00"/>
        <d v="2009-12-04T00:00:00"/>
        <d v="2009-12-07T00:00:00"/>
        <d v="2009-12-08T00:00:00"/>
        <d v="2009-12-09T00:00:00"/>
        <d v="2009-12-10T00:00:00"/>
        <d v="2009-12-14T00:00:00"/>
        <d v="2009-12-15T00:00:00"/>
        <d v="2009-12-18T00:00:00"/>
        <d v="2009-12-19T00:00:00"/>
        <d v="2009-12-21T00:00:00"/>
        <d v="2009-12-22T00:00:00"/>
        <d v="2009-12-23T00:00:00"/>
        <d v="2009-12-24T00:00:00"/>
        <d v="2010-01-04T00:00:00"/>
        <d v="2010-01-05T00:00:00"/>
        <d v="2010-01-09T00:00:00"/>
        <d v="2010-01-11T00:00:00"/>
        <d v="2010-01-13T00:00:00"/>
        <d v="2010-01-14T00:00:00"/>
        <d v="2010-01-15T00:00:00"/>
        <d v="2010-01-16T00:00:00"/>
        <d v="2010-01-19T00:00:00"/>
        <d v="2010-01-20T00:00:00"/>
        <d v="2010-01-21T00:00:00"/>
        <d v="2010-01-22T00:00:00"/>
        <d v="2010-01-25T00:00:00"/>
        <d v="2010-01-26T00:00:00"/>
        <d v="2010-01-27T00:00:00"/>
        <d v="2010-01-29T00:00:00"/>
        <d v="2010-01-30T00:00:00"/>
        <d v="2010-01-31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4T00:00:00"/>
        <d v="2010-02-16T00:00:00"/>
        <d v="2010-02-17T00:00:00"/>
        <d v="2010-02-18T00:00:00"/>
        <d v="2010-02-22T00:00:00"/>
        <d v="2010-02-23T00:00:00"/>
        <d v="2010-02-24T00:00:00"/>
        <d v="2010-02-25T00:00:00"/>
        <d v="2010-02-26T00:00:00"/>
        <d v="2010-02-28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2T00:00:00"/>
        <d v="2010-04-05T00:00:00"/>
        <d v="2010-04-06T00:00:00"/>
        <d v="2010-04-07T00:00:00"/>
        <d v="2010-04-08T00:00:00"/>
        <d v="2010-04-13T00:00:00"/>
        <d v="2010-04-14T00:00:00"/>
        <d v="2010-04-15T00:00:00"/>
        <d v="2010-04-16T00:00:00"/>
        <d v="2010-04-19T00:00:00"/>
        <d v="2010-04-21T00:00:00"/>
        <d v="2010-04-22T00:00:00"/>
        <d v="2010-04-27T00:00:00"/>
        <d v="2010-04-28T00:00:00"/>
        <s v="2009-05-29" u="1"/>
        <s v="2009-06-01" u="1"/>
        <s v="2009-06-02" u="1"/>
        <s v="2009-06-05" u="1"/>
        <s v="2009-06-06" u="1"/>
        <s v="2009-06-08" u="1"/>
        <s v="2009-06-09" u="1"/>
        <s v="2009-06-10" u="1"/>
        <s v="2009-06-11" u="1"/>
        <s v="2009-06-12" u="1"/>
        <s v="2009-06-14" u="1"/>
        <s v="2009-06-15" u="1"/>
        <s v="2009-06-16" u="1"/>
        <s v="2009-06-17" u="1"/>
        <s v="2009-06-18" u="1"/>
        <s v="2009-06-22" u="1"/>
        <s v="2009-06-23" u="1"/>
        <s v="2009-06-24" u="1"/>
        <s v="2009-06-25" u="1"/>
        <s v="2009-06-29" u="1"/>
        <s v="2009-06-30" u="1"/>
        <s v="2009-07-01" u="1"/>
        <s v="2009-07-02" u="1"/>
        <s v="2009-07-06" u="1"/>
        <s v="2009-07-07" u="1"/>
        <s v="2009-07-09" u="1"/>
        <s v="2009-07-13" u="1"/>
        <s v="2009-07-14" u="1"/>
        <s v="2009-07-15" u="1"/>
        <s v="2009-07-16" u="1"/>
        <s v="2009-07-17" u="1"/>
        <s v="2009-07-20" u="1"/>
        <s v="2009-07-21" u="1"/>
        <s v="2009-07-22" u="1"/>
        <s v="2009-07-24" u="1"/>
        <s v="2009-07-28" u="1"/>
        <s v="2009-07-29" u="1"/>
        <s v="2009-07-31" u="1"/>
        <s v="2009-08-03" u="1"/>
        <s v="2009-08-04" u="1"/>
        <s v="2009-08-05" u="1"/>
        <s v="2009-08-06" u="1"/>
        <s v="2009-08-07" u="1"/>
        <s v="2009-08-11" u="1"/>
        <s v="2009-08-12" u="1"/>
        <s v="2009-08-13" u="1"/>
        <s v="2009-08-14" u="1"/>
        <s v="2009-08-18" u="1"/>
        <s v="2009-08-19" u="1"/>
        <s v="2009-08-20" u="1"/>
        <s v="2009-08-21" u="1"/>
        <s v="2009-08-22" u="1"/>
        <s v="2009-08-26" u="1"/>
        <s v="2009-08-27" u="1"/>
        <s v="2009-08-28" u="1"/>
        <s v="2009-08-29" u="1"/>
        <s v="2009-08-31" u="1"/>
        <s v="2009-09-01" u="1"/>
        <s v="2009-09-02" u="1"/>
        <s v="2009-09-03" u="1"/>
        <s v="2009-09-04" u="1"/>
        <s v="2009-09-06" u="1"/>
        <s v="2009-09-08" u="1"/>
        <s v="2009-09-09" u="1"/>
        <s v="2009-09-10" u="1"/>
        <s v="2009-09-11" u="1"/>
        <s v="2009-09-14" u="1"/>
        <s v="2009-09-15" u="1"/>
        <s v="2009-09-16" u="1"/>
        <s v="2009-09-21" u="1"/>
        <s v="2009-09-22" u="1"/>
        <s v="2009-09-23" u="1"/>
        <s v="2009-09-24" u="1"/>
        <s v="2009-09-25" u="1"/>
        <s v="2009-09-28" u="1"/>
        <s v="2009-09-29" u="1"/>
        <s v="2009-09-30" u="1"/>
        <s v="2009-10-01" u="1"/>
        <s v="2009-10-02" u="1"/>
        <s v="2009-10-05" u="1"/>
        <s v="2009-10-07" u="1"/>
        <s v="2009-10-08" u="1"/>
        <s v="2009-10-12" u="1"/>
        <s v="2009-10-14" u="1"/>
        <s v="2009-10-15" u="1"/>
        <s v="2009-10-16" u="1"/>
        <s v="2009-10-19" u="1"/>
        <s v="2009-10-20" u="1"/>
        <s v="2009-10-21" u="1"/>
        <s v="2009-10-22" u="1"/>
        <s v="2009-10-23" u="1"/>
        <s v="2009-10-26" u="1"/>
        <s v="2009-10-27" u="1"/>
        <s v="2009-10-28" u="1"/>
        <s v="2009-10-29" u="1"/>
        <s v="2009-10-30" u="1"/>
        <s v="2009-10-31" u="1"/>
        <s v="2009-11-02" u="1"/>
        <s v="2009-11-03" u="1"/>
        <s v="2009-11-04" u="1"/>
        <s v="2009-11-06" u="1"/>
        <s v="2009-11-08" u="1"/>
        <s v="2009-11-09" u="1"/>
        <s v="2009-11-10" u="1"/>
        <s v="2009-11-11" u="1"/>
        <s v="2009-11-12" u="1"/>
        <s v="2009-11-13" u="1"/>
        <s v="2009-11-18" u="1"/>
        <s v="2009-11-19" u="1"/>
        <s v="2009-11-20" u="1"/>
        <s v="2009-11-21" u="1"/>
        <s v="2009-11-22" u="1"/>
        <s v="2009-11-23" u="1"/>
        <s v="2009-11-24" u="1"/>
        <s v="2009-11-25" u="1"/>
        <s v="2009-12-01" u="1"/>
        <s v="2009-12-02" u="1"/>
        <s v="2009-12-04" u="1"/>
        <s v="2009-12-07" u="1"/>
        <s v="2009-12-08" u="1"/>
        <s v="2009-12-09" u="1"/>
        <s v="2009-12-10" u="1"/>
        <s v="2009-12-14" u="1"/>
        <s v="2009-12-15" u="1"/>
        <s v="2009-12-18" u="1"/>
        <s v="2009-12-19" u="1"/>
        <s v="2009-12-21" u="1"/>
        <s v="2009-12-22" u="1"/>
        <s v="2009-12-23" u="1"/>
        <s v="2009-12-24" u="1"/>
        <s v="2010-01-04" u="1"/>
        <s v="2010-01-05" u="1"/>
        <s v="2010-01-09" u="1"/>
        <s v="2010-01-11" u="1"/>
        <s v="2010-01-13" u="1"/>
        <s v="2010-01-14" u="1"/>
        <s v="2010-01-15" u="1"/>
        <s v="2010-01-16" u="1"/>
        <s v="2010-01-19" u="1"/>
        <s v="2010-01-20" u="1"/>
        <s v="2010-01-21" u="1"/>
        <s v="2010-01-22" u="1"/>
        <s v="2010-01-25" u="1"/>
        <s v="2010-01-26" u="1"/>
        <s v="2010-01-27" u="1"/>
        <s v="2010-01-29" u="1"/>
        <s v="2010-01-30" u="1"/>
        <s v="2010-01-31" u="1"/>
        <s v="2010-02-01" u="1"/>
        <s v="2010-02-02" u="1"/>
        <s v="2010-02-03" u="1"/>
        <s v="2010-02-04" u="1"/>
        <s v="2010-02-05" u="1"/>
        <s v="2010-02-08" u="1"/>
        <s v="2010-02-09" u="1"/>
        <s v="2010-02-10" u="1"/>
        <s v="2010-02-11" u="1"/>
        <s v="2010-02-12" u="1"/>
        <s v="2010-02-14" u="1"/>
        <s v="2010-02-16" u="1"/>
        <s v="2010-02-17" u="1"/>
        <s v="2010-02-18" u="1"/>
        <s v="2010-02-22" u="1"/>
        <s v="2010-02-23" u="1"/>
        <s v="2010-02-24" u="1"/>
        <s v="2010-02-25" u="1"/>
        <s v="2010-02-26" u="1"/>
        <s v="2010-02-28" u="1"/>
        <s v="2010-03-01" u="1"/>
        <s v="2010-03-02" u="1"/>
        <s v="2010-03-03" u="1"/>
        <s v="2010-03-04" u="1"/>
        <s v="2010-03-05" u="1"/>
        <s v="2010-03-08" u="1"/>
        <s v="2010-03-09" u="1"/>
        <s v="2010-03-10" u="1"/>
        <s v="2010-03-11" u="1"/>
        <s v="2010-03-12" u="1"/>
        <s v="2010-03-15" u="1"/>
        <s v="2010-03-16" u="1"/>
        <s v="2010-03-17" u="1"/>
        <s v="2010-03-22" u="1"/>
        <s v="2010-03-23" u="1"/>
        <s v="2010-03-24" u="1"/>
        <s v="2010-03-25" u="1"/>
        <s v="2010-03-26" u="1"/>
        <s v="2010-03-29" u="1"/>
        <s v="2010-03-30" u="1"/>
        <s v="2010-03-31" u="1"/>
        <s v="2010-04-01" u="1"/>
        <s v="2010-04-02" u="1"/>
        <s v="2010-04-05" u="1"/>
        <s v="2010-04-06" u="1"/>
        <s v="2010-04-07" u="1"/>
        <s v="2010-04-08" u="1"/>
        <s v="2010-04-13" u="1"/>
        <s v="2010-04-14" u="1"/>
        <s v="2010-04-15" u="1"/>
        <s v="2010-04-16" u="1"/>
        <s v="2010-04-19" u="1"/>
        <s v="2010-04-21" u="1"/>
        <s v="2010-04-22" u="1"/>
        <s v="2010-04-27" u="1"/>
        <s v="2010-04-28" u="1"/>
      </sharedItems>
    </cacheField>
    <cacheField name="Time posted" numFmtId="0">
      <sharedItems/>
    </cacheField>
    <cacheField name="Discretised Timing" numFmtId="0">
      <sharedItems count="5">
        <s v="Evening"/>
        <s v="Afternoon"/>
        <s v="Early morning"/>
        <s v="Morning"/>
        <s v="Mid-day"/>
      </sharedItems>
    </cacheField>
    <cacheField name="reply_to" numFmtId="0">
      <sharedItems containsBlank="1"/>
    </cacheField>
    <cacheField name="retweet_from" numFmtId="0">
      <sharedItems containsBlank="1"/>
    </cacheField>
    <cacheField name="like_count" numFmtId="0">
      <sharedItems containsSemiMixedTypes="0" containsString="0" containsNumber="1" containsInteger="1" minValue="0" maxValue="5"/>
    </cacheField>
    <cacheField name="reply_count" numFmtId="0">
      <sharedItems containsSemiMixedTypes="0" containsString="0" containsNumber="1" containsInteger="1" minValue="0" maxValue="1"/>
    </cacheField>
    <cacheField name="retweet_count" numFmtId="0">
      <sharedItems containsSemiMixedTypes="0" containsString="0" containsNumber="1" containsInteger="1" minValue="0" maxValue="43"/>
    </cacheField>
    <cacheField name="Total Engagement" numFmtId="0">
      <sharedItems containsSemiMixedTypes="0" containsString="0" containsNumber="1" containsInteger="1" minValue="0" maxValue="48"/>
    </cacheField>
    <cacheField name="Engagement Level" numFmtId="0">
      <sharedItems/>
    </cacheField>
    <cacheField name="photo" numFmtId="0">
      <sharedItems count="1">
        <b v="0"/>
      </sharedItems>
    </cacheField>
    <cacheField name="video" numFmtId="0">
      <sharedItems/>
    </cacheField>
    <cacheField name="link" numFmtId="0">
      <sharedItems/>
    </cacheField>
    <cacheField name="Media Type" numFmtId="0">
      <sharedItems count="2">
        <s v="Link"/>
        <s v="Text on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yton Tiong Huo Yiaw" refreshedDate="45974.763847916664" createdVersion="8" refreshedVersion="8" minRefreshableVersion="3" recordCount="1522" xr:uid="{FCCCBFD0-BFEE-0942-95AB-0CC9862A13B1}">
  <cacheSource type="worksheet">
    <worksheetSource name="Table2"/>
  </cacheSource>
  <cacheFields count="22">
    <cacheField name="tweet_url" numFmtId="0">
      <sharedItems/>
    </cacheField>
    <cacheField name="author_name" numFmtId="0">
      <sharedItems/>
    </cacheField>
    <cacheField name="author_id" numFmtId="0">
      <sharedItems/>
    </cacheField>
    <cacheField name="text" numFmtId="0">
      <sharedItems count="1520">
        <s v="@matthabel We’re thrilled you’re interested in the Golf R! The 2015 was a limited edition and sold very quickly. Sorry you missed them!"/>
        <s v="@LaurNicole Your privacy is important to us, and we’re sorry this is happening. We’re happy to research this, please DM your VIN and email."/>
        <s v="@matthabel There will be more later this year! Stay in touch with your local VW dealer to find out when they will arrive near you. #VWcares"/>
        <s v="@sdiddy31 Let us know if you encounter any more problems Sarah, we're sorry you were inconvenienced."/>
        <s v="@christina_bagan We see you’ve reached out to us about this. Once you have a dealer appointment, please let us know so we can look into it."/>
        <s v="Summer days have you longing to cool off? Let VW DriverGear offer some relief. Shop Now: http://bit.ly/1OX9hEY"/>
        <s v="Rise and shine! The #VWGRC team is prepping for all things #RedBullGRC Daytona."/>
        <s v="@wandiezibani Thanks for sharing the positive feedback Nosipho!"/>
        <s v="@tbacchus20 Tatiana, thank you for sharing your wonderful feedback with us, we love hearing from our drivers."/>
        <s v="Download the free VARX Supercars app for iOS/Android to stay up to date on all things team #VWGRC! #RedBullGRC"/>
        <s v="Tune-in to see @TannerFoust &amp; @ScottSpeed compete for the podium at GRC Daytona this Sunday at 2PM ET on NBC. #VWGRC"/>
        <s v=".@TannerFoust finishes 7th overall in Supercar Qualifying round at #RedBullGRC Daytona! #VWGRC"/>
        <s v=".@TannerFoust and his #VWGRC Beetle soaring high! #RedBullGRC"/>
        <s v="Let's hear it for @scottspeed, who finished second in his heat at #RedBullGRC Daytona! #VWGRC"/>
        <s v="Due to potentially severe weather, #RedBullGRC Daytona has been suspended for tonight! We'll be back tomorrow! #VWGRC"/>
        <s v="@JimDilley We’re sorry to hear this happened, Jim. We’ll be reaching out to you and your wife soon #VWCares"/>
        <s v="@sirnicholasdake  Nick, we’re sorry for your experience &amp; we’d like to hear more. Please follow &amp; DM us your VIN &amp; email address #VWCares"/>
        <s v="@LShslatin  Sorry for the wait, Susan! DM us your email so we can reach out to you about your order. #VWcares"/>
        <s v="@ciaraxkellyyy We’re sorry you’re unhappy with your Jetta! DM us your VIN and email address so we can discuss your concerns. #VWcares"/>
        <s v="@CoreyRants  We’re sorry to hear about your VW! If you have any questions, feel free to reach out to us at http://vw.com/contact. #VWcares"/>
        <s v="@quinton_luck We just want to help you in the most efficient manner possible. Not enough characters here on Twitter!"/>
        <s v="Team #VWGRC hard at work, prepping for Day 2 at #RedBullGRC Daytona!"/>
        <s v="Team #VWGRC all smiles before kicking off today's races at #RedBullGRC Daytona!"/>
        <s v="Team #VWGRC is off to a great start with 2nd and 4th positions in today's Supercar Heat race at #RedBullGRC Daytona!"/>
        <s v="Add team #VWGRC stickers to your pics in the Photo Booth section of our VARX Supercars app (iOS/Android)! #RedBullGRC"/>
        <s v="It's official: Foust advances to the finals; Speed will go to the LCQ at #RedBullGRC Daytona. Go Team #VWGRC!!!"/>
        <s v=".@TannerFoust and his #VWGRC Beetle fly into today's finals at #RedBullGRC Daytona!"/>
        <s v="Starting grid for days! #VWGRC #RedBullGRC"/>
        <s v="At #RedBullGRC Daytona? Stop by the VW tents to see our #VWGolf SportWagen, #VWGTI and Beetle Shark Cage! #VWGRC"/>
        <s v="Our very own @TannerFoust takes gold at  #RedBullGRC Daytona! Team #VWGRC FTW!!!"/>
        <s v="In case you missed our VARX Supercars app notification about @TannerFoust autographs! #VWGRC #RedBullGRC"/>
        <s v="Team #VWGRC signing autographs until 4:30PM EST. Enter from garage 53! #RedBullGRC"/>
        <s v="So proud of @TannerFoust's win today at the #RedBullGRC finals. Hoping for another Team #VWGRC victory tomorrow!"/>
        <s v="An inside look into @TannerFoust's WIN at #RedBullGRC Daytona yesterday. Go Team #VWGRC! #HumbleBrag"/>
        <s v="Team #VWGRC in 1st and 6th as we enter Round 3 of the #RedBullGRC Driver Championship today!"/>
        <s v="Team #VWGRC is ready for Day 3 of #RedBullGRC Daytona!"/>
        <s v=".@TannerFoust places 4th in #RedBullGRC Daytona Supercar Qualifying! #VWGRC"/>
        <s v=".@TannerFoust finishes in 3rd at #RedBullGRC Daytona Supercar Heat 1B! #VWGRC"/>
        <s v=".@ScottSpeed advances to the finals, with his 3rd place finish at #RedBullGRC Daytona Supercar semi-finals! #VWGRC"/>
        <s v="Sunscreen. Chapstick. Cowbells. Team #VWGRC has you covered #RedBullGRC Daytona! Special gift for owners at #VW tent."/>
        <s v=".@TannerFoust solidifies his spot in today's finals, with his 2nd place finish at #RedBullGRC Supercar LCQ! #VWGRC"/>
        <s v="Team #VWGRC FTW: No. 34 and No. 41 are in the #RedBullGRC Daytona Supercar Finals!"/>
        <s v="BTS look at Team #VWGRC before they hit the track at #RedBullGRC Daytona Supercar Finals... 1min and counting!"/>
        <s v="An amazing weekend w/ @TannerFoust's Round 2 Supercar championship WIN. Next stop? #RedBullGRC MCAS New River! #VWGRC"/>
        <s v="Shoutouts to Team #VWGRC for all their hard work this weekend at #RedBullGRC Daytona!"/>
        <s v="Happy Father's Day!"/>
        <s v="@MrJohnnyBones Happy driving John! #VDubLove"/>
        <s v="@siestadrive We’re sorry to hear this happened, Michael. We’d like to learn more about it. Please DM us your VIN and email."/>
        <s v="@nathanyoung96 The lip spoiler was a factory option for every model, including TDI. Your local VW dealer can provide more info! #VWcares"/>
        <s v="@Rld_3 We’re sorry you’re facing concerns with your VW, and we’d like to hear more. Please DM your VIN and email so we can look into this."/>
        <s v="@JBrauckmuller It’s good to stay up to date! You can check map updates for your CC at http://allthingsnav.navigation.com. #VWcares"/>
        <s v="@OregonTrailCG This is not the experience we want for you, and we’re sorry it happened. DM your VIN and email, if you’d like to share more."/>
        <s v="@ARaveschot We're still here for you Andrew!"/>
        <s v="@markus_kim_ Great question! There are products out there to keep your VW clean. We suggest contacting your local VW dealer for more info"/>
        <s v="@AhaadMaghtu We’d be happy to hear more about it. DM us your email so we can reach out to you. #VWcares"/>
        <s v="@AhaadMaghtu We want a world class experience for you at your dealer. We’re sorry yours did not meet that expectation."/>
        <s v="@dlprestholt Congrats!"/>
        <s v="@brianjohnsonusa We’re sorry for any inconvenience this may have caused. If you’d like more info, reach out to us at http://vw.com/contact."/>
        <s v="@brianjohnsonusa We work with 3rd party companies who offer plans which extend the warranty coverage on your VW."/>
        <s v="@KennethCooke We see one of our colleagues has reached out to you. If you need anything in the future, let us know."/>
        <s v="@BlueRoseOkestra We’re sorry to hear about your Tiguan! Please DM us your email, we would be happy to hear more about it. #VWcares"/>
        <s v="@itsjoviee We’re sorry you’re having concerns with your Jetta! One of our dealerships would be happy to help diagnose your VW. #VWcares"/>
        <s v="@kelly42  Thank you for telling us, Kelly. If there is a name in the email, we would appreciate if you could DM us their info."/>
        <s v="@johnotani You should be enjoying your VW; we’re sorry this happened with the dealer. Please DM us your VIN and email so we can learn more."/>
        <s v="@hvasupuram We’re excited about your recent purchase, and sorry you didn’t receive the lightning cable."/>
        <s v="@BarefootLita We’re sorry, Lita. We wanted a carefree experience for you at our dealer. DM us your email so we can hear more. #VWcares"/>
        <s v="@hvasupuram We see one of our colleagues has reached out to you. If you need anything in the future, please let us know."/>
        <s v="@SandyPac We’re sorry for the inconvenience, Sandy. DM us your email address, we would be happy to reach out to you. #VWcares"/>
        <s v="@gmacek We love you too, Greg! We’re sorry for the inconvenience. If we can help, reach out to us at http://vw.com/contact. #VWcares"/>
        <s v="@VickiWasylak We can confirm this."/>
        <s v="@thedanaash Glad we could help ease your concerns Dana."/>
        <s v="@eLevateCEO It's easy to see why!"/>
        <s v="@SGerwel1985 We’re sorry this happened. We liked to hear more. DM us your VIN and email, or reach out to us at http://vw.com/contact"/>
        <s v="@kimberly_hoff We want our drivers to love every minute with their VWs. Please DM us your VIN and email so we can hear more about it."/>
        <s v="@mattyboy0912 This is not the experience we want you to have, Matt. Please DM us your VIN and email so we can hear more."/>
        <s v="#TBT to our trip to #Fastivus this year with @TannerFoust and @TimJohnsonCX. Who is going to #WWOTG this weekend?"/>
        <s v="@AyoGantt22 We made the Beetle for everyone to enjoy! It’s as much for boys as it is for girls. Don’t let her tell you otherwise! #VWcares"/>
        <s v="@TheRealBranson This is not the experience we want you to have, Brandon. Please DM us your VIN and email so we can hear more."/>
        <s v="@joshua_deford We call that #VDubLove!"/>
        <s v="What model would you like to see win the #WWOTG trophy this Sunday? #VDubLove"/>
        <s v="We're driving from Los Angeles to North Bend, WA, for #WWOTG this weekend. Who recognizes this spot along the 101?"/>
        <s v="The road to #WWOTG isn't always paved."/>
        <s v="Canyon carving weapon. #WWOTG"/>
        <s v="We've arrived. See you tomorrow #WWOTG."/>
        <s v="#WWOTG has begun. What models would you like us to tweet?"/>
        <s v="One of our favorite models to see at car shows: Scirocco 16V. #WWOTG"/>
        <s v="Bring the entire family. #WWOTG"/>
        <s v="This is for all our fans who wanted us to post a Corrado from #WWOTG today. Enjoy!"/>
        <s v="This one is for you, @Coloring_Is_Fun. #WWOTG"/>
        <s v="One can never have enough windows. #WWOTG"/>
        <s v="One of the last 35 air-cooled Beetles built in North America on display at #WWOTG."/>
        <s v="@BullMarket420 It sure is!"/>
        <s v="@iamkmobs We appreciate your interest in the T6! Since we represent VW of America, we regret we don’t have this information."/>
        <s v="@GarrettaBrown85 We’re happy changing the tire went well for you. We hope to make VW ownership as carefree as possible #VWCares"/>
        <s v="@iamkmobs For further assistance, please use this link to view the international VW site: http://en.volkswagen.com/en/company/laenderauswahl.html…."/>
        <s v="@GarrettaBrown85 If you have any questions or concerns about anything with your vehicle, please feel free to reach out to us again #VWCares"/>
        <s v="@PrezAndrew We love your interest in the GTI! We don’t have a specific date for availability, but we should see them later this year."/>
        <s v="@darinnebr We’re sorry to hear this happened with your turbo. We see one of our colleagues will be reaching out to you soon."/>
        <s v="@gmacek Congrats, Greg!"/>
        <s v="#ForzaHorizon2 gamer, Zach Lamb, gets BTS access with @TannerFoust and the #VWGRC Beetle in Daytona at #RedBullGRC!"/>
        <s v="@ganzigal We want every moment of your ownership to be amazing. We’re sorry you haven’t received the welcome kit."/>
        <s v="@ganzigal Please DM us your VIN and email so we can look into this further for you."/>
        <s v="@mtofAmanda We’re sorry to hear this happened. We recommend contacting your local VW dealer for further assistance."/>
        <s v="@cybrcar Sorry you couldn’t find your perfect Golf! Our 2016s should arrive very soon, we recommend working with your dealer to order one!"/>
        <s v="@mtofAmanda  Let us know if you’d like a follow up with your appointment. You can DM your VIN and email or contact us at www.vw.c"/>
        <s v="@etiviti Please DM us your VIN and email address so we can look into this matter as soon as possible."/>
        <s v="@Dsil102 Love it David!"/>
        <s v="@ProfessorYesser Thanks for spreading the #VDubLove Erin!"/>
        <s v="@ekeohane We greatly appreciate your loyalty over the years and we’re very sorry we couldn’t meet your expectations for your lease turn-in."/>
        <s v="@ekeohane DM us your email address and we would be happy to reach out to you. #VWcares"/>
        <s v="@mraustinjq We’re truly sorry, Austin. We wanted a much better experience for you with our dealership."/>
        <s v="@etiviti Our hope is for you to be out enjoying your CC and we want to help point you in the right direction regarding this situation."/>
        <s v="@rachelregal_ If you’d like, DM us your email address and we’ll be happy to reach out to you. #VWcares"/>
        <s v="@rachelregal_ We’re so sorry to hear about your flat, Rachel. Being without the right tools certainly does not make matters easier."/>
        <s v="@mraustinjq We see you’ve been working with one of our colleagues. Please let us know if there’s anything else we can do. #VWcares"/>
        <s v="@ChrisEidd Your local VW dealer is in the best position to provide pricing info, or you can check out http://parts.vw.com"/>
        <s v="@Miss_Manhattan1 Congrats! What did you name your new #VWJetta?"/>
        <s v="What do an orchestra, sharks, and the Golf SportWagen have in common? Find out July 5. #VW #SharkWeek"/>
        <s v="@traviscogg We see you’ve worked with one of our colleagues about this. Please let us know if there’s anything else we can do. #VWcares"/>
        <s v="@Nick_The_Dick_ We hear you, loud and clear, Nick! A manual transmission Golf R is planned for the 2016 model year! #VWcares"/>
        <s v="@ScienceJesus We’re sorry for the inconvenience! Please reach out to us at http://vw.com/contact if we can be of any assistance. #VWcares"/>
        <s v="@TDIProblems @TDI_Problems"/>
        <s v="@mart_fo You should be out enjoying your VW. We’re sorry to hear your warning light is on. DM us your VIN and email so we can hear more."/>
        <s v="@societychef This is not the experience we want you to have. Please DM us your VIN and email so we can hear more about it."/>
        <s v="@kellettejax We’re happy to know you’re okay, Kelly! Please DM us your VIN and email so we can hear more about it."/>
        <s v="@ujdsanskruti We’d be happy to see what we can do to try to help. Please DM us your VIN and email so we can research further."/>
        <s v="@JeffMoff We wanted a carefree experience for you at our dealer. We’re sorry to hear yours did not meet that expectation."/>
        <s v="@PhotoAbigail We’re sorry for the inconvenience, Abigail. You can also pay online securely at https://vwcredit.com/Authentication/Login… #VWcares"/>
        <s v="@jdunz91 Thanks for reaching out to us for more info. You can contact us at http://vw.com/contact"/>
        <s v="@WhitneyFTW We see one of our colleagues has reached out to you. Please reach out to us if there’s anything else we can do to help. #VWcares"/>
        <s v="@jdunz91 Sorry about the delay. We've located your email and one of our colleagues will reach out today."/>
        <s v="@Joefer13 You should be out enjoying your Jetta TDI, and we’re sorry to hear you’re facing this situation."/>
        <s v="@N8Sandrs If you’d like to reach out to us about the concerns you’re having, feel free to do so here: http://vw.com/contact"/>
        <s v="@N8Sandrs We apologize you’ve been waiting for an update. Our dealers will be the first to know when an update is available"/>
        <s v="@Joefer13 We’d like to hear more. Please DM us your VIN and email so we can look into this further."/>
        <s v="@iceandtortila We’ve tried to find you, but can’t. Please DM us your email ASAP and we’ll get busy trying to help!"/>
        <s v="@bburgwyn  We're sorry about the expense. Reach out to us at http://vw.com/contact if you'd like to talk about it. #VWcares"/>
        <s v="@SP_McCormick We’re sorry we didn’t meet your expectations, Sean. If you’d like to discuss further, please reach out to us again. #VWcares"/>
        <s v="@AcidWh0le We would be happy to see how we might be able to help. Please DM us your VIN and email and we’ll reach out to you. #VWcares"/>
        <s v="@RMBenson81 @dkebre We see we’re currently working with you to investigate further"/>
        <s v="@mskamille If you are trying to pay your bill, visit the following website: https://vwcredit.com/Authentication/Login…"/>
        <s v="@mskamille Sorry about that. Try giving VW Credit a call to see if they can assist. They can be reached at 800-428-4034"/>
        <s v="@kelly42 Please be sure to delete the email and anything related to it. We appreciate your time and cooperation."/>
        <s v="@kelly42 Thank you, Kelly. We are handling the situation on our end and nothing further will be needed from you."/>
        <s v="@TDIProblems We’re very sorry for your situation. Please DM us your email address, we would be glad to reach out to you. #VWcares"/>
        <s v="@TX_Reload We’re very sorry for your experience, Carlo. DM us your email address, we would be happy to reach out to you. #VWcares"/>
        <s v="@alyssaSritter We’re sorry to hear about your Jetta. DM us your email address and we will be happy to discuss your repair. #VWcares"/>
        <s v="@DGERBUM This is not the experience we want our drivers to have. We’d like to look into this further."/>
        <s v="@DGERBUM Please DM us your VIN and email address so we can look into this further."/>
        <s v="@jen_heide We are sorry to hear about the incident with your daughter’s vehicle. We’d like to hear more about the situation"/>
        <s v="@jen_heide At your convenience, please give us all call at 800-822-8987 so we can gather more information"/>
        <s v="This Sunday (5PM ET/@NBC) will be the first time #RedBullGRC has ever taken place on an active military base. #VWGRC"/>
        <s v="@rysgam We’re sorry our site is giving you some trouble, Ryan. Thanks for letting us know so we can look into this a little further."/>
        <s v="@rysgam If you need assistance, you can reach our VCI colleagues at 800-428-4034. Due to the holiday, their offices are closed until 7/6/15."/>
        <s v="Team #VWGRC is preparing to #RaceTheBase in NC. We'll post live updates from qualifying and heat races later today!"/>
        <s v="@Brendan_Dolan2 We’re very sorry to hear this happened. Reach out to us at http://vw.com/contact if you’d like to talk about it. #VWcares"/>
        <s v="@travis1100 We want your VW looking its best! DM us your email address and we will be happy to reach out to you. #VWcares"/>
        <s v="@CacchickSilke We’re very sorry to hear about your VW! DM us your email, we will be glad to hear more about it. #VWcares"/>
        <s v="@tdwilliamstx We’re sorry we didn’t meet your expectations. Give us a call at 800-822-8987 if you’d like to talk about it #VWcares"/>
        <s v="@Smdorland We’re happy to know you’re getting better MPG, but you should have the warning light checked out."/>
        <s v="@nathanyoung96 We’re glad your Jetta is alright! We recommend asking your VW dealer or checking http://vwtirestore.com. #VWcares"/>
        <s v="@Smdorland If you’d like us to follow up on any appointments, DM us your VIN and email and we’d be happy to review further."/>
        <s v="First practice finished. @TannerFoust is currently fastest with @ScottSpeed P6. #VWGRC"/>
        <s v="@societychef Thanks for your info. One of our colleagues will be reaching out to you soon."/>
        <s v="@iamkmobs We don’t yet have any plans to bring the California to the U.S. Stay tuned to http://media.vw.com for all the latest news!"/>
        <s v="@Brookeelaurennn If you’d like us to follow up on your appointment, feel free to contact us at http://vw.com/contact. #VWcares"/>
        <s v="@Brookeelaurennn We’re sorry to hear that! We recommend bringing your car to your local VW dealership for service. #VWcares"/>
        <s v="We're delayed at #RaceTheBase due to weather. #VWGRC"/>
        <s v="@SashaCaramela DM us your email address and we would be glad to reach out to you about your repair. #VWcares"/>
        <s v="@SashaCaramela We’re very sorry, Sasha. That’s not how we ever want you feeling about your VW."/>
        <s v="@CoreyRants We’re very sorry to hear that, Corey. We will have one of our colleagues reach back out to you soon. #VWcares"/>
        <s v="The rest of today has been canceled due to severe weather. #RaceTheBase will continue this Sunday. #VWGRC"/>
        <s v="@bvanoudtshoorn We see you’re outside the U.S. Try reaching out to VW of Australia at the following link: http://volkswagen.com.au. #VWcares"/>
        <s v="Happy Race Day! #VWGRC"/>
        <s v="#RaceTheBase warmup. #VWGRC"/>
        <s v="3rd and 4th quickest in morning warmup. Heat 1 coming up. #VWGRC"/>
        <s v="You won't mistake the Beetle GRC for another race car. #VWGRC"/>
        <s v="First place! @ScottSpeed takes Heat 1A. #VWGRC"/>
        <s v="Bad luck in second round of Heats with two DNFs. #VWGRC"/>
        <s v="For live updates and results from #RaceTheBase, download the &quot;VARX Supercars&quot; mobile app. #VWGRC"/>
        <s v="#RaceTheBase. _x000a_#VWGRC"/>
        <s v="@ruinedbyreality Please DM us your VIN and email so we can reach out to you. #VWCares"/>
        <s v="@ruinedbyreality  This is not the experience we anticipated for you! We'd like to see how we can help get your family started off right!"/>
        <s v="Rough weekend for the #VWGRC team. We're taking the Beetle GRCs home to work out the kinks. #RedBullGRC"/>
        <s v="It can weigh 4,000 pounds or more. Is it a Golf SportWagen or a shark? Visit http://sharksrescored.com. #VW #SharkWeek"/>
        <s v="It can see forward and behind. Is it a SportWagen or a shark? Visit http://sharksrescored.com. #VW #SharkWeek"/>
        <s v="Do you think a Shark or a Golf SportWagen can deliver up to 1.8 tons of force? http://sharksrescored.com. #VW #SharkWeek"/>
        <s v="@PhotoAbigail We’re sorry to hear that, Abigail. We’ll let VW Credit know what happened and have them reach out to you. #VWcares"/>
        <s v="@DetroitBruce For customers &amp; for the city!"/>
        <s v="@DetroitBruce Props to our friends at Quicken Loans, who showed us some of the amazing things they are doing in the D!"/>
        <s v="RT @DetroitBruce: On the move this morning w/ @VW leadership, learning about the creative culture taking #Detroit by storm! http://t.c"/>
        <s v="@TiffieB_79 This isn't the experience we wanted for you. Please DM us your VIN and phone # and we will be glad to reach out to you. #VWcares"/>
        <s v="@kapitopia Give us a call at 800-822-8987 if you have any other questions. We’re always happy to help! #VWcares"/>
        <s v="@kapitopia We’re sorry for the inconvenience. You can access the keyhole by removing the plastic cover on the right side of the door handle."/>
        <s v="@airmj23 We apologize, Andy. This is not the experience we wanted for you. DM us your email and we’ll be glad to reach out to you. #VWcares"/>
        <s v="@MMMoneyyyy We’d like to see how we can help get you back in your VW. DM us your email and we’ll be happy to reach out to you. #VWcares"/>
        <s v="@BuzzFeces We’re very sorry for the expense of your repair. Give us a call at 800-822-8987 if you’d like to talk about it. #VWcares"/>
        <s v="@CScrogham We want an easy and carefree ownership for you, so we’re very sorry to hear about your Jetta."/>
        <s v="@CScrogham We’d like to see how we might be able to help. DM us your email address and we’ll gladly reach out to you. #VWcares"/>
        <s v="@CcKimble You should be out enjoying your VW. Please DM us your VIN and email so we can learn more about what is going on."/>
        <s v="@Qulnnlng We want you to have a wonderful time in your VW. Please DM us your VIN &amp; email so we can look into this further."/>
        <s v="@bellagraziella We’re very sorry to hear this. We wanted much better for you. DM your email, we will be happy to reach out to you #VWcares"/>
        <s v="@D_IsHere2PAWTY We'd be happy to see how we might be able to help. Please DM us your email and we will gladly reach out to you. #VWcares"/>
        <s v="@D_IsHere2PAWTY We wanted your ownership to be carefree. We’re very sorry to hear about your VW."/>
        <s v="@sabrinajanett We’re sorry to hear this is happening. Please DM us your VIN and email so we can learn more about it."/>
        <s v="@eastguidi Thanks for your interest! There are lots out there! Check out http://vw.com/special-offers/. Your local dealer can give more info."/>
        <s v="@MJax0n  Your local VW dealer is in the best place to provide you pricing info. You can find a dealer at http://vw.com/find-a-dealer/"/>
        <s v="@MJax0n It’s great to be up to date on caring for your car. We recommend the 90K maintenance be performed as close to 90K miles as you can."/>
        <s v="@NFLHustleMama This is not the experience we want our drivers to have. Please DM us your VIN and email so we can look into this further."/>
        <s v="@ScoGood We’re sorry you’re waiting for your car. You can reach out to us at http://vw.com/contact, and we’re happy to look into this more"/>
        <s v="@RyanAmirault We’re very sorry to hear about your VW. We recommend getting a diagnosis at your local VW dealership."/>
        <s v="@bactires We wanted a world-class experience for you at our dealer. We’re sorry yours did not meet our high expectations for you."/>
        <s v="@RyanAmirault  If you’d like us to follow up on your repair, please feel free to reach out to us at http://vw.com/contact. #VWcares"/>
        <s v="@bactires We would be happy to see how we can help. Please DM us your email address and we’ll gladly reach out to you. #VWcares"/>
        <s v="@Sarah_BA  We wanted an easy and carefree ownership for you, so we’re very sorry to hear you’ve had concerns with your Jetta."/>
        <s v="@Jackielove_g We’re very sorry to hear about your airbags. One of our colleagues will reach out to you soon. #VWcares"/>
        <s v="@Sarah_BA We would be glad to see how we might be able help. DM us your email address and we’ll be happy to reach out to you. #VWcares"/>
        <s v="@AyyBayyBayy_ We’re very sorry to hear about your windows. DM us your email address, we’d like to hear more about what’s happening. #VWcares"/>
        <s v="@TheJasonProject We’re sorry to hear of your experience. If you’d like to share it, please reach out to us at http://vw.com/contact"/>
        <s v="@ujdsanskruti Thanks for providing your info. One of our colleagues will be reaching out to you soon."/>
        <s v="@BHEC This is not the experience we want you to have, Hector. Please DM us your VIN and email address so we can look into this further"/>
        <s v="@RobotSkeleton69 We’re excited by your interested, and appreciate your feedback."/>
        <s v="@RobotSkeleton69  Your local VW dealer is in the best position to help you locate a vehicle. We can’t wait to see you in a VW soon."/>
        <s v="@Tangerslanger This should be how many miles you can go until your next needed maintenance."/>
        <s v="@Tangerslanger The timer is the amount of days until the maintenance needs to be performed. We suggest taking it to a VW dealer for service."/>
        <s v="@VW is donating $50K to @Oceana. Share the http://SharksRescored.com experience to help save sharks. #VW #SharkWeek"/>
        <s v="@McCollisterN We’re happy to look into this further for you. Please DM us your VIN and email so we can further research."/>
        <s v="@mollari2261 We reached out to VCI on your behalf. One of our colleagues from VW Credit will be reaching out to you to discuss your payments"/>
        <s v="@morphy110 If you’d like to discuss this further, please feel free to reach out to us at http://vw.com/contact"/>
        <s v="@morphy110 We want you to enjoy every minute in your VW, and we’re sorry to hear yours has been anything less than wonderful."/>
        <s v="@jordanreeed We’re sorry this is happening with your VW. Please DM us your VIN and email so we can look into this further."/>
        <s v="@TechNerd21 We’d like to hear more about what’s happening. Please DM us your VIN and email so we can look into this further."/>
        <s v="@SeanPeter24 Give us a call at 800 822 8987 to see if we can help"/>
        <s v="@LynchInsights Tim, the surveys go to the dealerships as well as the Customer CARE Center &amp; we apologize for the repeated calls #VWCares"/>
        <s v="@AvilesGab We’re very sorry, Gabriela. This not the kind of experience we wanted for you in your Passat and with our dealer."/>
        <s v="@AvilesGab We would be happy to see how we can help. Please DM us your email and we’ll be glad to reach out to you. #VWcares"/>
        <s v="@colin_swanson We want you to love every minute in your VW. We see you’ve been working with one of our colleagues."/>
        <s v="@colin_swanson Please let us know once you have your appointment, so we can research more for you. We look forward to hearing from you."/>
        <s v="@RyanAmirault We understand your concern. Your dealership is in the best position to advise best practices for maintaining your VW."/>
        <s v="@bgoodsonjr This is not the kind of experience we wanted for you. We’re very sorry we were unable to meet your expectations."/>
        <s v="@johnwilliams713 We’re very sorry to hear this, John. DM us your email address and we’ll be glad to reach out to you. #VWcares"/>
        <s v="@Drawbridge303 You should be out enjoying your VW, and we’re sorry to hear your time with your Passat has not been wonderful."/>
        <s v="@bgoodsonjr We review every situation on an individual basis. Please feel free to reach out to us in the future if we can be of assistance."/>
        <s v="@Drawbridge303 We see you’re working with one of our colleagues, &amp; they will be contacting you soon. If you need anything else; let us know"/>
        <s v="@johnny_morrison We’re sorry to hear this is happening. Please DM us your VIN and email so we can look into this further. #VWCares"/>
        <s v="@RealChrisReese The Help button located at the bottom right of the Car-Net site gives access the FAQ which has info on how to contact them"/>
        <s v="@RealChrisReese We appreciate your feedback, and if you have any other questions, please let us know."/>
        <s v="@JC39_ Your satisfaction is important to us.  Please DM us your VIN and phone # and we will make reaching out to you a priority.   #VWcares"/>
        <s v="@johnwilliams713 Someone will reach out to you today, John."/>
        <s v="@flagsemdown We hope you’re enjoying your Passat. A VW dealer can help you obtain the radio code. Locate a dealer at http://vw.com/find-a-dealer"/>
        <s v="@morgancoletta We want your VWs out on the open road! Contact us at http://vw.com/contact if there’s anything we can do to help. #VWcares"/>
        <s v="@dana_leavitt We’d like to see how we can help. DM us your email address and we’ll gladly reach out to you. #VWcares"/>
        <s v="@dana_leavitt We’re very sorry, Dana. This is not the kind of experience we want you to have with your vehicle and our dealership."/>
        <s v="@Joc_Gee We see you’ve spoken with Customer CARE recently. If you’d like to discuss your case further, please give us a call. #VWcares"/>
        <s v="@Joc_Gee We’re very sorry to hear about your Jetta. That is not the kind of experience we wanted for you."/>
        <s v="@KevinMo4351 For more help, please contact your local VW dealer.  You can find your nearest dealer here: http://vw.com/find-a-dealer/."/>
        <s v="@Beetlebaum73 Happy Birthday to your Beetle!"/>
        <s v="@jasonanddemarco Your satisfaction is important. We’d like to talk more about your vehicle and will make reaching out to you a priority"/>
        <s v="@jasonanddemarco Please DM us your VIN and phone number. We've also responded to your Facebook post."/>
        <s v="@cdfornya This is not the experience we wanted for you. Please DM us your VIN and email and we will reach out to you."/>
        <s v="Get a unique video generated by your drrrriving sounds. Meet the #VW #GolfR. #UnleashYourRrrr http://bit.ly/golfrrrr"/>
        <s v="@JohnSwafford13 We’ll make sure to send the email again. Be sure to check your SPAM folder, as our emails can sometimes be directed there."/>
        <s v="@JohnSwafford13 Your concerns are very important to us, John. It looks like we emailed you on 7/2/15 and didn’t hear back."/>
        <s v="@mason_aaron We’d like to see how we might be able to help. DM your email and we’ll be glad to reach out to you. #VWcares"/>
        <s v="@ryanjordansf We wanted a world-class experience for you at our dealer. We sincerely apologize that yours did not meet that expectation."/>
        <s v="@MrBlank This is not the experience we want you to have. Please DM us your VIN and email so we can hear more about it."/>
        <s v="@ryanjordansf If you’d like, DM us your email address and we will gladly reach out to you. #VWcares"/>
        <s v="@_rickmoore_ Our hope is for you to have a carefree experience, and we’re sorry yours was anything less than wonderful."/>
        <s v="@OhMoonsey We’re very sorry, Susan. That is not at all the type of experience we wanted for you in your Jetta."/>
        <s v="@_rickmoore_  You spoke with one of our colleagues, and we regret we didn’t meet your expectations. If you need us in the future, we’re here"/>
        <s v="@Mungub We’re sorry your Jetta was towed! We’d like to hear more about what happened. Please DM your VIN and email so we can look into this"/>
        <s v="@kaharpe We’re sorry to hear this is happening. Please DM us your VIN and email so we can look into this further."/>
        <s v="@OhMoonsey We would very much appreciate the chance to get involved. DM us your email and we’ll gladly reach out to you. #VWcares"/>
        <s v="@TimBlaze We would like to hear more about it. DM us your email address and we will be glad to reach out to you. #VWcares"/>
        <s v="@TimBlaze We wanted your ownership to be carefree. We’re very sorry to hear our Roadside Assistance did not meet your expectations."/>
        <s v="@dawngluskin We’re sorry to hear this happened. Please DM us your VIN and email so we can look into this further."/>
        <s v="@cdengKSU This is not the experience we want for our drivers. Please DM us our VIN and email so we can look into this more."/>
        <s v="@M_Katzer11 This is not the experience we want you to have, Mike. Please DM us your VIN and email so we can look into this further."/>
        <s v="@KolbPlay We would be more than happy to find out how we can help. DM us your email address and we’ll reach out to you. #VWcares"/>
        <s v="Save your voice. Use VW Online Service Scheduling instead. How convenient. http://bit.ly/1FQhun0"/>
        <s v="We want to hear you roar. And roar. And roarrrr. #VW #GolfR #UnleashYourRrrr https://twitter.com/VW/status/620649045657300992…"/>
        <s v="@UglyGoatHerder This is not the experience we want for our drivers. Please DM us you VIN and email so we can look into this further for you"/>
        <s v="@cchamelin This is not the experience we want you to have. Please DM us your VIN and email so we can look into this further."/>
        <s v="@daddyrush_ We’re happy to try to help with any worries you may be facing."/>
        <s v="@olygeeks This is not the experience we want you to have. Please DM us your email and VIN so we can look into this further."/>
        <s v="@kfishal We’re glad to have your interest, but we don’t yet have any updates about the CrossBlue."/>
        <s v="@kfishal You can keep up with http://media.vw.com for all the latest news from us! #VWcares"/>
        <s v="Shooting the #MTBnats courses with @EvDong. #VW4Cycling"/>
        <s v="@FranklinHolly We’d like to verify your contact info. Please DM us your email and we’ll make reaching out to you a priority. #VWcares"/>
        <s v="@FranklinHolly We’re very sorry, Holly. Please know your concerns are of the utmost importance to us."/>
        <s v="@ladyjt We wanted your ownership to be easy and carefree, so we’re sorry to hear you’re having concerns with your Passat. #VWcares"/>
        <s v="@scottmoberly They will be reaching out to you soon. If you need anything else from us, please let us know."/>
        <s v="@scottmoberly We want our drivers and dealers to have a great relationship. We see you’re working with one of our colleagues."/>
        <s v="@ladyjt We would be happy to see how we might be able to help. DM us your email and we’ll reach out to you as soon as we can. #VWcares"/>
        <s v="@khloed You can reach us at http://vw.com/contact. We’re always happy to see what we can do to help! #VWcares"/>
        <s v="@khloed We’re very sorry for any inconvenience this has caused. Please let us know if you’d like us to follow up on your service. #VWcares"/>
        <s v="@trager_emma If it’s easier for you, you can reach us by phone at 800-822-8987. Any of our colleagues would be happy to assist you. #VWcares"/>
        <s v="@trager_emma We would be more than happy to see how we can help. DM us your email and we’ll gladly reach out to you. #VWcares"/>
        <s v="@MeKnite We're sorry this happened with your vehicle. Please feel free to contact us at http://vw.com/contact if we can do anything to help"/>
        <s v="Riley Mueller shows what it takes to ride Enduro at #MTBnats. #VW4Cycling"/>
        <s v="We're proud to sponsor the #MTBnats this week in Mammoth Lakes. #VW4Cycling"/>
        <s v="@pgolo Please DM us your VIN and email so we can look into this further. #VWCares"/>
        <s v="@pgolo We’re saddened to hear your experience has caused you to want to leave the brand. We’d like to hear more about what happened."/>
        <s v="With custom rides, a drag strip and autocross, who wouldn’t want to soak up #Waterfest21? http://waterfest.net"/>
        <s v="Kicking up dust at #MTBnats. #VW4Cycling"/>
        <s v="&quot;We know who we're voting for!&quot; Vote Team #VWGRC, No. 34 and No. 41 HERE: http://redbullglobalrallycross.com/news/features/fan-voice-friday-livery-madness/…"/>
        <s v="You make the sounds. We make the video. Create your own #GolfR film. -&gt; http://rrr.vw.com #VW #UnleashYourRrrr https://twitter.com/VW/status/620649045657300992…"/>
        <s v="@KevinGibbsPGA We’re very sorry to hear this, Kevin. That is not the kind of experience we wanted for you or your wife"/>
        <s v="@KevinGibbsPGA We’re happy to see how we can help. One of our colleagues will reach out to you soon. #VWcares"/>
        <s v="@sweettrini You’re important to us, and we’d like to hear more. Please DM us your VIN and email."/>
        <s v="Team #VW in full #WaterfestPrep mode. #Waterfest21"/>
        <s v="For those attending #MTBnats, visit our space between 9am-1pm today and tomorrow for VW waffles. #VW4Cycling"/>
        <s v="We put the &quot;Fun&quot; in TELEFUNKEN! #Waterfest21 #WaterfestPrep"/>
        <s v="We're in Jersey... #GTL! Gear. Tires. Launch control. #Waterfest21 #WaterfestPrep"/>
        <s v="Tweet us your caption for this photo. #Waterfest21 #WaterfestPrep"/>
        <s v="Sneak peak at our #MTBnats stunt video releasing next week. #VW4Cycling"/>
        <s v="@911bris Your satisfaction is important to us. Please DM us your VIN and phone # and we will make reaching out to you a priority. #VWCares"/>
        <s v="Now this is what we call &quot;an inside look&quot; at #Waterfest21. #WaterfestPrep"/>
        <s v=".@TannerFoust fan? Be sure to check out his RWB Beetle and #VWGRC Beetle on display at #Waterfest21."/>
        <s v="Which models do you want to see from #Waterfest21?"/>
        <s v="1hr left for final #WaterfestPrep! Stay tuned for all things #Waterfest21 later today."/>
        <s v="Eat our dust. #MTBnats _x000a_#VW4Cycling"/>
        <s v="#MTBnats attendees, come grab free VW Waffles until 1pm today. #VW4Cycling"/>
        <s v="Can you say Doka? #Waterfest21"/>
        <s v="What's under your hood? #Waterfest21"/>
        <s v="... and we love @rico_arg's #SCIROCCO! #Waterfest21"/>
        <s v="This Caddy's got bite! #Waterfest21"/>
        <s v="Are you ready for Day 2 of #Waterfest21?"/>
        <s v="It's going to be a hot one today at #Waterfest21."/>
        <s v="At #Waterfest21? Visit #VW to get your swag!"/>
        <s v="Water. Fest. Fire. Bug. #Waterfest21"/>
        <s v="#VW 4 Tricycling! #Waterfest21 #VW4Cycling"/>
        <s v="The #MTBnats Downhill is hair-raising whether you’re on two wheels or four. #VW4Cycling"/>
        <s v="Pretty in Pink. #Waterfest21"/>
        <s v="HARLEQUIN. #Waterfest21"/>
        <s v="Thanks to everyone who made it out to #Waterfest21. Until next year!"/>
        <s v="Watch all the amazing custom rides from #Waterfest21. Tweet at us your favorites."/>
        <s v="@taygillespie Our hope is for our drivers and dealers to have a great relationship, and we’d like to hear more about yours."/>
        <s v="@taygillespie DM us your VIN and email so we can look into this further for you."/>
        <s v="@JaimeVotaw Thank you so much for sharing this exciting news! We’re ecstatic to hear of your father’s time as part of our family."/>
        <s v="@RichBecker We’re very sorry to hear this, Richard. We wanted an easy and carefree experience for you at our dealership."/>
        <s v="@JaimeVotaw Please DM us your email address so we can research this further."/>
        <s v="@vw32167 We recommend reaching out to your local VW dealer for information regarding your questions. They’re in the best position to help"/>
        <s v="@RichBecker Please feel free to contact us at http://vw.com/contact. We would be glad to hear more about what happened. #VWcares"/>
        <s v="@jason25cali We wanted you to have a carefree experience with your Golf, so we’re very sorry to hear you’ve had concerns."/>
        <s v="@vw32167 Be safe on your travels, and have fun!"/>
        <s v="@BHEC We’re sorry for any inconvenience this may have caused. We seem to have not received your email and VIN."/>
        <s v="@jason25cali f there’s anything we can do to assist you, please give us a call at 800-822-8987. We’re always happy to help! #VWcares"/>
        <s v="@BHEC Once we have it, we will make reaching out to you a priority #VWCares."/>
        <s v="@jmu23p We’re very sorry, John. We wanted a much better experience for you at our dealership. #VWcares"/>
        <s v="@jmu23p We see you’ve been working with one of our colleagues, please let us know if there’s anything else we can do for you. #VWcares"/>
        <s v="@JazzPacemaker This is not the experience we want you to have. Please DM us your VIN and email so we can look into this further."/>
        <s v="@EVossburg We’re happy to research this further. Please DM us your email, and we will look into this for you."/>
        <s v="Brrrrrrrrilliant. #VW #GolfR #UnleashYourRrrr http://rrr.vw.com https://twitter.com/TannerFoust/status/622541845797564416…"/>
        <s v="Meet @TannerFoust and @ScottSpeed at Suburban VW in Troy, MI, this Wednesday from 6:30-8pm. #VWGRC"/>
        <s v="@ThomasBenson5 We see you've contacted our Customer CARE Team. One of our colleagues will be reaching out soon"/>
        <s v="@JaimeVotaw Thanks for the info! We will be reaching out soon."/>
        <s v="@ladyguenivere This is not the experience we want you to have. Please DM us your VIN and email so we can look into this further."/>
        <s v="Rrrrrrrremarkable. #VW #GolfR #UnleashYourRrrr http://rrr.vw.com"/>
        <s v="@melenagandara We’d like to hear more about what happened. Please DM us your VIN and email so we can look into this further for you."/>
        <s v="@melenagandara Our hope is for you to have a great relationship with your dealer, and we’re sorry this was not yours with Deel VW."/>
        <s v="@SusacTomislav We’re sorry this is happening. Please DM us your VIN and email so we can look into this further for you."/>
        <s v="Receive a 20% discount on #RedBullGRC Detroit tickets for this weekend using RBGRCDTVW: http://bit.ly/1HQjDBx #VWGRC"/>
        <s v="Did we snap pics of your VW at #Waterfest21? Visit our Facebook album to see &amp; tag yourself: https://facebook.com/media/set/?set=a.10155864422420790.1073741907.169890760789&amp;type=3…"/>
        <s v="@Rockandbrock Driver satisfaction is our priority. Please DM us your VIN and phone # so we can reach out to discuss your concerns further"/>
        <s v="@bmirales Your satisfaction is important to us. Please DM us your VIN and email so we can look into this further."/>
        <s v="@wrotte We’re sorry to hear of your dissatisfaction. Please DM us your VIN and email so we can look into this further for you."/>
        <s v="@HungerfordKatie This is not the experience we want you to have. Please DM us your VIN and email so we can look into this further for you."/>
        <s v="@Treebear11 This is not the experience we want you to have, you’re important to us."/>
        <s v="@Treebear11 Please DM us your VIN and email so we can look into this further for you."/>
        <s v="@BeccaaaWallace This is not the experience we want for our drivers. Please DM us your VIN and email so we can look into this further for you"/>
        <s v="@AntneyG1974 Our hope is for you to enjoy every minute in your VW. Please DM us your VIN and email so we can look into this further."/>
        <s v="Fans had @TannerFoust and @scottspeed sign their VWs today. #VWGRC"/>
        <s v="@fredguthrie We’re sorry to hear this happened. Please DM us your email address so we can look into this further."/>
        <s v="@nj_devils05 We’re sorry to hear this. Please DM us your VIN and email so we can research this further."/>
        <s v="Our #VWGRC drivers stopped by the Auburn Hills offices today to meet employees before heading to #RedBullGRC Detroit."/>
        <s v="@anishaaaaa This is not what we expect for our drivers. Please DM us your VIN and email so we can look into this further for you."/>
        <s v="@M_A_R_K_rees You should be enjoying your VW. We’d like to hear more about it. DM us your VIN &amp; email so we can look into this further."/>
        <s v="@turtleboy925 We see one of our colleagues as reached out to you asking for more info. If you need anything else please let us know."/>
        <s v="@jbernardh We want to look into this further for you. Please DM us your VIN and email so we can reach out to you."/>
        <s v="@turtleboy925 DM us your contact information and we can reach out"/>
        <s v="Our three old wives are back for the model rear end event. #yearend #rearend #yearend #VWSummerSale"/>
        <s v="Get ready for a weekend of 600 horsepower racing in Detroit! Follow #VWGRC for updates."/>
        <s v="Our 600 horsepower Beetle GRC hits 60mph in 1.9 seconds! #VWGRC"/>
        <s v="@mrs_jmb_ You’re important to us. We’d like to hear more about your situation. Please DM us your VIN and phone number so we can look into it"/>
        <s v="@ksanjay We’d like to look into this further for you. Please DM us your VIN and email so we can research more."/>
        <s v="@robinsuchan We are glad you love your Passat! DM us your VIN and email address and we will see what we can do #VWcares"/>
        <s v="@HolleeAAnder We cannot see the pictures but we'd like to hear more about it. DM us your VIN and email and we will reach out to you"/>
        <s v="@jbernardh Thanks for the info. One of our colleagues will be reaching out to you soon"/>
        <s v="Fast in practice! @scottspeed and @TannerFoust ran 2nd and 4th quickest. #VWGRC"/>
        <s v="Dune Buggy._x000a_#VWGRC"/>
        <s v="Tomorrow #RedBullGRC takes to the Motor City as @TannerFoust and @ScottSpeed show the Midwest what #VWGRC is made of!"/>
        <s v="@JLCBeck That is not the experience we want you to have at one of our dealers. Please DM us your email address if you'd like to tell us more"/>
        <s v="@delasoulValerie Sorry to hear that, Valerie. Can you DM us your VIN and email address and we can look further into this for you? #VWcares"/>
        <s v="@NYYFAN46 Sorry to heat that, Gary. We want a better experience for you while leasing. Can you DM us your VIN and email address? #VWcares"/>
        <s v="@elpalmisano Glad it's running well but let's look a little further into this for you. Can you DM us your VIN and email address? #VWcares"/>
        <s v="@kaybrown6791 Sorry to hear of your issues with your Passat, Kay. We want to hear more. Please reach out us http://vw.com/contact/  #VWcares"/>
        <s v="@TLChace Sorry to hear that. We'd like to hear more about this. Can you DM us your VIN and email address so we can dig deeper? #VWcares"/>
        <s v="Quickest in morning practice. #VWGRC"/>
        <s v="Starting from the back, @scottspeed finishes P2 in Heat 1A. #VWGRC"/>
        <s v="The No. 34 finishes 3rd in Heat 1B. #VWGRC"/>
        <s v="The #VWGRC teammates place 2nd and 3rd in Semi-final B at #RedBullGRC Detroit."/>
        <s v="2nd place finish for @ScottSpeed in the first final of the doubleheader weekend. #VWGRC"/>
        <s v="Kicking off #mopopfest with @KINGTUFFY on the VW #fenderpremiumaudio stage!"/>
        <s v="If you're at #RedBullGRC Detroit today, stop by our booth and check out our historic VW Motorsport race cars. #VWGRC"/>
        <s v="Brimtek #VWGLI race car shown in our historic VW Motorsport booth today. #VWGRC"/>
        <s v="Qualifying for day 2 of #RedBullGRC racing in the Motor City starts soon. #VWGRC"/>
        <s v="Very tight qualifying times! @scottspeed and @TannerFoust posted the 3rd and 7th quickest laps. #VWGRC"/>
        <s v="For those at #RedBullGRC Detroit, stop by our team trailer soon for VW Waffles. #VWGRC"/>
        <s v="Behind bars. #VWGRC"/>
        <s v="Passing 3 cars, @TannerFoust uses the joker lap to grab 2nd place in the last lap of Heat 1A. #VWGRC"/>
        <s v="Flying high, @scottspeed wins Heat 1B! #VWGRC"/>
        <s v="This 1969 &quot;Desert Dingo&quot; Beetle, shown at #RedBullGRC Detroit, competes regularly in the Baja 1000. #VWGRC"/>
        <s v="Sibling rivalry! @TannerFoust battles @ScottSpeed to finish 1-2 in Semi-final B. #VWGRC"/>
        <s v="@DarwynZ We're sorry to hear about this! It's not the experience we hoped for you. Please DM us your VIN and email so we can reach out."/>
        <s v="Back-to-back 2nd place finishes for @ScottSpeed in Detroit! #VWGRC"/>
        <s v="@jameswendt Sorry to hear about your radio concerns. Please DM us your VIN and email so we can talk more. #VWCares"/>
        <s v="@Grey_Books We’re sorry for the inconvenience this may have caused. May we have your email address? We’d be happy to look into this further."/>
        <s v="@adamfeder This is not the experience we want you to have, Adam. Please DM us your VIN and email so we can hear more about it."/>
        <s v="@Sthe91 We’re sorry to hear this happened. DM us your VIN and email so we can look into this further. We look forward to hearing from you."/>
        <s v="@hearttohart_ Your satisfaction is important to us. Please DM us your VIN and Phone # and we will make reaching out to you a priority"/>
        <s v="@ckd This is not the experience we want for our drivers. Please DM us your email so we can hear more about what happened."/>
        <s v="@Chz95 This is not the experience we want you to have. Please DM us your VIN and email so we can look into this further."/>
        <s v="@TheGreenIsGood We hope for a carefree experience for our drivers, and I’m sorry to hear yours was not."/>
        <s v="@NYYFAN46 Thank you for your info, Gary. One of our colleagues will be reaching out to you soon."/>
        <s v="@jameswendt We want to find out more about what’s going on. Once we have your VIN and email, we will make reaching out to you a priority."/>
        <s v="@WhoIsMikeKelly We’re sorry to hear this is happening. If you’d like to share more about it, please contact us at http://vw.com/contact"/>
        <s v="@SchillStacey This is not the experience we want you to have. Please DM us your VIN &amp; email so we can hear more about it. #VWCares"/>
        <s v="@bl0ndiex88 This is not the experience we want for our drivers. Please DM us your VIN &amp; email so we can look into this further."/>
        <s v="What do @Jillkintner, @EvDong, @harrisonchar, Riley Mueller &amp; @TannerFoust all share? Competitive drive. #VW4Cycling"/>
        <s v="@jameswendt Thanks for the info. One of our colleagues will reach out soon"/>
        <s v="@bigjondaniel It looks like one of our colleagues will reach out soon."/>
        <s v="@Major_Disaster This is not the experience we want you to have. Please DM us your VIN and email so we can hear more about what’s happening."/>
        <s v="@danieldides Thanks for the heads up. The site appears to be working now. If you need anything else, please let us know!"/>
        <s v="@zannafranca We want your ownership to be satisfactory. Please DM us your VIN and email so we can hear more about what’s happening."/>
        <s v="Hot bum warmers. Hot guys. It’s our hottest summer’s sales event ever. #VWSummerSale http://vw.com/special-offers"/>
        <s v="@TheDrunkBlonde_ We want your experience to be easy and carefree. DM us your email address if you’d like to talk more about it. #VWcares"/>
        <s v="@cccele4eva This is not the kind of experience we wanted for you. DM us your email and we’ll be glad to reach out to you. #VWcares"/>
        <s v="@TheDrunkBlonde_ Thanks for the info. One of our colleagues will be reaching out soon!"/>
        <s v="@jennltodd We would be happy to see how we might be able to help. DM us your email address and we’ll gladly reach out to you. #VWcares"/>
        <s v="@jennltodd We wanted your experience to be carefree, so we’re very sorry to hear about the concerns you’ve had with your VW. #VWcares"/>
        <s v="@jasonjross Please DM us the information about your car and how to contact you. We want to look into this for you."/>
        <s v="@Sneezy_Breezy We’re so sorry to see your Beetle like that! DM us your email and we’ll gladly reach out to you. #VWcares"/>
        <s v="@DevonHodor You can purchase an Owner’s Manual for your VW at https://vw.techliterature.com/consumer. #VWcares"/>
        <s v="@DevonHodor We recommend using VW 502 00 synthetic oil with a viscosity of 5W30 or 5W40. Contact your local VW dealer for more info!"/>
        <s v="@TheDrunkBlonde_ Thank you for your email address. One of our colleagues will reach out to you soon."/>
        <s v="@AndresMIguel We’re very sorry to hear about your experience. Give us a call at 800-822-8987 if there’s anything we can do to help #VWcares"/>
        <s v="@NikkiMarieDetMi This is not the experience we want for our drivers. Please DM us your VIN and email so we can look into this further."/>
        <s v="@Trancerave We’re sorry to hear the cruise control isn’t working in your Beetle. We want you out there cruising the roads without a care."/>
        <s v="@Trancerave We recommend bringing your Beetle to your local VW dealership for a diagnosis. They’ll be happy to help! #VWcares"/>
        <s v="@kcools12 We’re very sorry for the inconvenience. DM your email and we’ll be glad to reach out to you to discuss how we can help. #VWcares"/>
        <s v="Wolf pups welcome. #wolfsgart"/>
        <s v="Can never be too clean for the judges. #wolfsgart"/>
        <s v="It's game time. What are you seeing at #wolfsgart today?"/>
        <s v="Classic inside and out. #wolfsgart"/>
        <s v="VolkSWAGen. #wolfsgart #classic"/>
        <s v="How low can you go? #limbo #wolfsgart"/>
        <s v="Taking a look under the hood at #wolfsgart today."/>
        <s v="Cruisin' through Burlington, VT in the #GolfR #wolfsgart"/>
        <s v="Eyeing this beauty at #wolfsgart"/>
        <s v="Cruising Weather. #wolfsgart"/>
        <s v="#Wolfsgart 6.0 has come to a close. What was your personal favorite?"/>
        <s v="@Kick_Ass_Jill You can contact us at http://vw.com/contact, or you can DM us your email and we’ll gladly reach out to you. #VWcares"/>
        <s v="@Kick_Ass_Jill We’re sorry to hear you’ve had concerns with your service experience. We wanted much better for you."/>
        <s v="@turtleboy925 This is not the experience we want you to have, Richard. We see one of our colleagues will be reaching out to you soon."/>
        <s v="@atomk89 This is not the experience we want for our drivers. Please DM us your VIN and email so we can look into this further."/>
        <s v="@TMobevelt We’re very sorry to hear about your Jetta. DM us your email address and VIN. We’ll be happy to reach out to you. #VWcares"/>
        <s v="@jenelainexo We’d like to hear more about what happened. Please reach out to us at http://vw.com/contact so we can look into this further."/>
        <s v="@Chinchi_07 Please DM us your VIN and phone number and we will make reaching out to you a priority. #VWcares"/>
        <s v="@Chinchi_07 Thank you for taking the time to reach out to us about your husband's Passat. Your satisfaction is important to us. #VWcares"/>
        <s v="@missjensteele We wanted a carefree experience for you, so we’re very sorry to hear about your Jetta. #VWcares"/>
        <s v="@missjensteele We see our colleagues are currently researching your case. Please let us know if there’s anything more we can do. #VWcares"/>
        <s v="@petalnim This is not the experience we want for our drivers. Please DM us your VIN and email so we can look into further."/>
        <s v="@oldertwin We’re sorry to hear this is happening. We recommend reaching out to your local VW dealer. They are in the best position to help."/>
        <s v="@CassHeather This is not the experience we want you to have. Please DM us your VIN and email so we can look into this further."/>
        <s v="@PizzaQuixote This is not the experience we want you to have. Please DM us your VIN and email so we can look into this further. #VWCares"/>
        <s v="@C_t_r_l We wanted a much better experience for you. DM us your email and we’ll be happy to reach out to you. #VWcares"/>
        <s v="@CoreyRants We’re very sorry for the inconvenience, Corey. This is not the kind of experience we wanted for you. #VWcares"/>
        <s v="@sarahharbin We’re very sorry to hear this, Sarah. We expect a world-class experience for our customers at our dealerships. #VWcares"/>
        <s v="@CoreyRants We see you’re currently working with one of our colleagues. Please let us know if there’s anything more we can do to help. #VWca"/>
        <s v="@sarahharbin Reach out to us at http://vw.com/contact if you would like to talk more about what happened. #VWcares"/>
        <s v="@JazzPacemaker Please DM your email address so we can get involved and get to the bottom of it for you. #VWcares"/>
        <s v="@JazzPacemaker We’re disappointed to hear you might have had a poor experience with one of our dealers."/>
        <s v="Get 20% off admission to #RedBullGRC DC and support the #VWGRC team next weekend: http://RedBullGlobalRallycross.com/Tickets"/>
        <s v="@DREAMERSjoinus &amp; @DetroitJess hear their music for the first time on our @FenderAudio system at @MoPopFestival!"/>
        <s v="@radkejen We’re very sorry to hear this, Jennifer. DM your email and we’ll gladly reach out to you. #VWcares"/>
        <s v="@GiggsyTheCorgi We’re sorry to hear you’ve had concerns with your Tiguan. DM us your email and we’ll gladly reach out to you. #VWcares"/>
        <s v="@CommonFaust We’re sorry to hear this happened. We’d like to learn more. Please DM us your VIN and email so we can look into this further."/>
        <s v="@litismp We’re very sorry to hear this, Matthew. DM us your email address and we’ll gladly reach out to you. #VWcares"/>
        <s v="@JeffreyJMeyer81 We recommend discussing maintenance pricing with your local VW dealer. They will be happy to assist you. #VWcares"/>
        <s v="@JeffreyJMeyer81 We’re thrilled to have your interest in the Passat! It would be a pleasure to welcome you to our family. #VWcares"/>
        <s v="@maddygathwrong We’re sorry this is happening. We recommend contacting your local VW dealer. They are in the best place to help."/>
        <s v="@CoreyRants We’re sorry to hear that, Corey. We’ll pass this info along and have someone reach out to you soon. #VWcares"/>
        <s v="@madisondap We’re very sorry to hear this, Madison. Please DM us your email and we’ll gladly reach out to you. #VWcares"/>
        <s v="We're at #vagfair in York, PA checkin' this Beetle out from the back!"/>
        <s v="@adamfeder We do. You can live chat with one of our advocates at http://vw.com/contact/. They'd be happy to help"/>
        <s v="Don't look past this transparent Beetle at #vagfair"/>
        <s v="Day 2 of #vagfair is underway! #corrado"/>
        <s v="So fitting to spot a Rabbit Pickup in PA at #vagfair"/>
        <s v="It's hip to be square. #vagfair"/>
        <s v="#vwdogs of #vagfair"/>
        <s v="@TiggerMills We’d like to see how we might be able to help. DM your email and we’ll be happy to reach out to you. #VWcares"/>
        <s v="@TiggerMills We want your ownership to be carefree, so we’re very sorry to hear you’ve had these concerns. #VWcares"/>
        <s v="@1410Alice We want a carefree experience for you at our dealer, so we’re sorry to hear yours did not meet our high expectations. #VWcares"/>
        <s v="@1410Alice We would be happy to see how we might be able to help. DM your email and we’ll gladly reach out to you. #VWcares"/>
        <s v="@blabbermouthaz We’re sorry to hear you’re having concerns with the Navigation in your Passat. We want a much better experience for you."/>
        <s v="@blabbermouthaz We would be glad to see how we might be able to help. One of our colleagues will reach out to you soon. #VWcares"/>
        <s v="@redban We’re very sorry to hear this, Brian. DM your email and we’ll gladly reach out to you to learn more about what happened. #VWcares"/>
        <s v="@craige_87 This is not the experience we want for you. We recommend reaching out to @UKVolkswagen."/>
        <s v="@craige_87 They are in the best position to look into your concerns further. #VWcares"/>
        <s v="@whitneyeldridge This is not the experience we want for you, Whitney. Please DM us your VIN and email so we can look into this further."/>
        <s v="@bl0ndiex88 Please reach out to us at http://vw.com/contact. We want you out enjoying your VW, and look forward to hearing from you soon."/>
        <s v="@KelseyLCreech We’re sorry to hear this is happening. Please DM us your VIN and email so we can look into this further."/>
        <s v="@pdangriff We’re sorry to hear this is happening. We recommend contacting your local VW dealer, as they're in the best position to help."/>
        <s v="@pdangriff If you'd like to tell us more about your experience, please reach out to us at http://vw.com/contact #VWCares"/>
        <s v="@NicolaMac Thanks for your interest! We recommend reaching out to your local dealer for further assistance."/>
        <s v="@NicolaMac Each one is different, and may have varied incentives regarding lease turn-ins. They are best placed to answer your questions."/>
        <s v="@seanmcfarland1 Our hope is for our drivers and dealers to have a great relationship. We’d like to hear more about what’s happening."/>
        <s v="@ryanlmurphy We’re sorry to hear you’re facing corrosion concerns. We recommend contacting your local VW dealer to find out the next steps"/>
        <s v="@Erinn_2nns We would be happy to see how we might be able to help. DM your email and we’ll gladly reach out to you. #VWcares"/>
        <s v="@Erinn_2nns We want your ownership to be something to smile about, so we’re very sorry to hear you’ve had concerns with your CC. #VWcares"/>
        <s v="@ryanlmurphy We’re happy to follow up with your appointment, if you’d like to reach out to us with more info at http://vw.com/contact"/>
        <s v="@GowthamS2020 We would be glad to reach out to you to see how we might be able to help. DM your email and we’ll make it a priority. #VWcares"/>
        <s v="@GowthamS2020 We’re sorry to hear this. We wanted your experience at our dealership to be easy and carefree. #VWcares"/>
        <s v="@Amyladd80 Our hope is for you to have a carefree experience, and we’re sorry yours was not. We look into everything on an individual basis"/>
        <s v="@Amyladd80 We apologize for not meeting your expectations. If you have need of us in the future, please let us know."/>
        <s v="@seanmcfarland1 Please DM us your VIN and email so we can look into this further."/>
        <s v="@NicolaMac We’re sorry this happened with the dealer. Our colleagues at VW Credit, 800-428-4034, may be able to answer your questions."/>
        <s v="@mdenny7777 This is not the experience we want you to have. Please DM us your VIN and email so we can look into this further."/>
        <s v="@CoreyRants We’re sorry this is happening. We see you are working with one of our colleagues, and they will be reaching out to you soon."/>
        <s v="@MindyMusco We’re very sorry to hear your experience at our dealer was anything less than spectacular. We’d like to hear more. #VWcares"/>
        <s v="@MindyMusco DM us your email address and we’ll reach out to you as soon as we can. #VWcares"/>
        <s v="Team @TannerFoust &amp; Team @scottspeed left the track behind in a battle of wits at #EscapeRoomDC. #AlwaysRacing #VWGRC"/>
        <s v="#VWGRC Teammates tag team the #RedBullGRC DC Course Preview."/>
        <s v="Fastest time in the #RedBullGRC practice round goes to #VWGRC's own @scottspeed"/>
        <s v="@jen_wanders We would be happy to follow up on your appointment, if you would like. Just reach out to us at http://vw.com/contact #VWcares"/>
        <s v="@jen_wanders We want your Jetta turning heads in a good way! We recommend speaking with your local VW dealer for assistance with this."/>
        <s v="Speed finishes the second session of #RedBullGRC practice in a close 2nd with teammate Foust closing out the top 5."/>
        <s v="Qualifying for tonight's heat, @scottspeed and @TannerFoust took 2nd and 5th respectively. #VWGRC #RedBullGRC"/>
        <s v="The #VWGRC team wraps up 2nd place in both Heat 1A and B to end the day!"/>
        <s v="@Chewybbq This is not the kind of experience we want for you. DM us your email and we’ll be happy to reach out to you. #VWcares"/>
        <s v="@yadimmedore We would be happy to find out how we might be able to help. DM your email address and we’ll gladly reach out to you. #VWcares"/>
        <s v="@yadimmedore We want every mile in your Jetta to be something to smile about, so we’re sorry to hear about your radio concerns. #VWcares"/>
        <s v="Another beautiful day for #RedBullGRC racing in the nation's capital. #VWGRC"/>
        <s v="Number 34 @TannerFoust gets some air and automatically advances to the final after Heat 2A."/>
        <s v="Number 41 @scottspeed cruises past the competition to take 1st place in the #RedBullGRC LCQ round. #VWGRC"/>
        <s v="After a tough final race, the #VWGRC team is looking forward to coming out on top in Los Angeles next month."/>
        <s v="It’s been a long road, but @VW &amp; #FoodNetworkStar will reveal the winner on tonight’s finale at 9/8c on @FoodNetwork."/>
        <s v="@MrOsqui If you'd like, DM us your email address and VIN and we’ll gladly reach out to you with the information you’re looking for. #VWcares"/>
        <s v="@MrOsqui We’re glad you’d like to know about any possible recalls for your VW. You can check for open recalls at http://vw.com/content/vwcom/en/owners-recalls.html…."/>
        <s v="@AndresMIguel We’re sorry Rick Case didn’t contact you. If you’d like us to reach out on your behalf, let us know http://vw.com/contact"/>
        <s v="@yschimke We’re sorry to hear this happened, Yuri. We’d like to look into this. Please DM us your VIN and email so we can research further."/>
        <s v="@Art_E_Miss_ This is not the experience we want you to have. Please DM us your VIN and email so we can look into this further."/>
        <s v="@notcoolnuf2twt This is not the experience we want you to have. We see one of our colleagues is actively reviewing your concerns."/>
        <s v="@vonnestar Feel free to reach out to us at http://vw.com/contact if you’d like us to research any campaigns that may apply to your Tiguan"/>
        <s v="@vonnestar Great question, Yvonne. If your VW is part of a recall, your local VW dealer will take care of it at no cost to you."/>
        <s v="@notcoolnuf2twt They will be reaching out to you soon. If you need anything in the meantime, please let us know."/>
        <s v="@H0M0Hick We’re sorry to hear you’re facing concerns with your Car-Net. Please DM us your VIN and email, and we’d be happy to look into this"/>
        <s v="@chrisb17x We’re sorry you’re facing concerns with your VW. Please DM us your VIN and email, and we’d be happy to research this further."/>
        <s v="@jaseduke We’re sorry to hear you’re having concerns with your new GTI. We want your ownership to be easy and carefree. #VWcares"/>
        <s v="@ohheyitsbenj This is not the experience we wanted for you at our dealership and we’d be happy to talk about your experience. #VWcares"/>
        <s v="@runa5kate We’re happy to find out how we might be able to help. You can reach out to us at http://vw.com/contact. #VWcares"/>
        <s v="@runa5kate We want a world-class experience for you at our dealer, so we’re sorry to hear yours was any less than that. #VWcares"/>
        <s v="@ohheyitsbenj Please DM us your email address and we’ll gladly reach out to you to hear more about what happened. #VWcares"/>
        <s v="@JHendrix6426 You can register to receive recall info for your vehicle by reaching out to Customer CARE at http://vw.com/contact. #VWcares"/>
        <s v="@hectorarce If you’d like to share more about your time with the dealer, please feel free to reach out to us at http://vw.com/contact"/>
        <s v="@hectorarce We’re sorry to hear this happened, Hector. This is not the experience we want you to have with our dealers."/>
        <s v="@UmarEazyE We see you’re currently working with our colleagues. Please let us know if there’s anything more we can do to help. #VWcares"/>
        <s v="@RealJackM If it’s more convenient for you, you can DM us your VIN and email, and we’d be happy to reach out to you"/>
        <s v="@RealJackM We’re happy to research any campaigns that may apply to your VW. Reach out to us at http://vw.com/contact"/>
        <s v="@lhoagz We appreciate your loyalty and would like to find out how we can help. DM us your email and we’ll gladly reach out to you. #VWcares"/>
        <s v="@lhoagz We sincerely apologize, Lauren. This is not the kind of experience we wanted for you with Roadside Assistance. #VWcares"/>
        <s v="@TheKittyBoss We’re sorry this happened. If you’d like to share more of your experience, please reach out to us at http://vw.com/contact"/>
        <s v="@Bluewatertang Your satisfaction is important to us. Please DM us your VIN and Phone Number and we will make reaching out to you a priority"/>
        <s v="@BobbyFantast1c We’re sorry you’re facing concerns with your VW. Please reach out to us at http://vw.com/contact so we can hear more."/>
        <s v="@Jay2daCnE For more help, please contact your local VW dealer.  You can find your nearest dealer here: http://vw.com/find-a-dealer/."/>
        <s v="@holleymatt We’re sorry to hear this happened. Please DM us your VIN and email so we can look into this further. #VWCares"/>
        <s v="@streit_andy If there’s anything we can do to help, please reach out to us at http://vw.com/contact. #VWcares"/>
        <s v="@streit_andy We’re very sorry for the inconvenience, Andy. We hoped for a much better experience for you. #VWcares"/>
        <s v="@vonnestar We’re happy to research this further. Please DM us your VIN and email so we can look into this more."/>
        <s v="@hectorarce VW Customer CARE section"/>
        <s v="@AimeireaCluaran We hope for a better experience for our drivers, and we’re sorry to hear this happened."/>
        <s v="@megan_c_rose We’re sorry to hear about the repeat concerns with your vehicle. Please DM us your email and VIN so we can research more"/>
        <s v="@AimeireaCluaran We recommend reaching out to VW Credit directly, as they would be in the best position to assist you."/>
        <s v="@ShirleyCallis We want you to enjoy everything in your car. We’re sorry to hear about your radio. DM us your VIN &amp; email so we can research"/>
        <s v="@jhshoe We want your ownership to be carefree. We’re very sorry we weren’t able to meet your expectations for a resolution."/>
        <s v="@DCDanKing We would be glad to reach out to you. DM your email address and we’ll make it a priority. #VWcares"/>
        <s v="@DCDanKing We want your ownership to be carefree, so we’re very sorry to hear about your experience. #VWcares"/>
        <s v="@jhshoe Please feel free to reach out to us again if you would like to discuss your vehicle further. We’re always listening."/>
        <s v="@jefferyholmes We’re very sorry to hear about your VW, Jeff. We want your ownership to be carefree. #VWcares"/>
        <s v="@Too_FREShh22 Great question, Buddy. Our recall campaigns are VIN-specific, so you can check http://vw.com/content/vwcom/en/owners-recalls.html… to find out. #VWcares"/>
        <s v="@jefferyholmes We would be happy to see how we might be able to help. DM your VIN and email and we’ll gladly reach out to you. #VWcares"/>
        <s v="@Too_FREShh22 If you would like, DM us your email and VIN and we’ll gladly reach out to you to discuss your vehicle. #VWcares"/>
        <s v="@RubySlipp3rs Please send mail to our Reimbursement Department at 3800 Hamlin Rd, Auburn Hills, MI 48326"/>
        <s v="@RubySlipp3rs Yes, they can be copies. Just make sure to include the repair order and proof of payment."/>
        <s v="We’re living in an age of convenience. Stay with the times–schedule your VW Service online. http://bit.ly/1gogQVJ"/>
        <s v="@da_goodman We’re sorry this happened, Kyle. DM us your VIN and email and we’ll gladly reach out to you to find out more. #VWcares"/>
        <s v="@Wreckinjoint We’re very sorry this has been your experience. DM us your email and we’ll be happy to contact you to hear more. #VWcares"/>
        <s v="@jesslovesjonesy We’re sorry to hear about your Jetta, Jess. We wanted your experience to be easy and carefree. #VWcares"/>
        <s v="@CPonPatrol We would be glad to hear more about what happened. Please reach out to us at http://vw.com/contact. #VWcares"/>
        <s v="@CPonPatrol We want a world-class experience for you at our dealerships, so we apologize you had concerns at yours. #VWcares"/>
        <s v="@jesslovesjonesy We would be happy to hear more about your concerns. Please DM your email and we’ll be glad to reach out to you. #VWcares"/>
        <s v="@morgandircks If you would like us to follow up on your appointment, feel free to reach out to us at http://vw.com/contact. #VWcares"/>
        <s v="@morgandircks We want your Bug smelling good! Your local VW dealer will be in the best position to assist you with your concerns. #VWcares"/>
        <s v="@summer_elite We would be happy to see how we might be able to help. DM us your VIN and email and we’ll gladly reach out to you. #VWcares"/>
        <s v="@summer_elite We want your dealership experience to be easy and carefree, so we’re sorry to hear this. #VWcares"/>
        <s v="@DBessLady If there is anything more we can do to help, please don’t hesitate to let us know."/>
        <s v="@DBessLady This is not the experience we want for you. We see you’re working with one of our colleagues."/>
        <s v="@alexcharletta We would be happy to see how we can help. DM us your VIN and email and we’ll be glad to reach out to you. #VWcares"/>
        <s v="@alexcharletta We want your ownership to be carefree, so we’re very sorry to hear you’ve been having concerns with your Jetta. #VWcares"/>
        <s v="@patmoynihan39 This is not the experience we want for our drivers. Please DM us your VIN and email so we can look into this further."/>
        <s v="@SelfieRob We’re very sorry to hear this, Rob. DM us your email address and we’ll be more than happy to contact you to hear more. #VWcares"/>
        <s v="@dianathekidd If there’s anything we can do to help, please reach out to us at http://vw.com/contact. #VWcares"/>
        <s v="@cikanman We don’t have that info just yet, but it’s coming soon. Stay tuned to http://media.vw.com for the latest news! #VWcares"/>
        <s v="@rob_sparkman This is not the experience we want for you, Rob. Please DM us your VIN and email so we can research this further. #VWCares"/>
        <s v="@thefuture_00 Driver satisfaction is important to us. Please DM us your VIN and Phone Number and we will make reaching out to you a priority"/>
        <s v="@Virginiazach We’re sorry to hear about your Tiguan. DM us your email address and we’ll gladly reach out to you. #VWcares"/>
        <s v="@Carreno316 We wanted a much better experience for you. Please DM us your email address and we’ll reach out to you to hear more. #VWcares"/>
        <s v="@lucretiab We’re sorry to hear about your VW, Lucretia. It looks like you already had a chance to speak with one of our colleagues."/>
        <s v="@lucretiab We regret we were unable to meet your expectations. If you have any future concerns, please feel free to reach out to us again."/>
        <s v="@annewilmott Driver satisfaction is important to us. Please DM us your Phone Number and VIN and we will make reaching out a priority"/>
        <s v="@simpsonjor We’re excited about your interest in a lease with VW. Please contact VW Credit, Inc. at 800-428-4034 for more info. #VWCares"/>
        <s v="@GrantBoone87 This is not the experience we want for you. Please DM us your VIN and email &amp; we’d be happy to look into this further #VWCares"/>
        <s v="@iHaleyElizabeth Please DM us your VIN and email so we can look into this further. This isn’t the experience we want for you. #VWCares"/>
        <s v="@wrongdude We recommend checking out our parts website, http://parts.vw.com/vwparts/?searchText=lightning+cable&amp;action=searchAllCatalogs…, to locate a compatible lightning cable for your Golf TDI"/>
        <s v="@wrongdude Congratulations on your recent purchase! You have a great new member of your family."/>
        <s v="@Carreno316 We would be happy to find out how we can help. Please DM your VIN and email and we'll contact you about your vehicle. #VWcares"/>
        <s v="@Drawbridge303 You’re welcome. It’s our pleasure to be able to help. Drive happy out there! #VWcares"/>
        <s v="@rebeccalynn_xo If there’s anything we can do to help, please feel free to reach out to us at http://vw.com/contact. #VWcares"/>
        <s v="@rebeccalynn_xo We expect a world-class experience for you at our dealer, so we’re very sorry to hear this. #VWcares"/>
        <s v="@annewilmott One of our Region Case Managers will be reaching out to you today"/>
        <s v="@JBickerton86 We’re sorry this happened. We’d like to learn more about it. Please DM us your VIN and email so we can research further"/>
        <s v="@maskhole61 We hear you, loud and clear! Stay tuned to http://media.vw.com for all our latest concepts and designs. #VWcares"/>
        <s v="@TheBrooklynLife Stay tuned to http://media.vw.com for all the latest! When the news arrives, it’ll appear there first! #VWcares"/>
        <s v="@TheBrooklynLife Since we haven’t released the 2016 Passat yet, we don’t have detailed information about the available features."/>
        <s v="@mclaneadam Thank you for letting us know, Adam. Please reach out to us at 800-822-8987 if there’s anything we can do to help. #VWcares"/>
        <s v="@MatthewToto We’re sorry to hear this, Matt. Please reach out to us at http://vw.com/contact, we would like to hear more about it. #VWcares"/>
        <s v="@AlliLane615 If there’s anything we can do to help, please reach out to us at http://vw.com/contact. We’re always listening! #VWcares"/>
        <s v="@AlliLane615 While we’re glad to hear you liked your service at Gary Mathews, we’re sorry to hear you were unhappy with Hallmark Volkswagen."/>
        <s v="@MehrSujit We’re very sorry to hear this, Suj. We want a much better experience for you in your Passat TDI. #VWcares"/>
        <s v="@elmejorvw Reach out to us at http://vw.com/contact, and we’d be happy to see if there are any on your VW."/>
        <s v="@dsteele7 We’re sorry to hear this, David. If there’s anything we can do to help, please reach out to us at http://vw.com/contact #VWcares"/>
        <s v="@jamiedmunday This is not the experience we want for you. Please DM us your VIN and email so we can research this further."/>
        <s v="@dhoppas We’re very sorry for the delay, Derek. We’ll be sure to expedite your case so you receive a response soon. #VWcares"/>
        <s v="@Money_Bernie This is not the experience we want you to have. Please DM us your VIN and email so we can look into this further."/>
        <s v="@AliZelmat We’re sorry to hear this is happening. Please DM us your VIN and email so we can look into this further. #VWCares"/>
        <s v="@familyvacayus We recommend talking to your local VW dealer for assistance with this. They are in the best position to help you."/>
        <s v="@_callieberry We’re very sorry for the inconvenience. If you’d like, DM us your email address and we’ll gladly reach out to you. #VWcares"/>
        <s v="@chezalize We want a world-class experience for you at our dealer. DM your email and we’ll be happy to reach out to you. #VWcares"/>
        <s v="@familyvacayus If you’d like us to follow up with your dealership, please feel free to reach out to us at http://vw.com/contact. #VWcares"/>
        <s v="@firepack1121 That’s a great question! Thanks for the interest. We suggest using 5W40 or 5W30; VW 502 00, VW 500 00 or VW 501 01"/>
        <s v="@blabbermouthaz We’re very sorry we were unable to meet your expectations. Please reach out to us again if you have any other questions."/>
        <s v="@marl3yy_ We would be happy to see if we can help with your concerns. Please DM us your VIN and email and we’ll gladly look into this."/>
        <s v="@rickroberts This is not the experience we want you to have. Please DM us your VIN and email so we can look into this further."/>
        <s v="@piktrldy101 This is not the experience we want you to have, Jen. Please DM us your VIN and email, and we will look into this further."/>
        <s v="@RineFnHart We would be happy to find out how we might be able to help. DM us your email and we’ll gladly reach out to you. #VWcares"/>
        <s v="@ABryannFuentes We are happy to find out how we can help. Please DM us your VIN and email address and we’ll reach out to you to hear more."/>
        <s v="@Rellej57 We’re sorry you’re having trouble with our website. Contact us at http://vw.com/contact, we’re happy to help! #VWcares"/>
        <s v="@familyvacayus We're sorry to hear that. Please feel free to reach out to us at the link we provided if there's anything we can do to help."/>
        <s v="@beautybylee This is not the experience we want for our drivers. Please DM us your VIN and email so we can look into this further."/>
        <s v="@supremeVENUS We’re very sorry to hear this. DM us your email address and we’ll be glad to reach out to you to hear more. #VWcares"/>
        <s v="@CaraAnnMarie We want a better experience for you. DM us your VIN and email address and we’ll gladly reach out to you. #VWcares"/>
        <s v="@ryanellisracing If there’s anything we can do to help, please don’t hesitate to reach out to us at http://vw.com/contact. #VWcares"/>
        <s v="@juicychus Great question! We now have Adaptive Cruise Control. Check out, http://media.vw.com/release/1040/, for more information"/>
        <s v="@bretthrussell You are welcome to reach out to us through email or live chat here: http://vw.com/contact #VWCares"/>
        <s v="@bretthrussell We’re currently experiencing issues with our phone system and we apologize for the inconvenience #VWCares"/>
        <s v="@Joshuacnorvell Don’t cry, Joshua! We’re very sorry this feature wasn’t yet being included for your 2015 Jetta. #VWcares"/>
        <s v="@coreybeaman We don’t have any current plans to bring the e-Golf to GA just yet. Stay tuned to http://media.vw.com for the latest news!"/>
        <s v="@piercemcg_ We’re sorry to hear that, Pierce. DM us your VIN and email address and we’ll be happy to reach out to you about it. #VWcares"/>
        <s v="@luke4696 Your satisfaction is important to us. Please DM us your email and we’ll gladly reach out to you. #VWcares"/>
        <s v="@bretthrussell We received your email and one of our colleagues will be reaching out to you soon. We apologize for the delay #VWCares"/>
        <s v="@moises_ibarra We are sorry to hear that. You can give us a call at 800 822 8987 #vwcares"/>
        <s v="@ccbowman Driver satisfaction is important to us. Please DM us your VIN and Phone Number and we will reach out to you as soon as possible"/>
        <s v="@piktrldy101 We're glad you were able to get your concerns resolved. If there's anything we can do to help, please reach out to us"/>
        <s v="@MsHoughton We’re sorry you’re having concerns with your Beetle. We recommend working with your local VW dealer for assistance. #VWcares"/>
        <s v="@steffymac4 This is not the experience we want you to have. Please DM us your VIN and email so we can look into this further."/>
        <s v="@krejci_x46 We’re sorry you’re having concerns with your Jetta. We recommend working with your local VW dealership for more info. #VWcares"/>
        <s v="@josephsmoseph This is not the experience we want you to have. Please DM us your VIN and email so we can look into this further."/>
        <s v="@JimDilley We’re sorry to hear this, Jim. Please reach out to us at http://vw.com/contact if there’s anything we can do to help. #VWcares"/>
        <s v="@prismdecision We recommend using the back seat for any rear facing car seat. Reach out to your local dealer for more information."/>
        <s v="@HuracheThr3 We’re sorry to hear of your disappointment. Reach out to us at http://vw.com/contact if you’d like to share more with us."/>
        <s v="@freddymusic We’re sorry for the inconvenience. Since you’re in Canada, we recommend reaching out to @VWCanada for help. #VWcares"/>
        <s v="@ipond317 Thanks for taking the time to reach out to us! We appreciate your feedback, and we will pass your suggestions along"/>
        <s v="@beardthulhu We recommend reaching out to your local VW dealer for further assistance. If you have other questions, let us know."/>
        <s v="@Karl_2014 This is not the experience we want for you. If you’d like to share more with us, please reach out to us at http://vw.com/contact"/>
        <s v="@teressablairr We’re very sorry to hear you feel that way. DM us your VIN and email, we’d like to reach out to you to hear more. #VWcares"/>
        <s v="@wjimenez5271 We see you are currently working with one of our executives, and they will be reaching out to you soon."/>
        <s v="@AbrahamZ This is not the experience we want you to have. Please DM us your email so we can look into this further."/>
        <s v="@MichelleRealtor This is not the experience we want for our drivers. Please reach out to us at http://vw.com/contact so we can hear more."/>
        <s v="@hellomrbungle We want your ownership to be easy and carefree. DM your VIN and email address and we’ll gladly reach out to you. #VWcares"/>
        <s v="@Musistics We’re sorry for the inconvenience. For a gas engine you’ll need synthetic oil, VW 502 00, with a viscosity of 5W30 or 5W40."/>
        <s v="@Trekker56 No updates as of yet. We’re eagerly awaiting their arrival in other states too."/>
        <s v="@Spolizino This is not the experience we want you to have. If you’d like to share more, please reach out to us at http://vw.com/contact"/>
        <s v="@mjchamplin This is not the experience we want you to have. Please DM us your VIN and email so we can look into this further."/>
        <s v="@RailGGun We’re very sorry for the inconvenience. We see you emailed Customer CARE already. One of our colleagues will contact you soon."/>
        <s v="@cmakambi This is not the experience we want you to have."/>
        <s v="@cmakambi If you’d like to share more, please contact us at http://vw.com/contact&lt;http://vw.com/contact&gt;."/>
        <s v="@StephenH2006SL We’d love to hear more about what happened."/>
        <s v="@StephenH2006SL  Please reach out to us at http://vw.com.contact&lt;http://vw.com.contact&gt; to tell us more."/>
        <s v="@MileHighFlyGuy Reach out to us at http://vw.com/contact&lt;http://vw.com/contact&gt; so we can look into this further."/>
        <s v="@steffymac4  Thank you so much for your info. We see you are working with one of our colleagues, and they will be reaching out to you soon."/>
        <s v="@bk_moore  A VW dealer is in the best position to help you, and we’re sorry your local dealer does not meet your expectations."/>
        <s v="@szsami Our hope is for our drivers to have a carefree experience. DM us your VIN and email, &amp; we can look into this further."/>
        <s v="@bk_moore You can locate another dealer near you at http://vw.com/find-a-dealer/"/>
        <s v="@danyul89 danyul89 We regret we’re unable to look into the concerns you’re facing. Please reach out to http://volkswagen.co.uk for help"/>
        <s v="@danyul89 This is not the experience we want for any of our drivers, &amp; we’re sorry you’re facing any concerns. You’ve reached VW of America."/>
        <s v="@sammPOW We’re sorry to hear you’re disappointed."/>
        <s v="@r1d3r reach out to us at http://vw.com/contact&lt;http://vw.com/contact&gt; so we can look into this further."/>
        <s v="@sammPOW Please reach out to us at http://vw.com/contact&lt;http://vw.com/contact&gt; to share more of what happened."/>
        <s v="@KerryKates1 We’re sorry to hear this. We see you already spoke with our colleagues and we regret we were unable to meet your expectations."/>
        <s v="@suzroche We’re very sorry to hear about this. DM us your VIN and email address, we would be happy to reach out to you to hear more #VWcares"/>
        <s v="@KerryKates1 Should you have any future questions or concerns, please feel free to reach out to us again."/>
        <s v="Meet VW Andretti Ralllycross drivers @TannerFoust &amp; @scottspeed at @GalpinVW from 6-8PM tonight in North Hills, CA."/>
        <s v="Live and ride in LA. @TannerFoust gets some air during a practice run in Port of LA. #VWGRC"/>
        <s v="The Beetle to beat. @scottspeed finishes #RedBullGRC practice with the fastest time. #VWGRC"/>
        <s v="Let's hear it for the boys! @TannerFoust and @scottspeed finish 1st and 2nd in the Supercar Qualifying Round. #VWGRC"/>
        <s v="Crushing the competition. #VWGRC's @scottspeed takes first place in Heat 1B at #RedBullGRC."/>
        <s v="Follow the leader. @scottspeed has another 1st place finish in Heat 2B. @TannerFoust places 3rd. #RedBullGRC #VWGRC"/>
        <s v="Living up to his name. @Scottspeed stays on top in the #RedBullGRC Supercar Semifinal. #VWGRC"/>
        <s v="Stop by the #RedBullGRC Volkswagen tent across from the SS Lane Victory for Waffle Hour now until 3:30! #VWGRC"/>
        <s v="And that's how the west was won. @scottspeed finishes in first place in the #RedBullGRC Supercar Final. #VWGRC"/>
        <s v="All smiles. @TannerFoust celebrates a 2nd place victory to end the day at #RedBullGRC. #VWGRC"/>
        <s v="Good morning LA! Take a peak inside the 2nd place #VWGRC Beetle. Who's ready for a repeat? #RedBullGRC"/>
        <s v="It's waffle time! Stop by the Volkswagen tent for a free waffle from 11-12 today. #VWGRC #RedBullGRC"/>
        <s v="Off to another great start, @scottspeed takes 1st place in Heat 1A of the #RedBullGRC doubleheader. #VWGRC"/>
        <s v="@sweet_tWhits This is not the experience we want for you. Please reach out to us at http://vw.com/contact to share more of what happened"/>
        <s v="@MileHighFlyGuy We’re sorry for the inconvenience, Matthew. We appreciate your patience while we look into your concerns. #VWcares"/>
        <s v="@coreybeaman Thanks for your feedback! We’re working on expanding the availability of the e-Golf to other states, so stay tuned! #VWcares"/>
        <s v="@MrkFrnc We want a better experience for you. Reach out to us at http://vw.com/contact so we can hear more about it. #VWcares"/>
        <s v="@aatheus Thanks for your feedback. We certainly appreciate it and will take your comments into consideration in the future. #VWcares"/>
        <s v="@JustBryBry We’re sorry we were unable to meet your expectations. If you have any future questions or concerns, please reach out to us."/>
        <s v="@TheJveit We’re very sorry to hear this. DM us your VIN and email address and we’d be happy to reach out to you to hear more. #VWcares"/>
        <s v="@scottfybush This is not the experience we want for you. If you’d like to share more, please reach out to us at http://vw.com/contact."/>
        <s v="@F_R_Odo While we have no plans to change the e-Golf yet, we will take your thoughts into consideration :) #VWcares"/>
        <s v="@F_R_Odo The 2016 e-Golf comes with Front Assist w/ Autonomous Emergency Braking. Thanks for your interest! #VWcares"/>
        <s v="@ConnorGrand We’re sorry to hear this, Connor. Please reach out to us at http://vw.com/contact so we can look into this further. #VWcares"/>
        <s v="@ccbowman Your satisfaction is important to us, and we’re glad to hear you’re happy. :) If you need anything else, let us know. #VWcares"/>
        <s v="@KidsAreHeroes We’re sorry for the inconvenience. If there’s anything we can do to help, please reach out to us at http://vw.com/contact."/>
        <s v="@sammii_bx94 We’re sorry for the inconvenience. If there’s anything we can do to help, give us a call at 800-822-8987. #VWcares"/>
        <s v="@jetpuf We’re very sorry this has been your experience. DM us your VIN and email address and we’ll reach out to you. #VWcares"/>
        <s v="@LNM588 We’re very sorry to hear this, Laura. DM us your VIN and email address and we’ll be happy to reach out to you. #VWcares"/>
        <s v="@johnotani If you have any additional questions or concerns, please feel free to reach out to us again. We’re always listening. #VWcares"/>
        <s v="@johnotani We’re very sorry to hear this, John. We see you recently spoke with one of our colleagues about your vehicle."/>
        <s v="@rchozick We don’t have any info on this yet, Russell. Stay tuned to http://media.vw.com for the latest news! #VWcares"/>
        <s v="@SeunySeun We’re very sorry for the inconvenience. Please DM your email and VIN and we’ll be glad to reach out to you about it. #VWcares"/>
        <s v="@abdulsmith We’re very sorry this has been your experience. If there’s anything we can do to help, give us a call at 800-822-8987. #VWcares"/>
        <s v="The #VWGRC crew prepare the Beetles for the final battle of the day. #RedBullGRC"/>
        <s v="It's a sweep! @scottspeed wins the #RedBullGRC final with #VWGRC teammate @TannerFoust finishing a close 3rd."/>
        <s v="@MeganGuarnier Glad we could make you smile, the #VWGolf #Sportwagen tends to do that to people. ;) Best of luck in Richmond!"/>
        <s v="@betheNV We hope you’re enjoying your GTI! We regret we don’t have a way to upgrade your infotainment system."/>
        <s v="@TheWilltoHunt We’re sorry to hear you feel this way. If there’s anything we can do to help, please contact us at http://vw.com/contact."/>
        <s v="@betheNV For more information, we recommend working with your local VW dealership. They are in the best position to assist you. #VWcares"/>
        <s v="@dpgerry We don’t currently have a 4Motion version of the Passat, but you may find the CC with 4Motion could suit your needs! #VWcares"/>
        <s v="@dpgerry We’re glad to hear you want to go with another Passat! We expect them to start arriving at dealers this fall. #VWcares"/>
        <s v="@N8Sandrs We appreciate your enthusiasm! Check out http://media.vw.com/release/977/ for great info about Car-Net &amp; the Apple watches. We’re excited!"/>
        <s v="@evely_29  This is not the experience we want for our drivers. Please DM us your VIN and email so we can look into this further."/>
        <s v="@SoDamnTiny This is not the experience we want you to have. Reach out to us at http://vw.com/contact if there is anything we can do to help"/>
        <s v="@ImSabZar This is why we love our customers. Thanks for the kind words! #VDubLove"/>
        <s v="@WilBLawson This is not what we want for our drivers. If you’d like to share more, please reach us at http://vw.com/contact. #VWcares"/>
        <s v="@ColinChambers44 We’re sorry to hear this is happening. Please DM us your VIN and email so we can look into this further. #VWcares"/>
        <s v="@ToriAnn88 This is not the experience we want for you. Please reach out to us at http://vw.com/contact, if you’d like to share more."/>
        <s v="@sasyral This is not the experience we want for you. Please DM us your VIN and email so we can look into this further. #VWcares"/>
        <s v="@AdManHayes We’re happy to look into this further. Please DM us your VIN and email. #VWcares"/>
        <s v="@barbthisDICK We’re sorry to hear you’re disappointed. So we can hear more about what happened, please DM us your VIN and email. #VWcares"/>
        <s v="@DorothyMeredit3 We’re sorry to hear this. If there’s anything we can do to help, please reach out to us at http://vw.com/contact #VWcares"/>
        <s v="@AndrettiSM Your secret is safe with us!"/>
        <s v="@Luyanda56203804 Nice wheels! Was it love at first sight?"/>
        <s v="@PastilleLeeds @ArchiesLeeds We agree! ;)"/>
        <s v="@JamesUWW Which VW is your favorite? When you are in a VW, it's hard not to win. ;)"/>
        <s v="@eddycarrasco We agree! The #VWGolfR combines raw, turbocharged power with impressive handling which puts it in a league of its own!"/>
        <s v="@NYDNAutos Gorgeous. #VWGTI"/>
        <s v="@celicainwhite Loving the car in the background! Keep the #VDubLove going in your next pic with some VW DriverGear! http://vw10.drivergear.vw.com/Catalog/Ladies/View_all_Ladies/DRG013248#…"/>
        <s v="@636_OC Thanks, we like your taste in cars! #VWJetta"/>
        <s v="@StephieEpie Thanks for the shout out! Learn more about #VWCarNet so you will be ready when the time comes! http://vw.com/content/vwcom/en/features/vw-car-net.html…"/>
        <s v="@cherry_LA If you want to ride in style and be fuel efficient, you have to check us out @LAAutoShow. Which model were you interested in?"/>
        <s v="@BrianMarette This is music to our ears! We're glad they were able to assist."/>
        <s v="@steffymac4 We always look for opportunities to help our drivers, and we’re sorry we were not able to meet your expectations."/>
        <s v="@tkrupp07 We’re very sorry we were unable to meet your expectations. Please reach out to us again if you have any additional questions."/>
        <s v="@lucasmatze We’re sorry for any frustrations this caused you. Reach out to us at http://vw.com/contact so we can look into this further."/>
        <s v="@armosqueda Our hope is to assist our drivers whenever we can, and we’re sorry for not meeting your expectations."/>
        <s v="@mattix13 We’re sorry this is happening. We recommend contacting your local VW dealer for help; http://vw.com/find-a-dealer/. #VWcares"/>
        <s v="@kallisti5 We’re sorry this has been your experience. Reach out to us at http://vw.com/contact if there’s anything we can do to help."/>
        <s v="@Oooookillemwill We understand where you’re coming from. Please DM us your VIN and email so we can look into this further. #VWcares"/>
        <s v="@jimmygjl We want a better experience for you. DM us your VIN and email and we’ll be happy to reach out to you. #VWcares"/>
        <s v="@Antoninetta Great question! So we can give you the best answer possible, DM your VIN and email and we’ll reach out to you with more info."/>
        <s v="@chadthegatorfan This is not the experience we want for you. Please DM us your VIN and email so we can look into this further. #VWcares"/>
        <s v="@sydnee_kristina If there’s anything we can do to help, please reach out to us at http://vw.com/contact. We’re always listening! #VWcares"/>
        <s v="@sydnee_kristina We’re sorry to hear about your VW. We recommend working with your local VW dealership for assistance. #VWcares"/>
        <s v="@N8Sandrs We’re very sorry for the inconvenience, Nate. We’re currently working on a fix and will let you know when we have one. #VWcares"/>
        <s v="This vintage, aircooled Beetle is our sunshine on a cloudy day...#TBT"/>
        <s v="@JANNETJE3 @curtsmith Looks like we are in good company with your guesses! ;)"/>
        <s v="@brandon_stubbs We love Car-Net too and you're always invited to our party! https://youtube.com/watch?v=2glN6bdfcw8…"/>
        <s v="Adam Scott’s throwing a party. Are you on the list? #VW #AppConnect"/>
        <s v="@JcJulianc That’s one smart #VW! We are excited to hear you are enjoying this feature."/>
        <s v="@MyVWGolf That’s exciting! Where did you take your #VWGolf with that great mpg?"/>
        <s v="@kingcsizz We’re very sorry to hear this. Please reach out to us at http://vw.com/contact if you’d like to share more. #VWcares"/>
        <s v="@nicolemortiz We’re sorry to hear this happened. If you’d like to share more, please reach out to us at http://vw.com/contact. #VWcares"/>
        <s v="@OficiallyReview We’re very sorry for the inconvenience. If there’s anything we can do to help, please reach out to us at 800-822-8987."/>
        <s v="@missperlaaaa If you need a new key for the tire lock, your local VW dealer should be able to help you out. #VWcares"/>
        <s v="@TeazyFBaby To know what it is for sure, we’ll need your VIN. DM us your email address too and we’ll reach out to you about it. #VWcares"/>
        <s v="@TeazyFBaby When a warning light appears in your instrument cluster, you should bring your car to the dealership as soon as you can."/>
        <s v="@valval28 We’re very sorry to hear this. If there’s anything we can do to help, please reach out to us at http://vw.com/contact. #VWcares"/>
        <s v="@LuisCadena For more information, we recommend working with your local VW dealership. #VWcares"/>
        <s v="@solartint3042 We can feel your excitement through the monitor! #VDubLove"/>
        <s v="@OhHeyAngel We would hate to see you cry! Let's turn your dream into a reality at one of our dealerships near you! http://vw.com/find-a-dealer/"/>
        <s v="@Meatwad650 Either way, you can’t lose! #VWGTI #VWGolfR"/>
        <s v="@Petersen_Museum It should be a sight to see! #VWGTI"/>
        <s v="@steeringnews Hope you had your popcorn ready! #VWGTI"/>
        <s v="@LeithVolkswagen @Rosagrazz This makes us smile! #VDubLove"/>
        <s v="@soccajunkie Congratulations on your new #VWJetta! Don't forget your DriverGear: http://vw10.drivergear.vw.com"/>
        <s v="@curtsmith Amazing photo! You can see the #VDubLove blossoming in her eyes."/>
        <s v="@aroymb Cool! A Beatle on a #VWBus, you don't see that everyday!"/>
        <s v="@Waldn87Kevin #VDubLove is a beautiful thing. Show off your pride and let your DriverGear speak for itself: http://vw10.drivergear.vw.com"/>
        <s v="@Sufistarz The #VWPassat is one of a kind; we would love to see you own one! Try building your dream Passat: https://vw.com/builder/tab/trim/model/passat/…"/>
        <s v="@indiolrh If you’d like, DM us your email address and VIN and we’ll reach out to you with more information. #VWcares"/>
        <s v="@indiolrh This can depend on which model VW you have and the type of device you’re trying to connect."/>
        <s v="@wahmbasu Your local VW dealer will be in the best position to help you determine what is covered under this warranty extension. #VWcares"/>
        <s v="@MikeCatalana We’re sorry we were unable to meet your expectations, Mike. Please reach out to us again if you have any future questions."/>
        <s v="@abdulsmith Congratulations on your purchase! We don’t have any plans for an update yet. Stay tuned to http://media.vw.com for more info!"/>
        <s v="@san_rensho Thanks for your suggestion! We’ll be sure to take it into consideration for future designs. #VWcares"/>
        <s v="@LeModulicious Thanks for your feedback, Richard. Be sure to check out the 360° view in the Models section! #VWcares"/>
        <s v="@julkinen We see you’re reaching out to us from Finland. We recommend contacting the VW branch in your region for the best info. #VWcares"/>
        <s v="@RandyIvie We’re very sorry for the inconvenience. If there’s anything we can do to help, reach out to us at http://vw.com/contact #VWcares"/>
        <s v="@matadormi5 We haven’t yet announced anything definite about the new Tiguan for the U.S. market. Stay tuned for more info! #VWcares"/>
        <s v="@Heart4HardHTX We’re sorry to hear this. If there’s anything we can do to help, please reach out to us at http://vw.com/contact. #VWcares"/>
        <s v="@sweetjojalabama We’re sorry to hear you’re having concerns with your Jetta. DM us your VIN and email and we’ll gladly reach out to you."/>
        <s v="@WilBLawson Should you need anything in the future, please don’t hesitate to let us know."/>
        <s v="@WilBLawson Our hope is to assist our drivers whenever we can, and we’re sorry we were unable to meet your expectations."/>
        <s v="@TahlyaStreet We’re sorry to hear this happened, and we’d like to look into this. Please reach out to us at http://vw.com/contact"/>
        <s v="@matthewjones00 This is not the experience we want for you. Please DM us your VIN and email so we can look into this further."/>
        <s v="@matthewjones00 If it’s more convenient for you, you can reach out to us at http://vw.com/contact"/>
        <s v="@EricaButeau We would be happy to find out how we might be able to help. DM your email address and we’ll gladly reach out to you. #VWcares"/>
        <s v="@marie_samir We’re sorry you’ve had concerns with your VW. We recommend reaching out to the VW branch in your region for assistance #VWcares"/>
        <s v="@DugRay We’re sorry this happened. If you’re still facing troubles with the site, please reach out to us http://vw.com/contact"/>
        <s v="@TimmyWash Thanks for your interest! CarPlay will be available for the 2016s, but we regret there is no retrofit for the 15s at this time."/>
        <s v="@antoncisne We’re very sorry to hear this. Please DM us your VIN and email address and we’ll be happy to reach out to you. #VWcares"/>
        <s v="@Bostoneric his is not the experience we want for our enthusiasts. Please reach out to us at http://vw.com/contact so we can hear more."/>
        <s v="@schaeferthomasg We’re sorry the 80K service seems so expensive, but it’s a lot more than an oil change!"/>
        <s v="@bridgesuite We’re very sorry this was your experience. If you would like to discuss this further, contact us at http://vw.com/contact."/>
        <s v="@schaeferthomasg If you have questions or if there’s anything we can do to help, contact us at http://vw.com/contact. #VWCares"/>
        <s v="@polesmoker54 We’re sorry this happened. If you’d like to share more of your experience, please reach out to us at http://vw.com/contact"/>
        <s v="@JimLahren We’re very sorry to hear this, Jim. It looks like you’re already working with one of our colleagues at Customer CARE."/>
        <s v="@JimLahren Please do not hesitate to let us know if there’s anything else we can do to help. #VWcares"/>
        <s v="@bhartiaa We’re sorry you’re having concerns with your vehicle. At VW USA we’re only able to assist U.S. customers with U.S. vehicles."/>
        <s v="@bhartiaa So you can receive the best assistance, we recommend working with the VW branch in your region."/>
        <s v="@TweetSmarter Your local VW dealer is in the best position to assist you with obtaining a wheel lock key for your Passat."/>
        <s v="@VedranTheKing We would be happy to find out how we can help. Please DM your email address and VIN and we’ll gladly reach out to you."/>
        <s v="@alexiscbcs We see you’ve been working with our colleagues. You’re important to us, and your case is being actively reviewed."/>
        <s v="@TagaLee We’re excited to hear about your interest in CarPlay. This feature will only be available on the 16s at this time."/>
        <s v="@zandywithaz We’re sorry this happened. If you’d like to share more about your experience, please reach out to us at http://vw.com/contact"/>
        <s v="@dmk_allears This is not the experience we want for you. Please DM us your VIN and email so we can look into this further."/>
        <s v="@schaeferthomasg We’re very sorry for the expense. If there’s anything we can do to help, contact us at http://vw.com/contact. #VWCares"/>
        <s v="@johnotani Your local VW dealer is in the best position to assist you with any concerns you may be facing."/>
        <s v="@PurelyNicole We’re sorry this happened. If you’d like to share more of your experience, please reach out to us at http://vw.com/contact"/>
        <s v="@will_VS_chris This is not the experience we want for you. Please DM us your VIN and email so we can look into this further."/>
        <s v="@Chaalie We’re sorry this happened. Please reach out to us at http://vw.com/contact so we can look into this further."/>
        <s v="@Alenoush3 We’re sorry to hear this happened. Please reach out to us at http://vw.com/contact so we can look into this further."/>
        <s v="@TheFrthAngel This is not the experience we want for you. Please reach out to us at http://vw.com/contact so we can look into this further."/>
        <s v="@RussCambria We’re sorry to hear this happened. Please reach out to us at http://vw.com/contact so we can look into this further. #VWCares"/>
        <s v="@OmItOut We’re sorry this happened. If there is anything we can do to turn this around for you, reach out to us at http://vw.com/contact."/>
        <s v="@keons_dad This is not the experience we want for our drivers. Please DM us your VIN and email so we can look into this further. #VWCares"/>
        <s v="@artemispeg1 This isn’t the experience we want for you. If you have other questions, please reach out to us at http://vw.com/contact"/>
        <s v="@sallyano22 We would be glad to find out how we might be able to help. Please DM your email and VIN and we’ll happily reach out to you."/>
        <s v="@TweetSmarter It looks like this part is available from our parts website, if you’d like to order it from there. http://parts.vw.com/vwparts/?searchText=WHT+003+319+A+004&amp;action=searchAllCatalogs…"/>
        <s v="@philipccoggin  You’re welcome, Philip! Thank you for sharing your story with us. We’re sorry you lost your GTI :( #VWCares"/>
        <s v="@cristinapate We’re delighted to hear this! Thanks for taking the time to let us know how you feel. We appreciate the love! #VWCares"/>
        <s v="@tjben1323 Your local VW dealership will be in the best position to assist you with you this. Find a dealer here: http://vw.com/find-a-dealer."/>
        <s v="@agung_karyanto Looks pretty cool, Agung! Thank you for sharing this with us! #VWCares"/>
        <s v="@cristinapate We’ll be sure to let Randall Reed’s VW know what a wonderful job they’re doing for you. #VWCares"/>
        <s v="@emeliabbyxo We’re sorry to hear of your dissatisfaction. Reach out to us at http://vw.com/contact. We’d be happy to look into this further"/>
        <s v="Update from Volkswagen regarding the EPA investigation:"/>
        <s v="@svintussen We’re excited by your interest in the Variant, and we are sorry we have no immediate plans to bring them to the States."/>
        <s v="@PurelyNicole Thanks for reaching out to us. We see one of our colleagues will be reaching out to you soon."/>
        <s v="@svintussen Don’t lose hope though, as the future is not set in stone. Check out http://media.vw.com for any upcoming info."/>
        <s v="@TheFrthAngel We’re sorry to hear this happened. If there is anything we can do in the future, please let us know."/>
        <s v="@shanellrene We’d be happy to find out how we might be able to help. DM your email and VIN and we’ll gladly reach out to you. #VWCares"/>
        <s v="@BgSmack We would be happy to find out how we can help. DM us your email address and VIN and we’ll gladly reach out to you. #VWCares"/>
        <s v="@HpGregory Thanks for your feedback, Gregory! We’ll be sure to take it into consideration for the future. #VWCares"/>
        <s v="@real_adr0510 If there's anything we can do to help, please reach out to us at http://vw.com/contact. We're always listening. #VWCares"/>
        <s v="@real_adr0510 We’re sorry to hear this. Your local VW dealer is in the best position to determine the warranty coverage for your concern."/>
        <s v="@photomixtape We want a world-class experience for you at our dealer. We’re sorry to hear yours was anything less than that."/>
        <s v="@gsp1984 You’re very welcome! Please reach out to us at http://vw.com/contact if there’s ever anything we can do to help! #VWCares"/>
        <s v="@photomixtape Please reach out to us at http://vw.com/contact if there’s anything we can do to help. #VWCares"/>
        <s v="@IRatchett We’re glad to hear she is ok! If you’d like to share more of her experience, please reach out to us at http://vw.com/contact."/>
        <s v="@TheRealBranson We’re very sorry this happened. Please DM us your VIN and email so we can look into this further. #VWCares"/>
        <s v="@Geenger_kay We’re sorry to hear this. Since you’re in South Africa, we recommend contacting the VW branch in your country for assistance."/>
        <s v="@sulabula77 If you would like to discuss your case further, please reach out to us again. We’re always listening."/>
        <s v="@cdmbearcaps We have the 4Motion Golf Alltrack planned to be released for the 2017 model year! Check it out here: http://media.vw.com/release/953/."/>
        <s v="Visit http://VWDieselInfo.com for information regarding affected TDI vehicles."/>
        <s v="@DJScoots10 We’re glad you’re interested in the new Microbus concept, but we don’t currently have plans to produce this vehicle in the U.S."/>
        <s v="@melmoney09 We would be happy to find out how we can help. DM us your VIN and email address and we’ll gladly reach out to you. #VWCares"/>
        <s v="@DJScoots10 Stay tuned to http://media.vw.com! When news about new models arrives, it will appear there first! #VWCares"/>
        <s v="@MSnipple We’re sorry you’re having concerns with your Golf. DM us your VIN and email address and we’ll gladly reach out to you. #VWCares"/>
        <s v="@andyibarra2 This is not the experience we want for you. Please DM us your VIN and email so we can look into this further."/>
        <s v="@Waldn87Kevin We recommend consulting your Owner’s Manual or working with your local VW dealer for tips on driving our manual transmission."/>
        <s v="@Waldn87Kevin We’re glad you want to treat your Golf so well! We regret we don’t have a guidebook with the info you’re looking for."/>
        <s v="@tucker_mf Our hope is for you to have a carefree experience. Please DM us your VIN and email so we can look into this further. #VWCares"/>
        <s v="@LauraMogg You’re satisfaction is important to us, and you’ll be reached out to you soon."/>
        <s v="@LauraMogg We look for every chance to assist our drivers. We see that you’re working with one of our colleagues."/>
        <s v="@bbrooks784 This is not the experience we want for you. Please DM us your VIN and email so we can look into this further. #VWCares"/>
        <s v="@sandrasolano Our dealers usually charge a fee to diagnose a vehicle. We recommend contacting them directly to find out more. #VWCares"/>
        <s v="@polesmoker54 Should you need anything in the future, please don’t hesitate to reach out to us again. #VWCares"/>
        <s v="@natqueencole We’re sorry you aren’t able to get an e-Golf in your state. We’re looking to expand its availability, so stay tuned! #VWCares"/>
        <s v="@drinkie We’re delighted to hear this! Thanks for taking the time to let us know about your experience. Happy driving! #VWCares"/>
        <s v="@xjxcxpx We recommend working with your local VW dealership. They will be in the best position to assist you with this. #VWCares"/>
        <s v="@Tracey_R_Lee Don’t fret, we plan to release the CC R-Line. Your local VW dealer is in the best place to let you know when they’re available"/>
        <s v="@Lmnoah We’re very sorry for the inconvenience. If there’s anything we can do to help, please reach out to us at http://vw.com/contact."/>
        <s v="@DeJuanPenn We’re excited by your interest! Your local VW dealer is in the best position to provide feedback about their lineup. #VWCares"/>
        <s v="@kevinisrael_nj This is not the experience we want for you. If you’d like to share more please reach out to us at http://vw.com/contact."/>
        <s v="@mikelyden We try to assist our drivers whenever we can, and we are sorry for not meeting your expectations."/>
        <s v="@steffymac4 We see you are working with one of our colleagues and we are working on a resolution."/>
        <s v="@rubinscube0 We’re very sorry to hear this. Please DM us your VIN and email address and we’ll gladly reach out to you to hear more. #VWCares"/>
        <s v="@mikelyden Should you need anything in the future, please don’t hesitate to reach out to us again."/>
        <s v="@natqueencole While we don’t have any current plans to release the GTE in the U.S., the Golf SportWagen is already available at our dealers!"/>
        <s v="@_JeremyBlake This is not the experience we want for our drivers. Please DM us your VIN and email so we can look into this further. #VWCares"/>
        <s v="@Lemon711 We’re sorry to hear about your experience. If you’d like to share more of what happened, reach out to us at http://vw.com/contact"/>
        <s v="@MileHighFlyGuy We have no CarNet updates at this time, but if one is released our enthusiasts will be made aware."/>
        <s v="@evancw Purchasing a new vehicle should be fun and exciting, and we apologize for any inconvenience you’ve faced while ordering yours."/>
        <s v="@ltlmscantbwrong If there’s anything we can do to help, please reach out to us at http://vw.com/contact. #VWCares"/>
        <s v="@ltlmscantbwrong We’re very sorry for any inconvenience you have experienced. You can check for open recalls at http://vw.com/owners-recalls/."/>
        <s v="@SRagnone Great question, Stuart. We recommend consulting with your local VW dealership for the best info about your wheels. #VWCares"/>
        <s v="@evancw Your local VW dealer is in the best attempt to provide feedback regarding your GTIs availability. #VWCares"/>
        <s v="@xjxcxpx We recommend changing your engine oil and filter every 10k miles, regardless of the brand of synthetic oil you are using."/>
        <s v="@xjxcxpx We also recommend using VW 502 00 synthetic oil with a viscosity of 5W30 or 5W40. We hope this helps! #VWCares"/>
        <s v="@xjxcxpx The engine oil filter should be changed every 10k miles with the engine oil. For more info, we recommend consulting your dealership"/>
        <s v="@veryhollyb We’re very sorry for the inconvenience. If there’s anything we can do to help, please reach out to us at http://vw.com/contact."/>
        <s v="@entrprenr This is not the experience we want for our drivers. Please DM us your VIN and email so we can look into this further. #VWCares"/>
        <s v="@JohnVavrik We see you’ve already emailed our Customer CARE Center and one of our colleagues will reach out to you soon. #VWCares"/>
        <s v="@JohnVavrik We’re very sorry to hear you’re having concerns with your Passat and are happy to find out how we can help."/>
        <s v="@boii_legit It’s something we’re taking into consideration! Thanks for reaching out to us, we appreciate your interest! #VWCares"/>
        <s v="@Im_JustJim Great question, James! We made approximately 1,800 Golf R models for the 2015 model year. #VWCares"/>
        <s v="@Anthony_Riccio We’re very sorry to hear this. If there’s anything we can do to help, please reach out to us at http://vw.com/contact."/>
        <s v="@blak0137 For more info, we recommend talking to your dealer."/>
        <s v="@blak0137 For the 2016 Golf R, the Driver Assistance Package is available by order only."/>
        <s v="@PatrickSTAR489 Great question! This information can differ depending on the specific model and model year of the vehicle."/>
        <s v="@PatrickSTAR489 If you’d like, DM your VIN and email address and we’ll gladly reach out to you with more information. #VWCares"/>
        <s v="@RealChrisReese We’re sorry we were unable to meet your expectations. Please feel free to reach out to us again if you have any questions."/>
        <s v="@SamDolci Please DM your email address and VIN and we’ll gladly reach out to you to hear more. #VWCares"/>
        <s v="@xjxcxpx We only recommend the use of VW 502 00 with viscosity of 5W30 or 5W40. For more info we recommend working with your dealer."/>
        <s v="@Indasein We’re glad to hear your concerns were covered under warranty! Happy driving, Jordan! #VWCares"/>
        <s v="@JR2themax We would be happy to see how we might be able to help. DM your VIN and email address and we’ll gladly reach out to you. #VWCares"/>
        <s v="@ereibs89 We’re very sorry for the inconvenience, Erik. We see you recently chatted with one of our colleagues at Customer CARE."/>
        <s v="@ereibs89 If there’s anything more we can do to help, please feel free to reach out to us again. We’re always listening! #VWCares"/>
        <s v="@pcusick3 We’re sorry to hear about your concerns. If there’s anything else we can do to help, please feel free to reach out to us again."/>
        <s v="@DugRay We want your experience to be easy &amp; carefree, so if there’s anything we can do to help, reach out to us at http://vw.com/contact"/>
        <s v="@rachaaelle We’re sorry to hear about your Beetle. If there’s anything we can do to help, please reach out to us at http://vw.com/contact."/>
        <s v="@breionline You can reach us by phone at 800-822-8987. You can also email or chat live with us at http://vw.com/contact. #VWCares"/>
        <s v="@ltlmscantbwrong We would be happy to help clarify this info for you. Please DM us your email address and VIN and we’ll reach out to you."/>
        <s v="@abbybischoff We’re sorry to hear this, Abby. Please DM us your email address and VIN and we’ll gladly reach out to you to hear more."/>
        <s v="@Doc_michaels We would be glad to discuss her concerns. Please reach out to us at http://vw.com/contact so we can hear more. #VWCares"/>
        <s v="@falas6eeni We’re very sorry for the inconvenience. Please reach out to us at http://vw.com/contact if you’d like to talk more about it."/>
        <s v="@COtoAZXi We’re very sorry to hear this. One of our colleagues will reach out to you soon to discuss your vehicle. #VWCares"/>
        <s v="@predd71 We’re sorry this is happening. Your local VW dealer is in the best position to assist with this."/>
        <s v="@predd71 If you’d like us to look into this further, please reach out to us at http://vw.com/contact, and we will research this more."/>
        <s v="@LUXURYWHOREE This is not the experience we want for our drivers. DM us your VIN and email, and we’re happy to research this further."/>
        <s v="@eyem5972 We’d like to look into this more. Please reach out to us at http://vw.com/contact so we can research further."/>
        <s v="@bridgesuite We’d like to look into this further. Please DM us your VIN and email so we can research more."/>
        <s v="@w0240p his is not the experience we want for you. Please reach out to us at http://vw.com/contact so we can hear more."/>
        <s v="@yosukdisco We’re sorry to hear this happened. Please DM us your VIN and email so we can look into this further."/>
        <s v="@Sharif_Shaalan 1/2: Thank you for reaching out to us regarding your concerns with your vehicle."/>
        <s v="@Sharif_Shaalan 2/2: Please DM us your VIN and email so we can find out more. #VWCares"/>
        <s v="@MandeeTjosvold Driver satisfaction is important to us. Please DM us your VIN and Phone Number and we will make contacting you a priority."/>
        <s v="@i_love_y_o_u_ We’re sorry to hear this, Madison. Please reach out to us at http://vw.com/contact if there’s anything we can do to help."/>
        <s v="@GarronnNegronnn We apologize for the expense. If there’s anything we can do to help, please reach out to us at http://vw.com/contact."/>
        <s v="@NessaOFarrell We’re sorry, Nessa. You’ve reached Volkswagen of America and we see you’re contacting us from Ireland."/>
        <s v="@NessaOFarrell For the best assistance possible, you can reach Volkswagen Ireland here: http://volkswagen.ie/en.html. #VWCares"/>
        <s v="@HisBich We’d like to look into this further. Please DM us your VIN and email so we can research this more."/>
        <s v="@ShandelleMB This is not the experience we want for our drivers. We see one of our colleagues will be reaching out to you soon."/>
        <s v="@mollari2261 We’re sorry to hear this is happening. If you’d like to share more about this, please reach out to us at http://vw.com/contact"/>
        <s v="@NJ_Dubbin Check out our Driver Gear website, http://vw10.drivergear.vw.com/Catalog/Hats/Knit…, for some great accessories."/>
        <s v="@nyonnais We’re sorry to hear this. You’ve reached VW of America. Since you’re outside the U.S, we recommend contacting VW in your region."/>
        <s v="@nyonnais You can reach VW Switzerland at the following link: http://volkswagen.ch/de.html. #VWCares"/>
        <s v="@sworksbill We’re very sorry to hear this, Bill. We see you’re already working with one of our colleagues at Customer CARE."/>
        <s v="@sworksbill If there’s anything more we can do to help, please feel free to reach out to us again. #VWCares"/>
        <s v="@_IGetTrippy_  We’re sorry to see you’re having concerns with your VW. We recommend bringing it to a dealership for a diagnosis."/>
        <s v="@Lvl_7_Eevee This is not the experience we want for you. Please DM us your VIN and email so we can look into this further."/>
        <s v="@_IGetTrippy_ If there’s anything we can do to help, please don’t hesitate to reach out to us at http://vw.com/contact. #VWCares"/>
        <s v="@whatseriously We’re sorry to hear of your dissatisfaction. This is not the experience we want for you."/>
        <s v="@whatseriously Feel free to reach out to us at http://vw.com/contact, and we’d be happy to forward your dissatisfaction to Roadside."/>
        <s v="@DopaliciousDar This is not the experience we want for you. Please DM us your VIN and email address &amp; we’ be happy to look into this further"/>
        <s v="@dba_baker There are many factors which contribute to the price of our vehicles. For more info, talk with your local VW dealer. #VWCares"/>
        <s v="@HisBich Thank you for resending it. One of our colleagues will reach out to you soon."/>
        <s v="@JKREW We’re sorry to hear this. Please DM us your VIN and email address so we can look into this further."/>
        <s v="@alexdllll We appreciate your concern, Alex. You can email us at http://vw.com/contact. We would be happy to hear more. #VWCares"/>
        <s v="@NickBrownOKC We would be happy to find out how we might be able to help. Please DM your VIN and email address and we’ll reach out to you."/>
        <s v="@literaticat We’re very sorry we were unable to meet your expectations. Please reach out to us again if you have any additional questions."/>
        <s v="@PBear_8 This isn’t the experience we want for you. Please DM us your VIN and email so we can look into this further. #VWCares"/>
        <s v="@markdeecee If there’s anything we can do to help you with Car-net, please reach out to us at http://vw.com/contact. #VWCares"/>
        <s v="@Silas27144920 We’re sorry to hear your service experience didn’t meet our high expectations for you."/>
        <s v="@Queenrosygb We would be happy to find out how we can help. Please DM us your VIN and email address and we’ll reach out to you. #VWCares"/>
        <s v="@TheLostChinese We’re sorry for the inconvenience. If there’s anything we can do to help please reach out to us at http://vw.com/contact."/>
        <s v="@MyAnhN We would be happy to find out how we can help. Please DM us your VIN and email address and we’ll gladly reach out to you. #VWCares"/>
        <s v="@FangJonny If you’d like, please DM us your email address and VIN and we’ll gladly reach out to you to hear more. #VWCares"/>
        <s v="@FangJonny We want a world-class experience for you at our dealer, so we’re sorry to hear yours was anything less than that"/>
        <s v="@Jasmineismajor We’re sorry to hear about this, Jasmine. If there’s anything we can do to help, please let us know. #VWCares"/>
        <s v="@gennaromusic We look for every opportunity to assist our drivers, and we’re sorry we didn’t meet your expectations."/>
        <s v="@The_KylePenny We’re sorry to hear this is happening, Kyle. Please DM us your VIN and email so we can look into this further."/>
        <s v="@meaghanc98 We’re sorry to hear this. If you’d like to share more about what happened, please reach out to us at http://vw.com/contact"/>
        <s v="@gennaromusic Should you need anything in the future, please don’t hesitate to reach out to us again."/>
        <s v="@drewpatty We’d be happy to find out how we can help. Please DM your VIN and email address and we’ll gladly look into this further for you."/>
        <s v="@_lifeaslizz We’re very sorry to hear this. If there’s anything we can do to help, please reach out to us at http://vw.com/contact."/>
        <s v="@HollowayHorace We’re sorry for the inconvenience. If there’s anything we can do to help, please reach out to us at http://vw.com/contact."/>
        <s v="@SteveFrancis9 We want a better experience for you. Please DM us your VIN and email address and we’ll gladly reach out to you. #VWCares"/>
        <s v="@etemizel This is not the experience we want for you. Our colleagues at VW Turkey are in the best position to help you with your concerns."/>
        <s v="@etemizel You can reach our associates at http://vw.com.tr."/>
        <s v="@HisBich We’re so sorry for the delay. Could we please have your email address so we can reach out to you?"/>
        <s v="@thesoifer We would be happy to find out how we can help. Please DM us your email address and VIN and we’ll reach out to you to hear more."/>
        <s v="@jrichard333 Please DM us your VIN and phone # and we will make reaching out to you a priority. #VWcares"/>
        <s v="@jrichard333 Thank you for taking the time to reach out to us, James, your satisfaction is important to us."/>
        <s v="@emars72 We’re very sorry to hear this. Please DM us your VIN and email address and we’ll be happy to reach out to you. #VWCares"/>
        <s v="@RichesLP This is not the experience we want for you. Please DM us your VIN and email so we can hear more about what happened."/>
        <s v="@AlexaTC Please DM us your VIN and email so we can look into this further for you."/>
        <s v="@AlexaTC We want you to enjoy every part of your VW, and we’re sorry to hear of the concerns you’re facing with your locks."/>
        <s v="@chadhartsays Feedback from our drivers helps us enhance our product, and we appreciate you taking the time to reach out to us."/>
        <s v="@Shahlaine  We’re sorry to hear of your dissatisfaction. Please DM us your VIN and email so we can look into this further"/>
        <s v="@DanielMallinder We would be happy to help, Daniel. Please DM us your VIN and email address and we’ll reach out to you. #VWCares"/>
        <s v="@ModernMilferd We’re sorry you’re having concerns with your Jetta. Our recalls are VIN specific, so we’ll need yours to find out more."/>
        <s v="@ModernMilferd Please DM us your VIN and email address and we’ll gladly reach out to you to discuss your vehicle. #VWCares"/>
        <s v="@martinchavez331 This is not the experience we want for you. Please DM us your VIN and email so we can look into this further."/>
        <s v="@Hayes_BL We’d be happy to help you. Please DM us your email address and VIN and we’ll reach out to you to explain. #VWCares"/>
        <s v="@Edonis_ We are happy to help! What is your question? #VWCares"/>
        <s v="@AlexaTC We are now following, please DM us your VIN and email."/>
        <s v="@j_wearing You can reach us at http://vw.com/contact. We look forward to hearing from you! #VWCares"/>
        <s v="@HpGregory We’re sorry for the delay, Gregory. We would be happy to discuss the loyalty incentive with you."/>
        <s v="@HpGregory Please DM us your email address and we’ll reach out to you. #VWCares"/>
        <s v="@montanabohemian We’re very sorry to hear this, Madison. Give us a call at 800-822-8987 if you’d like to discuss your vehicle further."/>
        <s v="@ModernMilferd Please resend your email address. We’ll reach out to you as soon as we can."/>
        <s v="@LL_Kane We’re sorry to hear this happened. What’s your email address? We’re happy to try to help."/>
        <s v="@ChristyHeath78 The Amarok is great car, and we understand why you’d want one here in the states."/>
        <s v="@ChristyHeath78  As they are sold only overseas, we recommend reaching out to our colleagues at http://en.volkswagen.com/en/company/laenderauswahl.html…"/>
        <s v="@AngeliqueKenney We envision you having a care free experience. Please DM us you VIN and email address so we can look into this further."/>
        <s v="@DonSchenck  Congratulations on your purchase! Please DM us your email address and we’ll reach out to you to discuss your Eos. #VWCares"/>
        <s v="@imeuic We recommend continuing to work with your Region Case Manager if you have any additional questions or concerns."/>
        <s v="@imeuic After researching your VIN, we see you recently had a case with our colleagues at Customer CARE and a resolution was offered."/>
        <s v="@Oaksandnix We base the available feature combinations for each vehicle on driver feedback and from market research."/>
        <s v="@ChristyHeath78 You can find one to speak to at http://icsw.nhtsa.gov/cars/rules/import/…. We can’t wait to see you in one soon. #VWCares"/>
        <s v="@ChristyHeath78 Thanks for the love. If you find an Amarok, you’ll need to talk a registered importer to bring it here."/>
        <s v="@YousefJay We’re sorry this is happening with your VW. We recommend reaching out to our colleagues at the United Arab Emirates."/>
        <s v="@Oaksandnix We’ll take your comments into consideration for future designs! Thanks for letting us know what you think. #VWCares"/>
        <s v="@YousefJay They are in the best position to assist you, and can be reached at http://volkswagen-abu-dhabi.com/en-vwme.html. #VWCares"/>
        <s v="@movargas24 Please DM us your VIN and email address and we’ll gladly reach out to you with more information. #VWCares"/>
        <s v="@movargas24 Good question, Moises. The answer can depend on which model VW you happen to have."/>
        <s v="@movargas24  Thank you, Moises. This message means it is time to bring your Passat into the dealer for service."/>
        <s v="@movargas24 We recommend scheduling a service appointment with your local VW dealership as soon as you can. #VWCares"/>
        <s v="@AntonZalutsky You’re welcome, Anton. Thanks for the love! Here’s to many more carefree miles to come! :) #VWCares"/>
        <s v="@liquidvw Congratulations, Dave! What an awesome milestone you and your VW have reached together!"/>
        <s v="@dane5000 We’re very sorry to hear this, Dane. Please reach out to us at http://vw.com/contact if there’s anything we can do to help."/>
        <s v="@richie7307 This is not the experience we want for our drivers. Please DM us your VIN and email address so we can look into this further."/>
        <s v="@liquidvw If you’d like, DM us your VIN and email address. We’d be happy to send you something to commemorate this achievement! #VWCares"/>
        <s v="@nashib We’re sorry to hear this. We see you’re contacting us from Canada. We recommend contacting @VWcanada for the best assistance."/>
        <s v="@hemsyberry13 We’re sorry to hear about this. If you’d’ like to share more, please DM us your VIN and email address, we’d be happy hear more"/>
        <s v="Use our VIN look up tool to find out if your 2.0L TDI is affected by the emissions issue. http://vwdieselinfo.com"/>
        <s v="@chelofthesea We’re sorry for any delay in getting back to you. You’re important to us, &amp; we see our colleague will reach out to you soon."/>
        <s v="@santos_wallace We’re sorry to hear this happened. If you’d like to share more of your experience, please DM us your email address."/>
        <s v="@HpGregory Thanks for your feedback, Gregory! We’ll be sure to take it into consideration for future designs. #VWCares"/>
        <s v="@JeanneTPA We’re sorry to hear this, Jeanne. Please DM us your VIN and email address so we can look further into your concerns. #VWCares"/>
        <s v="@DavisPhillips1 We want a better experience for you. Please DM us your VIN and email address and we’ll gladly reach out to you. #VWCares"/>
        <s v="@CharlieNeff This is not the kind of experience we want for you. Please DM us your VIN and email address and we’ll reach out to you #VWCares"/>
        <s v="@LL_Kane We are now following your account. Please DM us your email."/>
        <s v="@jacquetta74 We’re very sorry to hear about your experience. Please DM us your email address and VIN and we’ll reach out to you. #VWCares"/>
        <s v="@QiaoLiu89 We’re very sorry to hear about this. Please DM us your VIN and email address and we’ll be happy to reach out to you. #VWCares"/>
        <s v="@mp1s We want a better experience for you. Please DM us your VIN and email address and we’ll reach out to you. #VWCares"/>
        <s v="@DDelRio2013 We’re sorry to hear of your dissatisfaction. If there is anything we can do, please reach out to us at http://vw.com/contact"/>
        <s v="@jdhensleyi That is a great question, Jon, and we’d love to help. You can reach out to us at http://vw.com/contact for more information."/>
        <s v="@jtalapin We apologize for this experience, Josef. Please DM your VIN and email address and we’ll reach out to you to discuss your vehicle."/>
        <s v="@AngeliqueKenney When you’re able to, please DM us your VIN and email address so we can research your concerns further."/>
        <s v="@mac_yaa Great question! For the 2016 model year, all trim levels of the GTI will be compatible with Apple CarPlay. #VWCares"/>
        <s v="@mollari2261 We’re sorry to hear of your dissatisfaction. If you’d like to share more, please reach out to us at http://vw.com/contact"/>
        <s v="@MsCuppyKate We’re sorry to hear this is your experience. DM us your VIN and email address so we can look into this further."/>
        <s v="@pisatchos We’re sorry you’re having concerns with the radio in your Jetta. DM us your VIN and email address and we’ll reach out to you."/>
        <s v="@Bumpyknight Thank you for taking the time to reach out to us. We see one of our colleagues sent an email to you on 10/14/2015."/>
        <s v="@mikemattone  Please DM us your email address and VIN and we’ll gladly reach out to you. #VWCares"/>
        <s v="@mikemattone We’re very sorry to hear about your experience."/>
        <s v="@Bumpyknight We apologize for not meeting your expectations, and should you need anything in the future, please let us know."/>
        <s v="@Nicholas_Durso We’re sorry, Nick. The Golf SportWagen is only available with a manual transmission for the S trim level for gas engines."/>
        <s v="@ErgoSleuth We’re very sorry to hear about the concerns you’re having with your VW. Thank you for letting us know."/>
        <s v="@ErgoSleuth We see you’re already working with our colleagues at Customer CARE. They are in the best position to assist you. #VWCares"/>
        <s v="@ergosmac We see you’re already working with our colleagues at Customer CARE. They are in the best position to assist you. #VWCares"/>
        <s v="@ergosmac We’re very sorry to hear about the concerns you’re having with your VW. Thank you for letting us know."/>
        <s v="@TheRealJZT This is not the experience we want for you. Please DM us your VIN and email address so we can look into this further."/>
        <s v="@MK6Ivan This is not the experience we want for our drivers. Please DM us your VIN and email address so we can look into this further."/>
        <s v="@DavidBThomas We’re sorry to hear of your dissatisfaction. Please DM us your VIN and email address so we can look into this further."/>
        <s v="@pingoysays Your satisfaction is important to us. Please DM us your VIN and phone number, and we will make reaching out to you a priority."/>
        <s v="@IvanHH4L We’re sorry to hear of your discontent, and if there is anything we can do, please reach out to us at http://vw.com/contact"/>
        <s v="@bricknord We’re sorry this is your experience. We see one of our colleagues will be reaching out to you soon."/>
        <s v="@ausrutherford We've made a lot of great changes to the Passat for 2016! You can read about them here: http://media.vw.com/release/1091/. #VWCares"/>
        <s v="@timfelsky We've made a lot of cool changes to the Passat for 2016! You can read all about them at http://media.vw.com/release/1091/. #VWCares"/>
        <s v="@Blooongg24 If you’d like us to follow up, please DM us your VIN and email address, and we’d be happy to."/>
        <s v="@Blooongg24 We’re sorry this happened. We recommend taking your car to your local VW dealer."/>
        <s v="@killahwhalee We’re sorry this is happening. We recommend taking your Beetle to your local VW dealer to be checked out."/>
        <s v="@mac_yaa The MIB II system is only available for 2016 vehicles. The 2015 GTIs had the 1st gen MIB which is not compatible with CarPlay."/>
        <s v="@killahwhalee If you’d like us to follow up on your appointment, please DM us your VIN and email address, and we’d be happy to research."/>
        <s v="@JGra90 You can keep up to date about our features at our media site, http://media.vw.com"/>
        <s v="@JGra90 We appreciate your feedback, Jordan, and will take your suggestion into consideration in the future."/>
        <s v="@manzannna We want a world-class experience for you at our dealer, so we’re very sorry to hear yours did not meet our high expectations."/>
        <s v="@manzannna If there’s anything we can do to help, please DM us your VIN and email address and we’ll gladly reach out to you. #VWCares"/>
        <s v="@enasser97 We’re sorry you’re having concerns with your Jetta. We recommend bringing your vehicle to a VW dealership for a diagnosis."/>
        <s v="@enasser97 If you would like for us to follow up on your repair, please feel free to reach out to us at http://vw.com/contact. #VWCares"/>
        <s v="@IsleinDixie We’re delighted to hear this! If you’d like, DM us your email address and we’ll reach out to you to hear more. #VWCares"/>
        <s v="@blatzman We’re sorry to hear your MDI iPod connection is not working. DM us your VIN and email address so we can look into this further."/>
        <s v="@ChenaeKY28 We’re sorry this is your experience. DM us your VIN and email address so we can look into this further."/>
        <s v="@DANORIVERA This is not the kind of experience we want for you. Please DM your VIN and email address and we’ll reach out to you. #VWCares"/>
        <s v="@harvardx We’re sorry this happened, and we’d like to look into it further. DM us your VIN and email address so we can research more."/>
        <s v="@BigMoStriker We’re sorry to hear this happened. Please DM us your VIN and email address so we can look into this further."/>
        <s v="@dublinranch We’re very sorry about the concerns you’ve had with your GTI. This isn’t the experience we want for you."/>
        <s v="@dublinranch We see you’ve already worked with Customer CARE about your concerns and we regret we were unable to meet your expectations."/>
        <s v="@dublinranch If you would like to discuss your case further, please feel free to reach out to us again."/>
        <s v="@Danny24Calderon This is not the kind of experience we want for you. Please DM your VIN and email address and we’ll reach out to you."/>
        <s v="@Marchlover69 You’ve reached VW of America and we see you’re contacting us from outside the U.S."/>
        <s v="@Naughtron We would be happy to provide this info. Please DM us your email address and we’ll send it to you. #VWCares"/>
        <s v="@Marchlover69 We recommend contacting the VW branch in your region so you can get the best info possible. #VWCares"/>
        <s v="@IsleinDixie Thanks for the info. One of our colleagues will reach out to you soon."/>
        <s v="@DDelRio2013 Thank you for your phone number. One of our colleagues will reach out to you soon."/>
        <s v="@AngeliqueKenney We appreciate you taking the time to provide your info. One of our colleagues will reach out to you soon. #VWCares"/>
        <s v="@Icebox_75 We’re sorry to hear of your dissatisfaction. Please DM us your VIN and email address so we can look into this further."/>
        <s v="@mhapriso We’re sorry to hear this happened. If there is anything we can do to help, please reach out to us at http://vw.com/contact"/>
        <s v="@tifa2276 We’re sorry to hear this happened. Please DM us your VIN and email address so we can look into this further."/>
        <s v="@Beto_Gnzlz We’re sorry this is happening. DM us your VIN and email address, and we’re happy to look into this further."/>
        <s v="@preibischs We’re sorry for the inconvenience, Stephan. For U.S. models there is a keyhole under a plastic cap in the door handle."/>
        <s v="@preibischs Since you’re in Germany you may want to reach out to our colleagues there for the best possible information. #VWCares"/>
        <s v="@PaleRabbit Congratulations on reaching 100,000 miles in your VW! Here’s to many more happy miles on the road ahead! #VWCares"/>
        <s v="@AmeliaDeitz We’re very sorry to hear this, Amelia. Please DM your VIN and email address so we can research this further for you. #VWCares"/>
        <s v="@laurenxeli We’re very sorry to hear this, Lauren. If there’s anything we can do to help, please give us a call at 800-822-8987. #VWCares"/>
        <s v="@SaruskaCora We’re sorry to hear this. The answer to your question can depend on which model VW you have."/>
        <s v="@SaruskaCora If you’d like, DM us your VIN and email address and we’ll reach out to you with more info. #VWCares"/>
        <s v="@doinga55ina54 We’re sorry to hear about your GTI. Please DM us your VIN &amp; email address so we can research your concerns further #VWCares"/>
        <s v="@Christina_Coker We’re sorry to hear this, Christina. Please DM us your VIN and email address and we’ll research further for you. #VWCares"/>
        <s v="@timmyleow We’re very sorry to hear this, Timothy. Please DM us your email address and we’ll reach out to you with more info. #VWCares"/>
        <s v="@BRCush34 We recommend keeping in touch with your local VW dealer so you can be the first to know when they will arrive near you! #VWCares"/>
        <s v="@BRCush34 We’re glad you’re interested in the new Passat! They will begin to arrive at dealers in the late fall this year."/>
        <s v="@lunarvessel If there’s anything we can do to help, please feel free to reach out to us at 800-822-8987. We’re always listening. #VWCares"/>
        <s v="@lunarvessel We want every mile of your VW ownership to be easy and carefree, so we’re very sorry to hear about your experience."/>
        <s v="@BlackFishSLC We care about our drivers, and would like to look into this further. DM us your VIN and email so we can research more."/>
        <s v="@ChreeMills We’re very sorry for the inconvenience, Chris. Please DM us your VIN and email address and we’ll reach out to you. #VWCares"/>
        <s v="@smartinnj We are happy to find out how we can help. Please DM us your VIN and email address and we’ll reach out to you to learn more."/>
        <s v="@ORBF73 Should you need any assistance from us, please let us know. We’re happy to see what we can do."/>
        <s v="@ORBF73 We appreciate your loyalty. Your local VW dealer is in the best position to help you find the VWs you’re looking for."/>
        <s v="@RJohnson1992 Thank you so much for sharing your wonderful news with us, Rob! We love to hear from our drivers. #VWCares"/>
        <s v="@RJohnson1992 If you’d like to share your VIN and email address with us, we’d be happy to send you something to commemorate this occasion."/>
        <s v="@mountkynthos We’re sorry you’re facing concerns with your VW. Please DM us your VIN and email address, so we can look into this further."/>
        <s v="@cherbear_says We would be happy to hear more about your experience. Please DM your email address and we’ll reach out to you. #VWCares"/>
        <s v="@rebeccamg We’re sorry your VW shut off twice &amp; had to be towed. Please DM us your VIN and email address so we can look into this further."/>
        <s v="@AndiMunson We’re sorry to hear your dissatisfied. If you’d like to share more about what happened, please DM us your VIN and email."/>
        <s v="@NewtZlee We know it can be frustrating to face a repair so soon in your ownership and we’re sorry to hear about your concerns."/>
        <s v="@NewtZlee  We would be happy to find out how we can help. Please DM your VIN and email address and we’ll contact you to hear more. #VWCares"/>
        <s v="@sallyano22 We’re sorry to hear your Jetta is stalling. Please DM us your VIN and email so we can look into this further."/>
        <s v="@chris_weis It’s important that each VW service is both thorough and carefree. Please DM us your email address and we’ll reach out to you."/>
        <s v="@danieldeignan We would be glad to take a closer look at your concerns. Please DM us your VIN and email address and we’ll reach out to you."/>
        <s v="@landoncrane1 We’re big fans too! We’re sorry to say, we don’t currently have any @VfL_Wolfsburg merchandise for sale. #VWCares"/>
        <s v="@followtheparka Buying a new VW should be a fun and carefree experience, so we’re very sorry about the long wait at your dealership."/>
        <s v="@olivejuice2227 We’re happy to find out how we may be able to help. Please DM your email address and VIN and we’ll research further for you."/>
        <s v="@followtheparka If you’d like to tell us more about your experience, please give us a call at 800-822-8987. We’re always listening."/>
        <s v="@DJNeonBunny We’re sorry your time with your VW was less than ideal. If there is anything we can do, contact us at http://vw.com/contact."/>
        <s v="@smartinnj They are in the best position to assist you and answer any questions you may have going forward."/>
        <s v="@jeff_nieman We would be happy to get involved. Please DM us your VIN and email address and we’ll reach out to you. #VWCares"/>
        <s v="@ORBF73 We value your feedback, and are sorry you aren’t able to find the VW you wanted. We will take your comments into consideration."/>
        <s v="Owners of affected 2.0L TDI vehicles can sign up on http://vwdieselinfo.com to receive communications &amp; updates."/>
        <s v="@AyeeChristiancx We appreciate the love! We have no immediate plans to bring a VW Van to the States, but we will take it into consideration!"/>
        <s v="@BrennanDavies8 We’re very sorry to hear about your experience, Brennan. We want your service to be carefree."/>
        <s v="@kfishal We don’t yet have an official timeline for this vehicle. Stay tuned to http://media.vw.com for the latest news! #VWCares"/>
        <s v="@ForeTammy We would be happy to find out how we might be able to help. Please DM your email address and VIN and we’ll reach out to you."/>
        <s v="@AmrapaliAmbegao We appreciate the love, and we are sorry to hear your experience with Van Nuys was anything less than wonderful."/>
        <s v="@AmrapaliAmbegao If there is anything we can do to help, please DM us your VIN and email address."/>
        <s v="@JuiceLuhDaKids We hope for a carefree ownership experience for our drivers, and we’re sorry yours has been anything less than fantastic."/>
        <s v="@JuiceLuhDaKids Please DM us your VIN and email address so we can look into this further."/>
        <s v="@heatherchrr We’re sorry your time with the dealer wasn’t wonderful. Please DM your VIN and email address so we can look into this further."/>
        <s v="@RedMcCullars This is not the experience we want for you. Please DM us your VIN and email address so we can look into this further."/>
        <s v="@countyourbread We’re sorry to hear of your dissatisfaction. Please DM us your VIN and email address so we can look into this further."/>
        <s v="@nickcatelli If there’s anything we can do to help, please reach out to us at http://vw.com/contact. We’re always listening. #VWCares"/>
        <s v="@CJSportsRadio 2/2 We see you’re currently working with our colleagues at Customer CARE. They will be in the best position to assist you."/>
        <s v="@CJSportsRadio 1/2 We’re very sorry to hear you’re having concerns with your GLI, this isn’t the kind of experience we want for you."/>
        <s v="@danpolis We’re very sorry to hear this. Please DM us your VIN and email address so we can look further into your concerns. #VWCares"/>
        <s v="@weyerparker We’re sorry you’ve had concerns with your VW. Please give us a call at 800-822-8987 if there’s anything we can do to help."/>
        <s v="@MeganHuyghe 1/2 We know it isn’t fun to wait on the phone, so we’re very sorry for the inconvenience."/>
        <s v="@Law7869 1/2 We know this isn’t what you would expect with a new vehicle and we’re very sorry you’re having concerns with your GTI."/>
        <s v="@MeganHuyghe 2/2 If you would like, DM us your VIN and phone number and we can reach out to VW Credit on your behalf. #VWCares"/>
        <s v="@Law7869 2/2 We see you’re currently working with our colleagues at Customer CARE. They are in the best position to assist you. #VWCares"/>
        <s v="@fady_elsayed 1/2 We’re sorry to hear you’re facing transmission concerns. We regret we’re unable to give info on non-US specification cars"/>
        <s v="@fady_elsayed 2/2 Please contact our colleagues in Egypt at http://vw-eg.com for more assistance."/>
        <s v="@tia_DUH 2/2 If you’d like us to follow up with your appointment, please reach out to us at http://vw.com/contact"/>
        <s v="@tia_DUH 1/2 We’re sorry to hear you’re having concerns with your alternator. Your local VW dealer is in the best position to assist you."/>
        <s v="@doodle_zoey 2/2 Please DM us your email address and the VIN for your father’s Tiguan so we can research further for you. #VWCares"/>
        <s v="@doodle_zoey 1/2 We’re sorry to hear this. We appreciate your loyalty and want a better experience for your father."/>
        <s v="@Rosa_Yanez 2/2 We recommend reaching out to your local VW dealer directly to find out what your options are. #VWCares"/>
        <s v="@Rosa_Yanez 1/2 We’re sorry you’re having concerns with your Routan. Your dealership may charge a fee to diagnose your vehicle."/>
        <s v="@JosephAzam 1/2 We want your ownership to be easy and carefree, so we’re sorry for the inconvenience you have experienced."/>
        <s v="@JosephAzam 2/2 Our colleagues are currently researching your case and will follow up with you again soon. #VWCares"/>
        <s v="@jon_fullerton We’d like to look into this further. Please DM us your VIN and email address so we can research more."/>
        <s v="@SAFTDIVA @VW only services the US.  For issues in Canada please call 1-800-822-8987 #VWcares"/>
        <s v="@Jason_Ridener We’re sorry to hear of your strut concerns. If there’s anything we can do to help, reach out to us at http://vw.com/contact"/>
        <s v="@TheOtherHT5K We’re sorry for the inconvenience. DM us your VIN and email address, and we will have one of our colleagues reach out to you."/>
        <s v="@Bryllooo We’re very sorry for the inconvenience. Please give us a call at 800-822-8987 if you’d like to talk more about it. #VWCares"/>
        <s v="@Bryllooo We take the security of your vehicle very seriously, so we want to ensure that security is not jeopardized."/>
        <s v="@ginno875 We recommend taking your vehicle to a VW dealer for a diagnosis. They will be in the best position to assist you with a repair."/>
        <s v="@Skiptink We see you’re already working with our colleagues at Customer CARE. They will be in the best position to assist you. #VWCares"/>
        <s v="@Skiptink We want your ownership to be easy and carefree, so we’re very sorry to hear you’ve had to make so many trips to the dealer."/>
        <s v="@ginno875 If you’d like us to follow up on your appointment, please give us a call at 800-822-8987. We’re always happy to help. #VWCares"/>
        <s v="@lordbrs We would be glad to find out how we might be able to help. Please DM us your VIN and email address and we’ll reach out to you."/>
        <s v="@StregaHorn We’re very sorry to hear this happened to your brother. Please have him give us a call at 800-822-8987 so we can hear more."/>
        <s v="@StregaHorn Please feel free to reach out to us again if you have any additional questions or concerns. We’re always listening."/>
        <s v="@Tloutreach We see you were recently working with our colleagues and we regret we were unable to meet your expectations."/>
        <s v="@Tloutreach We want owning a VW to be something to smile about, so we’re very sorry to hear about your experience."/>
        <s v="@Tloutreach Please feel free to reach out to us again if you have any additional questions or concerns. We’re always listening."/>
        <s v="@josephljenkins Please DM us your VIN and email address and we’ll gladly reach out to you to find out more. #VWCares"/>
        <s v="@josephljenkins We’re sorry you’re having brake concerns with your Passat. We would be happy to find out how we might be able to help."/>
        <s v="@DrewNottAndrew This isn’t the experience we want for you. Please DM us your VIN and email address and we’ll reach out to you. #VWCares"/>
        <s v="@Zachdoogan We’re sorry you’re seeing a warning light so soon in your ownership. DM us your VIN and email and we’ll reach out to you."/>
        <s v="@stephen_shaffer We recommend scheduling a diagnosis with your local dealership to find out more."/>
        <s v="@benny275 We’re sorry to hear of your dissatisfaction. One of our colleagues will be reaching out to you soon."/>
        <s v="@stephen_shaffer If you’d like us to follow up on your appointment, please reach out to us at 800-822-8987. #VWCares"/>
        <s v="@liansonline We’re sorry about your GTI, Brian. Please DM us your VIN and email address and we’ll gladly reach out to you. #VWCares"/>
        <s v="@donkeykwon We would be happy to find out how we might be able to help. Please DM us your email address and we’ll reach out to you. #VWCares"/>
        <s v="@Toxicbill We would be happy to find out how we can help. Please DM us your VIN and email address and we’ll reach out to you. #VWCares"/>
        <s v="@Scallen514 We’re very sorry to hear about your experience, Scott. We would be happy to find out how we might be able to help."/>
        <s v="@benny275 Happy to hear that! Let us know if there is anything else we can do #VWcares"/>
        <s v="@marcellinit We want your ownership to be carefree so, we’re very sorry to hear that you’ve had these concerns with VW Credit."/>
        <s v="@marcellinit If you’d like to talk more about it, you can reach VCI at 800-428-4034. Our colleagues there would be happy to assist you."/>
        <s v="@TheRealJZT We would be happy to find out how we can help. Please DM your VIN and email address and we’ll reach out to you. #VWCares"/>
        <s v="@xotaylor55 If there’s anything we can do to help, please give us a call at 800-822-8987. We’re always listening and happy to help. #VWCares"/>
        <s v="@xotaylor55 We want a world-class experience for you at your dealer, so we’re sorry to hear yours was anything less than that."/>
        <s v="@Bryllooo We want your ownership experience to be carefree, so we’re very sorry to hear about the concerns you’ve had getting a key made."/>
        <s v="@Bryllooo We would like to find out what we might be able to do to help. Please DM your VIN and email address and we’ll reach out to you."/>
        <s v="@dgarces97 We’re sorry for the inconvenience, Diego. Please DM your VIN and email and we’ll reach out to you to find out how we can help."/>
        <s v="@ZootsAlures We’re glad you love your TDI! Your Passat has a timing belt which should be replaced every 130,000 miles. #VWCares"/>
        <s v="@m3zm0r1z0r We’re sorry your wife is having concerns with her Beetle so soon in her ownership. We’re happy to find out how we can help."/>
        <s v="@m3zm0r1z0r Please DM us your VIN and email address and we’ll gladly reach out to you to find out more. #VWCares"/>
        <s v="@JohnTruestar If there’s anything we can do to help, please give us a call at 800-822-8987. We’re always listening and happy to help."/>
        <s v="@JohnTruestar We want every experience with your dealership to be carefree, so we’re very sorry to hear this."/>
        <s v="@Prokthabo We’re very sorry to hear that this was your experience. Please DM your VIN and email and we’ll gladly reach out to you. #VWCares"/>
        <s v="@Jocelyn7Castro We’re very sorry you’ve had concerns with your GLI. Please DM us your email address and we’ll reach out to you. #VWCares"/>
        <s v="@DeepakF4i Your satisfaction is very important to us. Please DM us your VIN and Phone Number and we will make reaching out to you a priority"/>
        <s v="@GJBrizgys We would be glad to find out how we can help. Please DM your email address and we’ll reach out to you to find out more. #VWCares"/>
        <s v="@Kiki_Talks We would be glad to find out how we can help. Please DM your VIN and email address and we’ll contact you to hear more. #VWCares"/>
        <s v="@olhandley If you would like to discuss your vehicle further, please feel free to reach out to us again. We’re always listening."/>
        <s v="@olhandley We’re sorry about the concerns you’ve had with your radio and regret we did not meet your expectations from Customer CARE."/>
        <s v="@juliamarie9292 We’re very sorry you’re having concerns with your Eos so soon in your ownership. This isn’t the experience we want for you."/>
        <s v="@juliamarie9292 Please feel free to reach out to us again if you’d like to discuss your case further. We’re always listening. #VWCares"/>
        <s v="@juliamarie9292 We see you’ve already spoken with our colleagues at Customer CARE and we regret we were unable to meet your expectations."/>
        <s v="@Erick407A We’re sorry to hear about your experience. Please give us a call at 800-822-8987 if there’s anything we can do to help. #VWCares"/>
        <s v="@dustbeta We’re sorry we were unable to meet your expectations for these features. We’ll be sure to pass your comments along for review."/>
        <s v="@dustbeta If there’s anything we can do to assist you, please give us a call at 800-822-8987. We’re always happy to help! #VWCares"/>
        <s v="@ShootJoeC We’re sorry to see your Jetta’s wheel like this. If there’s anything we can do to help, please call us at 800-822-8987. #VWCares"/>
        <s v="@tls_46 We’re very sorry to hear this. Please DM your VIN and email and we’ll reach out to you to find out more. #VWCares"/>
        <s v="@kurthartwig We would be happy to find out how we can help make it better. Please DM your VIN and email address and we’ll reach out to you."/>
        <s v="@Kiki_Talks Thank you for providing us your information. One of our colleagues will reach out to you soon. #VWCares"/>
        <s v="@rivetingpics They are in the best position to assist you going forward. Feel free to reach out to us again if you have any questions."/>
        <s v="@rivetingpics We’re very sorry for the inconvenience. We see you recently chatted with us and are now working with our colleagues."/>
        <s v="@sarahryvre We recommend consulting your local VW dealership and your Owner’s Manual for more information. #VWCares"/>
        <s v="@sarahryvre Although we do not recommend using your vehicle for towing, it is still possible to install a trailer hitch."/>
        <s v="@Mr_Disneyland We’re sorry to hear about your disappointment. If you ever need anything in the future, please let us know. #VWCares"/>
        <s v="@Sour_Oneism We’d be happy to find out what we can do to help. Please DM us your email address and we’ll reach out to you. #VWCares"/>
        <s v="@Sour_Oneism We’re very sorry to hear you’re receiving unwanted phone calls about your GTI."/>
        <s v="@EastmanTiffany We’re sorry to hear you had bad experience. Please give us a call at 800-822-8987 if there’s anything we can do to help."/>
        <s v="@JDelveneri Please DM us your email address and VIN and we will be happy to research your concerns further. #VWCares"/>
        <s v="@JDelveneri We’re very sorry to hear about your experience. We would be happy to find out how we might be able to help."/>
        <s v="@opsmommy 1/3 Hello, Paula. Thank you for taking the time to reach out to us."/>
        <s v="@theekanes We see he is already working with our colleagues at Customer CARE. They are in the best position to help you with your vehicle."/>
        <s v="@theekanes We’re very sorry to hear about the concerns your husband is having with his Passat. We want a better experience for you."/>
        <s v="@fhmiv We’re sorry closing your sunroof by hand took so much work, Frank. We want owning your VW to be easy and carefree."/>
        <s v="@fhmiv If you’d like us to follow up on a repair at a VW dealership, please give us a call at 800-822-8987. We’re always happy to help!"/>
        <s v="@dolbeare14 We’re very sorry to hear this happened, we were experiencing technical issues with our phones earlier today."/>
        <s v="@dolbeare14 These concerns have since been resolved. If you’d like, DM us your VIN and email address and we’ll reach out to you. #VWCares"/>
        <s v="@BastardChef We’re sorry to hear you’re having concerns with your Golf R. We know it can be frustrating to be without your car."/>
        <s v="@BastardChef We would be happy to look into this further for you. Please DM your VIN and email address and we’ll reach out to you. #VWCares"/>
        <s v="@ZeeZeeee_ If you’d like us to follow up on your appointment, please reach out to us at http://vw.com/contact. #VWCares"/>
        <s v="@ZeeZeeee_ We recommend working with your local VW dealership for the best information about servicing your vehicle."/>
        <s v="@akohser We apologize that you have had concerns so soon in your ownership. We want a better experience for you."/>
        <s v="@NotoriousPIG22 We’re very sorry for the inconvenience, Jake. Please DM your VIN and email address and we’ll reach out to you. #VWCares"/>
        <s v="@ifollowonlyos We want every interaction with our brand to be carefree, so we’re very sorry to hear this was your experience."/>
        <s v="@scubafranky We’re very sorry for the inconvenience, Frank. If there’s anything we can do to help, please give us a call at 800-822-8987."/>
        <s v="@ifollowonlyos If you’d like, please DM us your email address and we’ll gladly reach out to you to hear more about what happened. #VWCares"/>
        <s v="@riaapolo If you would like, DM us your email address and we’ll reach out to you to hear more about it. #VWCares"/>
        <s v="@gagansaggar We’re sorry to hear you had concerns with your service experience. We want your ownership to be carefree."/>
        <s v="@gagansaggar We see you’re contacting us from outside the U.S. We recommend contacting the VW branch in your region for the best support."/>
        <s v="2.0L TDI Owners, we’re working hard to make things right. Visit http://vwdieselinfo.com/goodwill_package/… for more information."/>
        <s v="@TechRecruit4U We want your ownership to be carefree, so we’re sorry you’re having concerns with the windows in your VW. (1/2)"/>
        <s v="@MarkCox100 We would be happy to find out how we might be able to help. Please DM us your VIN and email address and we’ll reach out to you."/>
        <s v="@TheBaconDiaries We’re very sorry for the inconvenience, Kylie. Please DM us your email address and we’ll gladly reach out to you. #VWCares"/>
        <s v="@jamiedykes We want every visit to your dealership to be carefree, so we’re very sorry to hear about your experience."/>
        <s v="@teamDWA We’re very sorry to hear that you’re still experiencing a check engine light following your turbocharger repair."/>
        <s v="@jamiedykes We would be happy to find out how we might be able to help. Please DM us your VIN and email address and we’ll reach out to you."/>
        <s v="@teamDWA If you’d like, DM us your VIN and email address and we’ll gladly reach out to you. #VWCares"/>
        <s v="@robSanJr We want a world-class experience for you at your dealership. Please DM us your VIN and email address and we’ll reach out to you."/>
        <s v="@MelissaDayVB You can check for open recall campaigns at http://vw.com/content/vwcom/en/owners-recalls.html…. If you have any questions, give us a call at 800-822-8987."/>
        <s v="@slgoines1 We’re very sorry to hear about your Volkswagen and regret we were unable to meet your expectations."/>
        <s v="@slgoines1 If you have any additional questions or concerns, please feel free to reach out to us again at http://vw.com/contact."/>
        <s v="@alexahumada91 We’re very sorry to hear about your GTI. We recommend bringing your vehicle to your local VW dealership for a diagnosis."/>
        <s v="@alexahumada91 If you’d like us to follow up on your repairs, give us a call at 800-822-8987. We’re always listening! #VWCares"/>
        <s v="@Bmillerpgh Thank you for reaching out to us. You can contact our Customer CARE Center at http://vw.com/contact."/>
        <s v="@Bmillerpgh If it’s easier for you, you can DM us your email address and we’ll gladly reach out to you. #VWCares"/>
        <s v="@monikamartin We’re very sorry to hear you’re having concerns with your CC, Monika. We’re happy to find out how we might be able to help."/>
        <s v="@monikamartin Please DM us your VIN and email address and we’ll gladly reach out to you to find out more. #VWCares"/>
        <s v="@NickDelsignore Please give us a call at 800-822-8987 and we’ll be happy to talk about your vehicle. #VWCares"/>
        <s v="@NickDelsignore We want every mile to be another to smile about, so we’re very sorry to hear you’re having concerns with your VW."/>
        <s v="@MkhungoMan We’re very sorry to hear about your experience. Please DM us your VIN and email address and we’ll be happy to reach out you."/>
        <s v="@Zeitgeist33 We want every mile in your VW to be another to smile about, so we’re very sorry to hear about your experience."/>
        <s v="@Zeitgeist33 We see you’re already working with our colleagues at Customer CARE. They are in the best position to assist you."/>
        <s v="@shellblackley We recommend working with your local VW dealership about the best tires for winter driving in your Tiguan. #VWCares"/>
        <s v="@JayPichardo We’re sorry, Jay. We don’t yet have a release date for the Car-Net app compatible with the Apple Watch."/>
        <s v="@JayPichardo Keep up with http://media.vw.com for all the latest Volkswagen news! #VWCares"/>
        <s v="@ScreamnBanshee There are a wide variety of services performed at the 40k mile maintenance. This can vary depending on which VW you have."/>
        <s v="@MkhungoMan As we are only able to assist with U.S. vehicles and dealers, we recommend reaching out to the VW branch in your region."/>
        <s v="@ScreamnBanshee If you’d like, please DM us your VIN and email address and we’ll reach out to you with more information. #VWCares"/>
        <s v="@hauntedsunshine We’re very sorry to hear about your experience, Paige. If you’d like, DM us your VIN and email and we’ll reach out to you."/>
        <s v="@Tmackd We’re very sorry to hear that your experience turning in your lease has caused you to reconsider your relationship with Volkswagen."/>
        <s v="@Tmackd If there’s anything we can do to help. Please give us a call at 800-822-8987. We’re always listening. #VWCares"/>
        <s v="@DBessLady We’re very sorry we were unable to meet your expectations. Please reach out to us again if you have any additional questions."/>
        <s v="@tfcatfan20 We would be happy to find out how we might be able to help. DM your VIN and email address and we’ll gladly reach out to you."/>
        <s v="@Bmillerpgh We’re very sorry for the delay, Brent. One of our colleagues will be reaching out to you soon about your concerns. #VWCares"/>
        <s v="@akohser They are in the best position to assist you with the concerns you’re having with your vehicle. #VWCares"/>
        <s v="@akohser We want to help make your experience better. We see you’re currently working with our colleagues at Customer CARE."/>
        <s v="@jonjon29506 Thank you for reaching out to us, Jonathan. We would be happy to reach out to you to talk about your Passat."/>
        <s v="@xotaylor55 We would be happy to find out how we can help. Please DM your VIN and email address and we’ll reach out to you. #VWCares"/>
        <s v="@jonjon29506 Please DM us your VIN and email address and we’ll make contacting you a priority. #VWCares"/>
        <s v="@52isoblue You’re welcome, Marianne. We are truly relieved to know that you and your dogs made it out safely. Accidents can be very scary."/>
        <s v="@faggleton We’re sorry for the inconvenience. We recommend contacting your local VW dealership to obtain the tool you’re looking for."/>
        <s v="@52isoblue If you’d like to share more about what happened. Please feel free to reach out to us at http://vw.com/contact. #VWCares"/>
        <s v="@faggleton If there’s anything we can do to assist you, please feel free to give us a call at 800-822-8987. #VWCares"/>
        <s v="@dmitry_h We see you recently spoke with our colleagues and we regret we were unable to meet your expectations."/>
        <s v="@dmitry_h We’re very sorry to hear that you’ve had concerns with your VW. We know it can be frustrating to face such an expensive repair."/>
        <s v="@dmitry_h Please feel free to reach out to us again if you have any additional questions or concerns. We’re always listening."/>
        <s v="@EdwardjohnM We’re very sorry to hear about your experience, Eddie. We would be happy to find out how we can help."/>
        <s v="@bnekic If you have any additional questions, please feel free to reach out to us again. We’re always listening."/>
        <s v="@EdwardjohnM If you’d like, please DM us your email address and VIN and we’ll gladly reach out to you to hear more. #VWCares"/>
        <s v="@rivetingpics We’re very sorry we were unable to meet your expectations, Lisa. Please reach out to us if you have any further questions."/>
        <s v="@ruizman1986 We’re sorry you’re having concerns with your VW and would be happy to research further for you."/>
        <s v="@ruizman1986 Please DM us your VIN and email address and we’ll be glad to take a closer look at your concerns. #VWCares"/>
        <s v="@driq12 If you’d like us to follow up on your appointment, please feel free to give us a call at 800-822-8987. #VWCares"/>
        <s v="@driq12 We’re very sorry to hear you’re having concerns with your VW. We recommend bringing your car to a VW dealership for diagnosis."/>
        <s v="@jbnlbnbb3 Please DM us your VIN and email address and one of our colleagues will reach out to you as soon as possible #VWCares"/>
        <s v="@jbnlbnbb3 We're sorry to hear of that, Janet. We would like to get some more info from you to look further into this."/>
        <s v="@Thony_Diperte Sorry about your experience at the dealer. Please let us know if there's anything we can do to help http://vw.com/contact"/>
        <s v="@w5xvham We would be happy to research your concerns further. Please DM us your VIN and email address and we’ll reach out to you. #VWCares"/>
        <s v="@AlexEee_ We're sorry to hear of your wait time. If there's anything we can do to help, please reach out to us at http://vw.com/contact/"/>
        <s v="@alexiscbcs We see one of our colleagues has been researching your case. They would be in the best position to assist you further."/>
        <s v="@alexiscbcs We want your ownership experience to be carefree and easy. We're sorry this hasn't been the case for you."/>
        <s v="@DavisR_T If you’d like to discuss your vehicle in more detail, please feel free to give us a call at 800-822-8987. #VWCares"/>
        <s v="@DavisR_T It’s important that owning a VW is something to smile about, so we’re very sorry you’ve been having concerns with your Passat TDI."/>
        <s v="@JustinSummerlin We see you’ve been working with our colleagues at CARE. They will be in the best position to help answer your questions."/>
        <s v="@JustinSummerlin We’re very sorry to hear that you have had concerns with your GTI so soon in your ownership."/>
        <s v="@stormie_t We’re very sorry for the inconvenience. If there’s anything we can do to help, please give us a call at 800-822-8987. #VWCares"/>
        <s v="@tfcatfan20 We’re very sorry for the delayed reply. If there’s anything we can do to help, please DM your VIN and we’ll reach out to you."/>
        <s v="@w5xvham Thank you for the info. One of our colleagues will reach out to you soon."/>
        <s v="@ruizman1986 We regret that we were unable to meet your expectations. If you have any additional questions, please reach out to us again."/>
        <s v="@nathanyoung96 Your 40k maintenance includes more involved services which require more time and labor to complete than other maintenances."/>
        <s v="@nathanyoung96 This maintenance is important for the health of your vehicle, so we’re glad you took the time have it performed #VWCares"/>
        <s v="@cappuccinoxpink We want your experience to be carefree. If there’s anything we can do to help, please give us a call at 800-822-8987."/>
        <s v="@lukesand We'd like to look further into this for you. Please DM us your VIN and email and one of our colleagues will reach out #VWcares"/>
        <s v="@Lumbardh We recommend working with your local VW dealership for assistance with your Jetta. They are in the best position to help."/>
        <s v="@Lumbardh If you’d like for us to follow up on your appointment, please give us a call at 800-822-8987. #VWCares"/>
        <s v="@Official_Ang Please DM us your VIN and email and we can send you something to commemorate such a great achievement! #VWCares"/>
        <s v="@Official_Ang We're so glad to hear your Jetta Sportwagen has been great to you throughout all those miles! We appreciate the pic!"/>
        <s v="@kurthartwig We’d be happy to find out how we might be able to help. Please DM us your VIN and email address and we’ll reach out to you."/>
        <s v="@Jmd1033 This isn’t the experience we envisioned for you. Please DM us your VIN and email so we can see how we might be able to help."/>
        <s v="@VictoriaBabun We’d like to see how we can help. Please DM us your VIN and email so we can reach out to you."/>
        <s v="@schwartz1375 We’re sorry to hear about your experience. If there’s anything we can do to help, please give us a call at 800-822-8987."/>
        <s v="@ChrisEJay We are very sorry to hear this was your experience. Please DM your VIN and email address and we’ll reach out to you. #VWCares"/>
        <s v="@glennstrachan We'd like to hear more about what's going on, Glenn. Please DM us your VIN and email so we can reach out to you. #VWCares"/>
        <s v="@slowbikesociety We would be happy to see how we might be able to help. Please DM your VIN and email address and we’ll reach out to you."/>
        <s v="@joescialfa Please DM us your VIN and email address and we’ll gladly reach out to you about your experience. #VWCares"/>
        <s v="@joescialfa We’re very sorry to hear about your Passat TDI and are happy to find out how we might be able to help."/>
        <s v="@BriexZee We're sorry to hear about this and hope you're doing all right! If there's anything we can do to help, call us at 800-822-8987."/>
        <s v="@FunkmasterKicks You can reach us here: http://vw.com/contact/"/>
        <s v="@ccopeland04 If there's anything we can do to help with the headlights, please DM us your VIN and email address and we'll reach out #VWCares"/>
        <s v="@ccopeland04 We're sorry to hear of the frustration, Connie. That's the last thing we want for our drivers when owning a VW."/>
        <s v="@Christi6 We want the holidays to be a special time for our drivers and we're sorry to hear of this."/>
        <s v="@Christi6 We recommend continuing to work with VW Credit on this. Please let us know if there's anything else we can do to help #VWCares"/>
        <s v="@needleonwax Thanks for letting us know! Can you DM us your email and the VW you're looking at? We can send over the trim info for you."/>
        <s v="@IamSuperFrankie If there's anything we can do to do assist, please DM us your VIN and email address and we will follow up soon #VWCares"/>
        <s v="@IamSuperFrankie We want a pleasurable experience at the dealer and we're sorry that wasn't the case for you."/>
        <s v="@k_hurley8 If you’d like, DM us her VIN and email address and we’ll gladly reach out to her to find out how we can help. #VWCares"/>
        <s v="@k_hurley8 We want a world-class experience for our drivers at their dealers, so we’re sorry to hear your Aunt’s visit was anything less."/>
        <s v="@GiiLLY_PoP We would love the opportunity to look further into this for you. Please DM us your VIN and email address and we'll follow up."/>
        <s v="@justmemonkey We're sorry to hear about your Tiguan's headliner! If there's anything we can do to help, please call us at 800-822-8987."/>
        <s v="@MandaJCollins After researching your VIN, we suggest continuing to work with the Region Case Manager. If we can help further, let us know."/>
        <s v="@ChenaeKY28 We were able to look further into your concerns and we apologize that we were unable to meet your expectations at this time."/>
        <s v="@TylerFriedrich_ We'd like to hear more about what's going on. Please DM us your VIN and email so we can reach out to you. #VWCares"/>
        <s v="@IanSweetser We're here to help! Please DM us your VIN and email address and we’ll look deeper into this for you."/>
        <s v="@son_adam72 Please DM us your VIN, email address, and current mileage and we can start to research this for you. (2/2)"/>
        <s v="@Buck_Lao We’re sorry you’re having concerns with your VW. We recommend having your local VW dealer perform a diagnosis on your vehicle. (1/"/>
        <s v="@son_adam72 We're sorry to hear of your recent experiences with your Tiguan. We look for every opportunity to assist when we can. (1/2)"/>
        <s v="@Buck_Lao If you’d like us to follow up on your appointment, feel free to give us a call at 800-822-8987. #VWCares"/>
        <s v="@Santinelli This isn't the ownership experience we hoped for you! Please DM us your VIN and email so we can see how we can help. #VWCares"/>
        <s v="@loganthefirst We’re glad you’re excited about the e-Golf! We regret we don’t yet have a timeline for its release to Colorado, though. (1/2)"/>
        <s v="@loganthefirst You can stay up to date on all the latest news at http://media.vw.com. When the news comes, it will appear there first!"/>
        <s v="@Shawnvelopes We'd like to hear more about what's happening, Shawn. Please DM us your VIN and email so we can reach out to you. #VWCares"/>
        <s v="@ESnow4th We'd like to see how we can help! Please DM us your VIN and email so we can reach out to you. #VWCares"/>
        <s v="@Shawnvelopes Thanks for your info! One of our colleagues will be in touch soon."/>
        <s v="@CSUDA05 We would be happy to find out how we can help. Please DM your VIN and email address and we’ll gladly reach out to you. #VWCares"/>
        <s v="@Jenz_GolfR We can certainly see why you’d like active air filtration in your Golf R, keeping your cabin smelling fresh isn’t always easy!"/>
        <s v="@Jenz_GolfR We recommend working with your local VW dealership. They will be in the best position let you know if this would be possible."/>
        <s v="@B_Hernandez23 We want your Jetta ownership to be something to smile about! If there's any way we can help, please call us at 800-822-8987."/>
        <s v="@drty_130 We're sorry about the delay and we'd like to look further into this. Please DM us your VIN and email address for us to research."/>
        <s v="@KnoetzeMartie We're sorry to hear you're having concerns, Martie."/>
        <s v="@_Mikedaniel Please DM us your VIN and email address and one of our colleagues will reach out to you as soon as possible #VWCares"/>
        <s v="@_Mikedaniel We're sorry for the delay in getting back to you. We can definitely check further into this for you."/>
        <s v="@KnoetzeMartie Please reach out to our friends in #NewZealand at http://volkswagen.co.nz/contact. They'll be glad to help!"/>
        <s v="@missjadelily Adulthood does have its advantages! Congrats on your new #Tiguan! If you have questions, let us know at 800-822-8987."/>
        <s v="@jen_knits We would be happy to find out how we might be able to help. DM your VIN and email address and we’ll gladly reach out to you."/>
        <s v="@jen_knits We want your ownership to be carefree, so we’re very sorry to hear you’re having concerns with your Jetta."/>
        <s v="@vRoxz22 We’re sorry to hear about your experience. If there’s anything we can do to help, please give us a call at 800-822-8987. #VWCares"/>
        <s v="@rocket644 It’s important that your ownership is carefree, so we’re sorry to hear you’re having concerns with the Bluetooth in your Passat."/>
        <s v="@Joncacosta We'd like to find out more. Please DM us your VIN and email so we can reach out to you."/>
        <s v="@P0LARIS7 Thanks for the love, Marcelo! We're thrilled you're enjoying your Jetta and wish you many happy miles! #VWDubLove"/>
        <s v="@Awwatchdog1 A new bus sounds great, but we don't have any confirmed plans right now."/>
        <s v="@kvancil We’re glad you like the heated seats. When it’s cold, you do deserve it! Stay warm and happy driving! #VWCares"/>
        <s v="@Awwatchdog1 You can keep up with any VW news and vehicle releases at http://media.vw.com"/>
        <s v="@CarlSorvino We’re sorry to hear about the repairs needed. If there’s anything we can do, let us know! http://vw.com/contact #VWCares"/>
        <s v="@backdoorcurve We'd like to hear more about what happened. Please DM us your VIN and email so we can see how we might be able to help."/>
        <s v="@DLicorice We want a better experience for you as a driver. Please let us know if we can help out. http://vw.com/contact #VWCares"/>
        <s v="@NJ_Dubbin We checked our DriverGear site, and it looks like the sweater is not available."/>
        <s v="@Jmd1033 We're sorry we were unable to meet your expectations, Jon. If you have any further questions, we hope you will reach out to us."/>
        <s v="@SheLaughsBlog  If you’d like us to follow up on your repairs, please feel free to give us a call at 800-822-8987. #VWCares"/>
        <s v="@SheLaughsBlog We’re sorry to hear you’re having concerns with your Routan, Sarah. We recommend bringing it to a VW dealer for a diagnosis."/>
        <s v="@NJ_Dubbin We wish you luck finding it, and hope you’ll let us know when you do!"/>
        <s v="@PhishSchaefer Please DM us your VIN and email address so one of our colleagues can reach out and look further into this for you. #VWCares"/>
        <s v="@PhishSchaefer Our goal is to have a pleasant, carefree experience at our dealers so we're sorry to hear that wasn't the case for you."/>
        <s v="@son_adam72 Hi Adam! You can reply to this message with your VIN, email address, and specifics. One of our colleagues will reach out soon."/>
        <s v="@Bandonker We’re very sorry to hear about your experience, Andrew. DM us your email address and we’ll gladly reach out to you. #VWCares"/>
        <s v="@MsHoughton We're sorry to hear of the concerns with your Beetle. Please let us know if we can help! http://vw.com/contact"/>
        <s v="@Missit420 We appreciate your feedback and are sorry you’re having concerns with the MDI cable for your Passat."/>
        <s v="@Missit420 We recommend working with your local VW dealership to ensure everything is functioning the way it was designed. #VWCares"/>
        <s v="@DouglasRayworth It’s important that your ownership is carefree, so we’re sorry you’re having concerns with the radio in your Jetta TDI."/>
        <s v="@DouglasRayworth If you’d like to discuss your vehicle in more detail, please feel free to give us a call at 800-822-8987. #VWCares"/>
        <s v="@heldiehelder We're sorry to hear of this. Please DM us your VIN and email address so we can look further into it."/>
        <s v="@son_adam72 Thank you for your additional information. One of our colleagues will be reaching out to you soon."/>
        <s v="@sjschnick1 We'd love to help! Please DM us your VIN and email address and one of our colleagues will reach out with the next steps #VWCares"/>
        <s v="@MandaJCollins We're sorry we weren't able to meet your expectations, Amanda. If you have any other questions, we hope you'll reach out."/>
        <s v="@stulipper We'd like to see how we can help you with this! Please give us a call at 800-822-8987."/>
        <s v="@LizzyLizzyLiz23 We're excited that you're loving your VW! If you have questions, we're here to help. Call us at 800-822-8987."/>
        <s v="@Norbyboo We'd like to learn more about what's happened. Please DM us your VIN and email so we can reach out to you. #VWCares"/>
        <s v="@hellomrbungle Congrats on your #VWGTI! We'd love to see how we can help with this. Please DM us your VIN and email so we can look into it."/>
        <s v="@Phonic Please DM us your VIN, email address, and a little more information and one of our colleagues will reach out soon #VWCares"/>
        <s v="@Phonic We're sorry to hear of this and would like to look further into it to see how we might be able to help."/>
        <s v="@brettewarner We're sorry to hear of the issues with your Jetta. Please DM us your VIN and email so we can see how we might be able to help."/>
        <s v="@PapaBearMunoz We are very sorry to hear this was your experience. Please DM us your email address and we’ll reach out to you. #VWCares"/>
        <s v="@actsleazy You're welcome! We love your Jetta too! If you ever have questions, please let us know at 800-822-8987."/>
        <s v="@Sigroy We would be happy to find out how we might be able to help. Please DM your VIN and email address and we’ll gladly reach out to you."/>
        <s v="@Missit420 Thank you for the additional info. Please DM us your VIN and email address and we’ll be happy to research further for you."/>
        <s v="@the_real_ddd We would be happy to research your concerns further. Please DM your VIN and email address and we’ll reach out to you #VWCares"/>
        <s v="@Sharif_Shaalan We want nothing but a carefree ownership experience so we're sorry to hear of a repair needed early in the life of your VW."/>
        <s v="@Sharif_Shaalan Please DM us your VIN and email address so we can find out how we might be able to help. #VWCares"/>
        <s v="@MichaelEatsSF We want owning a VW to be something to smile about, so we’re very sorry you’ve had concerns with the radio in your Jetta."/>
        <s v="@NeilSnell We'd like to hear more about what's happened. Please DM us your VIN and email so we can reach out to you. #VWCares"/>
        <s v="@MichaelEatsSF Please DM us your VIN and email address and we’ll gladly reach out to you. #VWCares"/>
        <s v="@MsDesiNicole We are very sorry to hear about your experience. Please DM your VIN and email address and we’ll reach out to you. #VWCares"/>
        <s v="@GreenMtnCloud We'd like to see how we might be able to help. Please DM us your VIN and email address so we can get in touch. #VWCares"/>
        <s v="@CardiacCrusher We want the best for you at our dealers so we're sorry to hear of this. We'd like to look further into this for you."/>
        <s v="@bellaaarose We want your VW in the best hands possible so we recommend having a VW dealer take a look at it."/>
        <s v="@bellaaarose Please DM us your email and VIN so we can look into how we might be able to help #VWCares"/>
        <s v="@niki_green We apologize that you are having concerns with your Golf R. We recommend working with your VW dealer to find out more."/>
        <s v="@ColinWatts14 We're sorry to hear about your lights. The best place for your VW is at the dealership. Find one at http://vw.com/find-a-dealer"/>
        <s v="@niki_green If you’d like for us to follow up on your appointment, feel free to give us a call at 800-822-8987. #VWCares"/>
        <s v="@davebacci We see you're working with our Customer Care team. They'll be reaching out to you soon. Let us know if there's anything else."/>
        <s v="@ESnow4th Thanks for the #VDubLove, Ed! We're thrilled you're enjoying your Golf! If you have questions, let us know; we're happy to help."/>
        <s v="@Shawnvelopes We're sorry to hear about your GTI. Our Region Case Manager team will be reaching out to you to discuss any updates."/>
        <s v="@wise_marcia We're sorry we weren't able to meet your expectations this time. Please let us know if there's anything in the future."/>
        <s v="@PhishSchaefer We’re happy to hear that we’re working on this for you. Please reach out if there’s anything else in the future. #VWCares"/>
        <s v="@_cynthialoyolaa We're sorry to hear of the noise that's going on with your VW. We want your VW in the best hands so that would be a dealer."/>
        <s v="@_cynthialoyolaa Please DM us your VIN and email address if there's anything we can do to assist after your dealer appointment #VWCares"/>
        <s v="@StrutnWuf Thanks for the heads up! We are currently working on it and should be back up soon."/>
        <s v="@gotLUCHEii_iiDO Sorry to hear of your issues with your VW. Please DM us your VIN and email address if there's anything we can do to help."/>
        <s v="@KeithGiglio We are very sorry to hear about your concerns and would be happy to find out how we might be able to help."/>
        <s v="@KeithGiglio Please DM us your VIN and email address and we’ll gladly reach out to you to hear more. #VWCares"/>
        <s v="@cryptokiely We’re sorry to hear about your concerns. If there’s anything we can do to help, please give us a call at 800-822-8987. #VWCares"/>
        <s v="@Technolomen We're sorry to hear of this. Please reach out to us if there's anything we can do to help http://vw.com/contact"/>
        <s v="@PaulFromChicago We'd like to look further into this for you. Please DM us your VIN and email address and we will reach out for more info."/>
        <s v="@blitchiz We're so glad to hear that you're okay! Thanks for sharing with us. If you'd like to tell us more, please reach out to us #VWCares"/>
        <s v="@HCIDME We're here to help! Please let us know if there's anything we can do. #VWCares"/>
        <s v="@HpGregory We'd like to look further into this for you. Can you DM us your VIN and email address so we can reach out?"/>
        <s v="@robertltotten We want a better experience for you as a VW driver and we're here to help! Please let us know if there's anything we can do."/>
        <s v="@EastCoastGeo Since your financial information is kept protected, we recommend that you continue to work with VW Credit."/>
        <s v="@EastCoastGeo We sincerely apologize for the inconvenience you have experienced trying to obtain your title from VW Credit."/>
        <s v="@EastCoastGeo We know how important it is to be with your family for the holidays and we want you to be there with them too."/>
        <s v="@BJSmithStrategy We’re very sorry for the inconvenience and would be happy to find out how we can help."/>
        <s v="@runcnc7 We’re sorry to hear about your VW and would be happy to find out how we might be able to help."/>
        <s v="@BJSmithStrategy Please DM us your VIN and email address and we’ll gladly reach out to you. #VWCares"/>
        <s v="@runcnc7 Please DM us your VIN and email address and we’ll gladly reach out to you. #VWCares"/>
        <s v="@raneycat We’re sorry to hear about this, and would like to look into it further. Please DM us your VIN and email so we get in touch."/>
        <s v="@BJSmithStrategy We're glad the dealer was able to help. Please give us a call at 800-822-8987 if you have any additional questions #VWCares"/>
        <s v="@InkM3Out We look for every opportunity to help our drivers. Please DM us your VIN and email so we can see look into this #VWCares"/>
        <s v="@zoe_ann35 We’d love to help! Check out http://vw.com/contact where you can Live Chat with us or give us a call 1-800-822-8987"/>
        <s v="@zoe_ann35 We can go over all of the features with you and see what we can do to help. #VWCares"/>
        <s v="@PS3GAMER1997 We’d love to help! Check out http://vw.com/contact. It provides our live chat, phone number, and a place to leave a message."/>
        <s v="@aaronjblack90 If it is easier for you, we're available over Live Chat  at http://vw.com 7 days a week. #VWCares"/>
        <s v="@aaronjblack90 We’re very sorry for the inconvenience. If you have any additional questions, please feel free to reach out to us again."/>
        <s v="@20Facts We’d like to look further into this to see how we might be able to help. Please DM us your VIN and email and we will reach out."/>
        <s v="@cswanger The parts department at your local dealer would be able to see what’s possible for your Jetta. http://vw.com/find-a-dealer"/>
        <s v="@20Facts We want a pleasurable experience when working with the dealership so we’re sorry to hear you’ve had anything but that."/>
        <s v="@Itaryn1 We’re sorry to hear of the issues you’ve been experiencing. We’d like to look further into this to see how we might be able to help"/>
        <s v="@NJ_Dubbin One of our colleagues will be reaching out to you shortly with the next steps. #VWCares"/>
        <s v="@NJ_Dubbin We’re sorry to hear of your touchscreen. We want to look further into this to see how we can help."/>
        <s v="@Itaryn1 Please DM us your VIN and email address and we will reach out to you soon. #VWCares"/>
        <s v="@ptorgus We would like to find out how we might be able to help. Please DM us your VIN and email address and we’ll gladly reach out to you."/>
        <s v="@JHightman We’re very sorry for the inconvenience. Please DM us your email address and we’ll gladly reach out to you to hear more. #VWCares"/>
        <s v="@GrandyManFTW21 This isn’t what we hoped for you, and we’d like to hear more. Please DM us your VIN and email so we can reach out."/>
        <s v="@cswanger You can also try our http://parts.vw.com site. We recommend the dealer so they can confirm the correct part number for you."/>
        <s v="@NJ_Dubbin Okay great to hear it's back up! Please let us know if there's anything else we can assist with in the future."/>
        <s v="@bonchristian0 Head over to http://vw.com/contact and there's a button for LIVE CHAT on the top right of the page #VWCares"/>
        <s v="@JamesFreePBX We’d like to see how we might be able to help. Please DM us your VIN and email address and a colleague of ours will reach out."/>
        <s v="@alleycats4u We would be happy to research your concerns further. If you’d like, DM your VIN and email address and we’ll reach out to you."/>
        <s v="@OohSusieQ Congrats, Susie! We’re excited to have you join the VW family! If you have questions, give us a call at 800-822-8987."/>
        <s v="@will_VS_chris We’d like to hear more about what’s happening. Please DM us your VIN and email so we can get in touch. #VWCares"/>
        <s v="@ospunx We’d like to look further into this to see how we could help. Please DM us your VIN and email address and we’ll follow up. #VWCares"/>
        <s v="@aaronjblack90 We see you’ve already spoken with our colleagues about your concerns and we regret we were unable to meet your expectations."/>
        <s v="@aaronjblack90 Please feel free to reach out to us again if you’d like to discuss your case further. We’re always listening."/>
        <s v="@PS3GAMER1997 Cool pic, Will! Thanks for sharing! #VWCares"/>
        <s v="@katiek485 We’re glad to hear it, Kate! Congratulations and happy driving! #VWCares"/>
        <s v="@dnp1015 We see you’re working with our Customer Care team. We’ll be reaching out to you today to talk more."/>
        <s v="@dnp1015 In the meantime, if you questions, please call us at 800-822-8987."/>
        <s v="@the_gar_spot Thanks for reaching out to us; we appreciate your feedback! If you’d like to talk more, please give us a call at 800-822-8987."/>
        <s v="@CornelivsW This indicator usually means it is time for service. We recommend making an appointment with your local VW dealership. #VWCares"/>
        <s v="@DAmaya1012 Congratulations on your achievement, David! We’d love to send you something to commemorate the occasion."/>
        <s v="@DAmaya1012 DM us your email address and we’ll gladly reach out to you to make it happen. #VWCares"/>
        <s v="@CarolGuttery We’re sorry to hear of that. Try http://vw.com/contact and you can Live Chat with us right away or even drop us an email."/>
        <s v="@IamSuperFrankie We’re sorry to hear this happened. You can reach out to VW Credit at 800-428-4034. They will be happy to assist you."/>
        <s v="@alleycats4u Thank you, Stephanie. One of our colleagues will reach out to you soon."/>
        <s v="@CornelivsW Good question! The numbers indicate how far you have to go until it’s time for your service. #VWCares"/>
        <s v="@TheRhysma We always look for ways to help our drivers. Please DM us your VIN and email address so we can look further into this #VWCares"/>
        <s v="@CassieHannon Thanks for getting in touch, Cassie! You can find contact info at http://media.vw.com/contacts.htm."/>
      </sharedItems>
    </cacheField>
    <cacheField name="created_at" numFmtId="0">
      <sharedItems/>
    </cacheField>
    <cacheField name="Discretised Date (Period)" numFmtId="0">
      <sharedItems count="2">
        <s v="Before Crisis"/>
        <s v="During Crisis"/>
      </sharedItems>
    </cacheField>
    <cacheField name="Date posted" numFmtId="14">
      <sharedItems containsSemiMixedTypes="0" containsNonDate="0" containsDate="1" containsString="0" minDate="2015-06-18T00:00:00" maxDate="2015-12-17T00:00:00" count="149"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8T00:00:00"/>
        <d v="2015-07-29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4T00:00:00"/>
        <d v="2015-08-25T00:00:00"/>
        <d v="2015-08-26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7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1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</sharedItems>
      <fieldGroup par="21"/>
    </cacheField>
    <cacheField name="Time posted" numFmtId="0">
      <sharedItems/>
    </cacheField>
    <cacheField name="Discretised Timing" numFmtId="0">
      <sharedItems count="5">
        <s v="Mid-day"/>
        <s v="Evening"/>
        <s v="Morning"/>
        <s v="Afternoon"/>
        <s v="Early morning"/>
      </sharedItems>
    </cacheField>
    <cacheField name="reply_to" numFmtId="0">
      <sharedItems/>
    </cacheField>
    <cacheField name="retweet_from" numFmtId="0">
      <sharedItems/>
    </cacheField>
    <cacheField name="like_count" numFmtId="0">
      <sharedItems containsSemiMixedTypes="0" containsString="0" containsNumber="1" containsInteger="1" minValue="0" maxValue="641"/>
    </cacheField>
    <cacheField name="reply_count" numFmtId="0">
      <sharedItems containsSemiMixedTypes="0" containsString="0" containsNumber="1" containsInteger="1" minValue="0" maxValue="304"/>
    </cacheField>
    <cacheField name="retweet_count" numFmtId="0">
      <sharedItems containsSemiMixedTypes="0" containsString="0" containsNumber="1" containsInteger="1" minValue="0" maxValue="486"/>
    </cacheField>
    <cacheField name="Total engagement" numFmtId="0">
      <sharedItems containsSemiMixedTypes="0" containsString="0" containsNumber="1" containsInteger="1" minValue="0" maxValue="1431"/>
    </cacheField>
    <cacheField name="Engagement Level" numFmtId="0">
      <sharedItems/>
    </cacheField>
    <cacheField name="photo" numFmtId="0">
      <sharedItems/>
    </cacheField>
    <cacheField name="video" numFmtId="0">
      <sharedItems/>
    </cacheField>
    <cacheField name="link" numFmtId="0">
      <sharedItems/>
    </cacheField>
    <cacheField name="Media Type" numFmtId="0">
      <sharedItems count="4">
        <s v="Text only"/>
        <s v="Photo"/>
        <s v="Video"/>
        <s v="Link"/>
      </sharedItems>
    </cacheField>
    <cacheField name="Days (Date posted)" numFmtId="0" databaseField="0">
      <fieldGroup base="6">
        <rangePr groupBy="days" startDate="2015-06-18T00:00:00" endDate="2015-12-17T00:00:00"/>
        <groupItems count="368">
          <s v="&lt;18/6/201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7/12/2015"/>
        </groupItems>
      </fieldGroup>
    </cacheField>
    <cacheField name="Months (Date posted)" numFmtId="0" databaseField="0">
      <fieldGroup base="6">
        <rangePr groupBy="months" startDate="2015-06-18T00:00:00" endDate="2015-12-17T00:00:00"/>
        <groupItems count="14">
          <s v="&lt;18/6/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/12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3">
  <r>
    <s v="https://x.com/Toyota/status/1964454235"/>
    <s v="Toyota USA"/>
    <s v="@Toyota"/>
    <s v="http://twitpic.com/67iyf - First time fuel cell driver got great MPG in the FCHV-adv on the West Sacramento to Chico leg of the Hydrogen ..."/>
    <s v="2009-05-29T21:15:39.000Z"/>
    <x v="0"/>
    <x v="0"/>
    <s v="21:15:39"/>
    <x v="0"/>
    <m/>
    <m/>
    <n v="0"/>
    <n v="0"/>
    <n v="0"/>
    <n v="0"/>
    <s v="No engagement"/>
    <x v="0"/>
    <b v="0"/>
    <b v="1"/>
    <x v="0"/>
  </r>
  <r>
    <s v="https://x.com/Toyota/status/1964480843"/>
    <s v="Toyota USA"/>
    <s v="@Toyota"/>
    <s v="http://twitpic.com/67j6o - Fueling the Toyota FCHV-adv with the mobile 70 MPa fueler at the Sierra Nevada Brewery on the Hydrogen Road T ..."/>
    <s v="2009-05-29T21:18:12.000Z"/>
    <x v="0"/>
    <x v="0"/>
    <s v="21:18:12"/>
    <x v="0"/>
    <m/>
    <m/>
    <n v="0"/>
    <n v="0"/>
    <n v="0"/>
    <n v="0"/>
    <s v="No engagement"/>
    <x v="0"/>
    <b v="0"/>
    <b v="1"/>
    <x v="0"/>
  </r>
  <r>
    <s v="https://x.com/Toyota/status/1964844200"/>
    <s v="Toyota USA"/>
    <s v="@Toyota"/>
    <s v="http://twitpic.com/67mhl - FCHV-adv in Redding, Calif. The temp is 98F so the guys are fighting over who gets to sit in the &quot;Ride and Dr ..."/>
    <s v="2009-05-29T21:54:05.000Z"/>
    <x v="0"/>
    <x v="0"/>
    <s v="21:54:05"/>
    <x v="0"/>
    <m/>
    <m/>
    <n v="0"/>
    <n v="0"/>
    <n v="0"/>
    <n v="0"/>
    <s v="No engagement"/>
    <x v="0"/>
    <b v="0"/>
    <b v="1"/>
    <x v="0"/>
  </r>
  <r>
    <s v="https://x.com/Toyota/status/1991743407"/>
    <s v="Toyota USA"/>
    <s v="@Toyota"/>
    <s v="Very nice recognition of Toyota's corporate citizenship from our local KY paper: http://tinyurl.com/ndctvw"/>
    <s v="2009-06-01T14:35:12.000Z"/>
    <x v="0"/>
    <x v="1"/>
    <s v="14:35:12"/>
    <x v="1"/>
    <m/>
    <m/>
    <n v="0"/>
    <n v="0"/>
    <n v="0"/>
    <n v="0"/>
    <s v="No engagement"/>
    <x v="0"/>
    <b v="0"/>
    <b v="1"/>
    <x v="0"/>
  </r>
  <r>
    <s v="https://x.com/Toyota/status/1996310914"/>
    <s v="Toyota USA"/>
    <s v="@Toyota"/>
    <s v="@auto_bird Want to clarify some #s. Toyota U.S. market share this year through April is 16.1%. Please let me know if you have any Qs. -Sona"/>
    <s v="2009-06-01T21:52:26.000Z"/>
    <x v="0"/>
    <x v="1"/>
    <s v="21:52:26"/>
    <x v="0"/>
    <m/>
    <m/>
    <n v="0"/>
    <n v="0"/>
    <n v="0"/>
    <n v="0"/>
    <s v="No engagement"/>
    <x v="0"/>
    <b v="0"/>
    <b v="0"/>
    <x v="1"/>
  </r>
  <r>
    <s v="https://x.com/Toyota/status/1996725869"/>
    <s v="Toyota USA"/>
    <s v="@Toyota"/>
    <s v="@Auto_Bird For Toyota, mkt share this year thru April = 16.1%; For Toyota Div., mkt share this year thru April = 14.2%. -Sona"/>
    <s v="2009-06-01T22:34:52.000Z"/>
    <x v="0"/>
    <x v="1"/>
    <s v="22:34:52"/>
    <x v="0"/>
    <s v="@Auto_Bird"/>
    <m/>
    <n v="0"/>
    <n v="0"/>
    <n v="0"/>
    <n v="0"/>
    <s v="No engagement"/>
    <x v="0"/>
    <b v="0"/>
    <b v="0"/>
    <x v="1"/>
  </r>
  <r>
    <s v="https://x.com/Toyota/status/1996737454"/>
    <s v="Toyota USA"/>
    <s v="@Toyota"/>
    <s v="@auto_bird Hope that helps! Although, industry reports May sales tomorrow so it may change. -Sona"/>
    <s v="2009-06-01T22:36:05.000Z"/>
    <x v="0"/>
    <x v="1"/>
    <s v="22:36:05"/>
    <x v="0"/>
    <m/>
    <m/>
    <n v="0"/>
    <n v="0"/>
    <n v="0"/>
    <n v="0"/>
    <s v="No engagement"/>
    <x v="0"/>
    <b v="0"/>
    <b v="0"/>
    <x v="1"/>
  </r>
  <r>
    <s v="https://x.com/Toyota/status/2004310610"/>
    <s v="Toyota USA"/>
    <s v="@Toyota"/>
    <s v="Toyota partner Audubon and the TogetherGreen program covered in the Sun-Sentinel: http://tinyurl.com/lm4xbz"/>
    <s v="2009-06-02T15:00:17.000Z"/>
    <x v="0"/>
    <x v="2"/>
    <s v="15:00:17"/>
    <x v="1"/>
    <m/>
    <m/>
    <n v="0"/>
    <n v="0"/>
    <n v="0"/>
    <n v="0"/>
    <s v="No engagement"/>
    <x v="0"/>
    <b v="0"/>
    <b v="1"/>
    <x v="0"/>
  </r>
  <r>
    <s v="https://x.com/Toyota/status/2004787826"/>
    <s v="Toyota USA"/>
    <s v="@Toyota"/>
    <s v="Toyota sponsors National Safety Month’s Teen Driving Week June 1-7 and offers its free driver safety program: http://tinyurl.com/nkdsl3"/>
    <s v="2009-06-02T15:44:38.000Z"/>
    <x v="0"/>
    <x v="2"/>
    <s v="15:44:38"/>
    <x v="1"/>
    <m/>
    <m/>
    <n v="0"/>
    <n v="0"/>
    <n v="0"/>
    <n v="0"/>
    <s v="No engagement"/>
    <x v="0"/>
    <b v="0"/>
    <b v="1"/>
    <x v="0"/>
  </r>
  <r>
    <s v="https://x.com/Toyota/status/2006295685"/>
    <s v="Toyota USA"/>
    <s v="@Toyota"/>
    <s v="Toyota reports May sales: http://tinyurl.com/qg8z62"/>
    <s v="2009-06-02T17:57:25.000Z"/>
    <x v="0"/>
    <x v="2"/>
    <s v="17:57:25"/>
    <x v="1"/>
    <m/>
    <m/>
    <n v="0"/>
    <n v="0"/>
    <n v="0"/>
    <n v="0"/>
    <s v="No engagement"/>
    <x v="0"/>
    <b v="0"/>
    <b v="1"/>
    <x v="0"/>
  </r>
  <r>
    <s v="https://x.com/Toyota/status/2008403817"/>
    <s v="Toyota USA"/>
    <s v="@Toyota"/>
    <s v="2009 Meeting of the Minds gathered political, business &amp; civic leaders in NYC today. Read Irv Miller's remarks at  http://bit.ly/13Q1C4"/>
    <s v="2009-06-02T21:04:49.000Z"/>
    <x v="0"/>
    <x v="2"/>
    <s v="21:04:49"/>
    <x v="0"/>
    <m/>
    <m/>
    <n v="0"/>
    <n v="0"/>
    <n v="0"/>
    <n v="0"/>
    <s v="No engagement"/>
    <x v="0"/>
    <b v="0"/>
    <b v="1"/>
    <x v="0"/>
  </r>
  <r>
    <s v="https://x.com/Toyota/status/2039733159"/>
    <s v="Toyota USA"/>
    <s v="@Toyota"/>
    <s v="@SteaminDimSum Just &quot;Let Your Love Flow&quot;"/>
    <s v="2009-06-05T05:40:09.000Z"/>
    <x v="0"/>
    <x v="3"/>
    <s v="05:40:09"/>
    <x v="2"/>
    <s v="@SteaminDimSum"/>
    <m/>
    <n v="0"/>
    <n v="0"/>
    <n v="0"/>
    <n v="0"/>
    <s v="No engagement"/>
    <x v="0"/>
    <b v="0"/>
    <b v="0"/>
    <x v="1"/>
  </r>
  <r>
    <s v="https://x.com/Toyota/status/2044857652"/>
    <s v="Toyota USA"/>
    <s v="@Toyota"/>
    <s v="Watch a Lexus LX 570 race in the SCORE Tecate Baja 500 this weekend! http://tinyurl.com/kmndqk Look for us...we're #879"/>
    <s v="2009-06-05T16:54:49.000Z"/>
    <x v="0"/>
    <x v="3"/>
    <s v="16:54:49"/>
    <x v="1"/>
    <m/>
    <m/>
    <n v="1"/>
    <n v="0"/>
    <n v="0"/>
    <n v="1"/>
    <s v="Low engagement"/>
    <x v="0"/>
    <b v="0"/>
    <b v="1"/>
    <x v="0"/>
  </r>
  <r>
    <s v="https://x.com/Toyota/status/2045778230"/>
    <s v="Toyota USA"/>
    <s v="@Toyota"/>
    <s v="@peepscreative  Still working out the details - we'll send more info as soon as it's available on toyota.com"/>
    <s v="2009-06-05T18:13:19.000Z"/>
    <x v="0"/>
    <x v="3"/>
    <s v="18:13:19"/>
    <x v="0"/>
    <s v="@davidsutula"/>
    <m/>
    <n v="0"/>
    <n v="0"/>
    <n v="0"/>
    <n v="0"/>
    <s v="No engagement"/>
    <x v="0"/>
    <b v="0"/>
    <b v="1"/>
    <x v="0"/>
  </r>
  <r>
    <s v="https://x.com/Toyota/status/2045908700"/>
    <s v="Toyota USA"/>
    <s v="@Toyota"/>
    <s v="@peepscreative &amp; @SteaminDimSum &quot;Harmony&quot; commercial track will be available early next week on Toyota.com"/>
    <s v="2009-06-05T18:24:58.000Z"/>
    <x v="0"/>
    <x v="3"/>
    <s v="18:24:58"/>
    <x v="0"/>
    <s v="@davidsutula"/>
    <m/>
    <n v="0"/>
    <n v="0"/>
    <n v="0"/>
    <n v="0"/>
    <s v="No engagement"/>
    <x v="0"/>
    <b v="0"/>
    <b v="1"/>
    <x v="0"/>
  </r>
  <r>
    <s v="https://x.com/Toyota/status/2056222022"/>
    <s v="Toyota USA"/>
    <s v="@Toyota"/>
    <s v="@feistyred Hi. We had some server staging issues.  The track will be available early next week. Tweets will be sent out. -Scott"/>
    <s v="2009-06-06T17:44:59.000Z"/>
    <x v="0"/>
    <x v="4"/>
    <s v="17:44:59"/>
    <x v="1"/>
    <s v="@heycharity"/>
    <m/>
    <n v="0"/>
    <n v="0"/>
    <n v="0"/>
    <n v="0"/>
    <s v="No engagement"/>
    <x v="0"/>
    <b v="0"/>
    <b v="0"/>
    <x v="1"/>
  </r>
  <r>
    <s v="https://x.com/Toyota/status/2056224080"/>
    <s v="Toyota USA"/>
    <s v="@Toyota"/>
    <s v="@KatGamer Hi. We had some server staging issues.  The track will be available early next week. Tweets will be sent out. -Scott"/>
    <s v="2009-06-06T17:45:12.000Z"/>
    <x v="0"/>
    <x v="4"/>
    <s v="17:45:12"/>
    <x v="1"/>
    <s v="@SailorBrite"/>
    <m/>
    <n v="0"/>
    <n v="0"/>
    <n v="0"/>
    <n v="0"/>
    <s v="No engagement"/>
    <x v="0"/>
    <b v="0"/>
    <b v="0"/>
    <x v="1"/>
  </r>
  <r>
    <s v="https://x.com/Toyota/status/2077044922"/>
    <s v="Toyota USA"/>
    <s v="@Toyota"/>
    <s v="@sirmenace Hi Dennis.  The best route to get info. regarding our dealers is to contact our Customer Experience Center: http://bit.ly/4cAEA"/>
    <s v="2009-06-08T15:19:12.000Z"/>
    <x v="0"/>
    <x v="5"/>
    <s v="15:19:12"/>
    <x v="1"/>
    <s v="@sirmenace"/>
    <m/>
    <n v="0"/>
    <n v="0"/>
    <n v="0"/>
    <n v="0"/>
    <s v="No engagement"/>
    <x v="0"/>
    <b v="0"/>
    <b v="1"/>
    <x v="0"/>
  </r>
  <r>
    <s v="https://x.com/Toyota/status/2077790746"/>
    <s v="Toyota USA"/>
    <s v="@Toyota"/>
    <s v="Just added the 2010 Toyota Prius &quot;Solar&quot; TV Commercial http://bit.ly/PriusSolarCommercial -Scott"/>
    <s v="2009-06-08T16:25:35.000Z"/>
    <x v="0"/>
    <x v="5"/>
    <s v="16:25:35"/>
    <x v="1"/>
    <m/>
    <m/>
    <n v="0"/>
    <n v="0"/>
    <n v="0"/>
    <n v="0"/>
    <s v="No engagement"/>
    <x v="0"/>
    <b v="0"/>
    <b v="1"/>
    <x v="0"/>
  </r>
  <r>
    <s v="https://x.com/Toyota/status/2079230045"/>
    <s v="Toyota USA"/>
    <s v="@Toyota"/>
    <s v="A Lexus LX 570 took the class win on it's maiden start in the 2009 SCORE Tecate Baja 500. Unofficial Results: http://bit.ly/12tswH"/>
    <s v="2009-06-08T18:22:39.000Z"/>
    <x v="0"/>
    <x v="5"/>
    <s v="18:22:39"/>
    <x v="0"/>
    <m/>
    <m/>
    <n v="0"/>
    <n v="0"/>
    <n v="0"/>
    <n v="0"/>
    <s v="No engagement"/>
    <x v="0"/>
    <b v="0"/>
    <b v="1"/>
    <x v="0"/>
  </r>
  <r>
    <s v="https://x.com/Toyota/status/2080723678"/>
    <s v="Toyota USA"/>
    <s v="@Toyota"/>
    <s v="20 Twitter Brands Behaving Badly: http://bit.ly/BgKfh Guess the author doesn't realize most of these brands are taken by squatters."/>
    <s v="2009-06-08T20:23:14.000Z"/>
    <x v="0"/>
    <x v="5"/>
    <s v="20:23:14"/>
    <x v="0"/>
    <m/>
    <m/>
    <n v="0"/>
    <n v="0"/>
    <n v="0"/>
    <n v="0"/>
    <s v="No engagement"/>
    <x v="0"/>
    <b v="0"/>
    <b v="1"/>
    <x v="0"/>
  </r>
  <r>
    <s v="https://x.com/Toyota/status/2080812016"/>
    <s v="Toyota USA"/>
    <s v="@Toyota"/>
    <s v="@AOLAutos Tried through Twitter help for 3 months. Might have to take another &quot;less friendly&quot; route."/>
    <s v="2009-06-08T20:30:51.000Z"/>
    <x v="0"/>
    <x v="5"/>
    <s v="20:30:51"/>
    <x v="0"/>
    <s v="@AOLAutos"/>
    <m/>
    <n v="0"/>
    <n v="0"/>
    <n v="0"/>
    <n v="0"/>
    <s v="No engagement"/>
    <x v="0"/>
    <b v="0"/>
    <b v="0"/>
    <x v="1"/>
  </r>
  <r>
    <s v="https://x.com/Toyota/status/2090084604"/>
    <s v="Toyota USA"/>
    <s v="@Toyota"/>
    <s v="Petra Haden's &quot;Let Your Love Flow&quot; is now available as the Toyota Tuesday free MP3 download on Myspace: http://bit.ly/hJy6B"/>
    <s v="2009-06-09T14:42:11.000Z"/>
    <x v="0"/>
    <x v="6"/>
    <s v="14:42:11"/>
    <x v="1"/>
    <m/>
    <m/>
    <n v="1"/>
    <n v="0"/>
    <n v="0"/>
    <n v="1"/>
    <s v="Low engagement"/>
    <x v="0"/>
    <b v="0"/>
    <b v="1"/>
    <x v="0"/>
  </r>
  <r>
    <s v="https://x.com/Toyota/status/2090151959"/>
    <s v="Toyota USA"/>
    <s v="@Toyota"/>
    <s v="Petra Haden's &quot;Let Your Love Flow&quot; is now available as the Toyota Tuesday free MP3 download on Myspace: http://bit.ly/hJy6B #Prius"/>
    <s v="2009-06-09T14:48:18.000Z"/>
    <x v="0"/>
    <x v="6"/>
    <s v="14:48:18"/>
    <x v="1"/>
    <m/>
    <m/>
    <n v="1"/>
    <n v="0"/>
    <n v="0"/>
    <n v="1"/>
    <s v="Low engagement"/>
    <x v="0"/>
    <b v="0"/>
    <b v="1"/>
    <x v="0"/>
  </r>
  <r>
    <s v="https://x.com/Toyota/status/2090362198"/>
    <s v="Toyota USA"/>
    <s v="@Toyota"/>
    <s v="@DP Click on this link:  http://bit.ly/hJy6B  Look for the box to load on the top upper right side of the page. -Scott"/>
    <s v="2009-06-09T15:06:54.000Z"/>
    <x v="0"/>
    <x v="6"/>
    <s v="15:06:54"/>
    <x v="1"/>
    <s v="@DP"/>
    <m/>
    <n v="0"/>
    <n v="0"/>
    <n v="0"/>
    <n v="0"/>
    <s v="No engagement"/>
    <x v="0"/>
    <b v="0"/>
    <b v="1"/>
    <x v="0"/>
  </r>
  <r>
    <s v="https://x.com/Toyota/status/2090472598"/>
    <s v="Toyota USA"/>
    <s v="@Toyota"/>
    <s v="@DP That's where the download is available. Look for the green download box to load on the upper right side. You'll see Petra."/>
    <s v="2009-06-09T15:16:48.000Z"/>
    <x v="0"/>
    <x v="6"/>
    <s v="15:16:48"/>
    <x v="1"/>
    <s v="@DP"/>
    <m/>
    <n v="0"/>
    <n v="0"/>
    <n v="0"/>
    <n v="0"/>
    <s v="No engagement"/>
    <x v="0"/>
    <b v="0"/>
    <b v="0"/>
    <x v="1"/>
  </r>
  <r>
    <s v="https://x.com/Toyota/status/2090534115"/>
    <s v="Toyota USA"/>
    <s v="@Toyota"/>
    <s v="@DP No problem...Enjoy!"/>
    <s v="2009-06-09T15:22:13.000Z"/>
    <x v="0"/>
    <x v="6"/>
    <s v="15:22:13"/>
    <x v="1"/>
    <s v="@DP"/>
    <m/>
    <n v="0"/>
    <n v="0"/>
    <n v="0"/>
    <n v="0"/>
    <s v="No engagement"/>
    <x v="0"/>
    <b v="0"/>
    <b v="0"/>
    <x v="1"/>
  </r>
  <r>
    <s v="https://x.com/Toyota/status/2090620902"/>
    <s v="Toyota USA"/>
    <s v="@Toyota"/>
    <s v="Check out photos from Toyota's experience with the FCHV-adv on the Hydrogen Road Tour 2009  http://bit.ly/8jHAz  - @amykt"/>
    <s v="2009-06-09T15:29:54.000Z"/>
    <x v="0"/>
    <x v="6"/>
    <s v="15:29:54"/>
    <x v="1"/>
    <m/>
    <m/>
    <n v="0"/>
    <n v="0"/>
    <n v="0"/>
    <n v="0"/>
    <s v="No engagement"/>
    <x v="0"/>
    <b v="0"/>
    <b v="1"/>
    <x v="0"/>
  </r>
  <r>
    <s v="https://x.com/Toyota/status/2092012829"/>
    <s v="Toyota USA"/>
    <s v="@Toyota"/>
    <s v="@elfurbe Thanks for the feedback."/>
    <s v="2009-06-09T17:31:21.000Z"/>
    <x v="0"/>
    <x v="6"/>
    <s v="17:31:21"/>
    <x v="1"/>
    <s v="@elfurbe"/>
    <m/>
    <n v="0"/>
    <n v="0"/>
    <n v="0"/>
    <n v="0"/>
    <s v="No engagement"/>
    <x v="0"/>
    <b v="0"/>
    <b v="0"/>
    <x v="1"/>
  </r>
  <r>
    <s v="https://x.com/Toyota/status/2092116627"/>
    <s v="Toyota USA"/>
    <s v="@Toyota"/>
    <s v="Song from the Prius &quot;Harmony&quot; commercial available for free download here: http://tinyurl.com/obv4lt"/>
    <s v="2009-06-09T17:40:21.000Z"/>
    <x v="0"/>
    <x v="6"/>
    <s v="17:40:21"/>
    <x v="1"/>
    <m/>
    <m/>
    <n v="2"/>
    <n v="0"/>
    <n v="0"/>
    <n v="2"/>
    <s v="Low engagement"/>
    <x v="0"/>
    <b v="0"/>
    <b v="1"/>
    <x v="0"/>
  </r>
  <r>
    <s v="https://x.com/Toyota/status/2092591277"/>
    <s v="Toyota USA"/>
    <s v="@Toyota"/>
    <s v="Toyota USA Foundation Announces $3.3 Million in New Grants - support of K-12 math and science continues: http://tinyurl.com/lllapx"/>
    <s v="2009-06-09T18:20:54.000Z"/>
    <x v="0"/>
    <x v="6"/>
    <s v="18:20:54"/>
    <x v="0"/>
    <m/>
    <m/>
    <n v="0"/>
    <n v="0"/>
    <n v="0"/>
    <n v="0"/>
    <s v="No engagement"/>
    <x v="0"/>
    <b v="0"/>
    <b v="1"/>
    <x v="0"/>
  </r>
  <r>
    <s v="https://x.com/Toyota/status/2105573991"/>
    <s v="Toyota USA"/>
    <s v="@Toyota"/>
    <s v="Scion xD Release Series 2.0 – Final Limited Edition for 2009 http://tinyurl.com/kqgbcd"/>
    <s v="2009-06-10T17:07:54.000Z"/>
    <x v="0"/>
    <x v="7"/>
    <s v="17:07:54"/>
    <x v="1"/>
    <m/>
    <m/>
    <n v="1"/>
    <n v="0"/>
    <n v="0"/>
    <n v="1"/>
    <s v="Low engagement"/>
    <x v="0"/>
    <b v="0"/>
    <b v="1"/>
    <x v="0"/>
  </r>
  <r>
    <s v="https://x.com/Toyota/status/2122252916"/>
    <s v="Toyota USA"/>
    <s v="@Toyota"/>
    <s v="@microcarmag DM me your email and I'll shoot you an image. -Scott"/>
    <s v="2009-06-11T21:16:59.000Z"/>
    <x v="0"/>
    <x v="8"/>
    <s v="21:16:59"/>
    <x v="0"/>
    <s v="@microcarmag"/>
    <m/>
    <n v="0"/>
    <n v="0"/>
    <n v="0"/>
    <n v="0"/>
    <s v="No engagement"/>
    <x v="0"/>
    <b v="0"/>
    <b v="0"/>
    <x v="1"/>
  </r>
  <r>
    <s v="https://x.com/Toyota/status/2133572570"/>
    <s v="Toyota USA"/>
    <s v="@Toyota"/>
    <s v="TogetherGreen launches Community Passport - learn about volunteering opps - possibly win a bike! http://tinyurl.com/np4b5e"/>
    <s v="2009-06-12T16:54:31.000Z"/>
    <x v="0"/>
    <x v="9"/>
    <s v="16:54:31"/>
    <x v="1"/>
    <m/>
    <m/>
    <n v="0"/>
    <n v="0"/>
    <n v="0"/>
    <n v="0"/>
    <s v="No engagement"/>
    <x v="0"/>
    <b v="0"/>
    <b v="1"/>
    <x v="0"/>
  </r>
  <r>
    <s v="https://x.com/Toyota/status/2136838806"/>
    <s v="Toyota USA"/>
    <s v="@Toyota"/>
    <s v="FYI...We are now @toyota on twitter.  ^SD"/>
    <s v="2009-06-12T21:17:45.000Z"/>
    <x v="0"/>
    <x v="9"/>
    <s v="21:17:45"/>
    <x v="0"/>
    <m/>
    <m/>
    <n v="0"/>
    <n v="0"/>
    <n v="0"/>
    <n v="0"/>
    <s v="No engagement"/>
    <x v="0"/>
    <b v="0"/>
    <b v="0"/>
    <x v="1"/>
  </r>
  <r>
    <s v="https://x.com/Toyota/status/2137184708"/>
    <s v="Toyota USA"/>
    <s v="@Toyota"/>
    <s v="@AdAsia If you visit Toyota.com you'll see that it's categorized as a car in our lineup. ^SD"/>
    <s v="2009-06-12T21:47:56.000Z"/>
    <x v="0"/>
    <x v="9"/>
    <s v="21:47:56"/>
    <x v="0"/>
    <s v="@AdAsia"/>
    <m/>
    <n v="0"/>
    <n v="0"/>
    <n v="0"/>
    <n v="0"/>
    <s v="No engagement"/>
    <x v="0"/>
    <b v="0"/>
    <b v="1"/>
    <x v="0"/>
  </r>
  <r>
    <s v="https://x.com/Toyota/status/2159379731"/>
    <s v="Toyota USA"/>
    <s v="@Toyota"/>
    <s v="@Magsec4 You're welcome. Enjoy! ^SD"/>
    <s v="2009-06-14T00:01:58.000Z"/>
    <x v="0"/>
    <x v="10"/>
    <s v="00:01:58"/>
    <x v="2"/>
    <s v="@Magsec4"/>
    <m/>
    <n v="0"/>
    <n v="0"/>
    <n v="0"/>
    <n v="0"/>
    <s v="No engagement"/>
    <x v="0"/>
    <b v="0"/>
    <b v="0"/>
    <x v="1"/>
  </r>
  <r>
    <s v="https://x.com/Toyota/status/2180909431"/>
    <s v="Toyota USA"/>
    <s v="@Toyota"/>
    <s v="RT @andybeaupre: Why the new Toyota Prius TV ads are setting the bar higher for socially conscious brands: http://tinyurl.com/luuwej"/>
    <s v="2009-06-15T18:06:25.000Z"/>
    <x v="0"/>
    <x v="11"/>
    <s v="18:06:25"/>
    <x v="0"/>
    <m/>
    <s v="@andybeaupre"/>
    <n v="0"/>
    <n v="0"/>
    <n v="0"/>
    <n v="0"/>
    <s v="No engagement"/>
    <x v="0"/>
    <b v="0"/>
    <b v="1"/>
    <x v="0"/>
  </r>
  <r>
    <s v="https://x.com/Toyota/status/2182611237"/>
    <s v="Toyota USA"/>
    <s v="@Toyota"/>
    <s v="TogetherGreen publishes their first newsletter - check out some great enviro stories at: http://tinyurl.com/msujrk ^DS"/>
    <s v="2009-06-15T20:24:05.000Z"/>
    <x v="0"/>
    <x v="11"/>
    <s v="20:24:05"/>
    <x v="0"/>
    <m/>
    <m/>
    <n v="0"/>
    <n v="0"/>
    <n v="0"/>
    <n v="0"/>
    <s v="No engagement"/>
    <x v="0"/>
    <b v="0"/>
    <b v="1"/>
    <x v="0"/>
  </r>
  <r>
    <s v="https://x.com/Toyota/status/2182655670"/>
    <s v="Toyota USA"/>
    <s v="@Toyota"/>
    <s v="RT @KickingTires: Loving the Toyota Prius sponsored Gawker Hybrid!!! Is this going to stick around? @RayWert? http://gawker.com/hybrid/  ^SD"/>
    <s v="2009-06-15T20:27:38.000Z"/>
    <x v="0"/>
    <x v="11"/>
    <s v="20:27:38"/>
    <x v="0"/>
    <m/>
    <s v="@KickingTires"/>
    <n v="1"/>
    <n v="0"/>
    <n v="0"/>
    <n v="1"/>
    <s v="Low engagement"/>
    <x v="0"/>
    <b v="0"/>
    <b v="1"/>
    <x v="0"/>
  </r>
  <r>
    <s v="https://x.com/Toyota/status/2184249634"/>
    <s v="Toyota USA"/>
    <s v="@Toyota"/>
    <s v="New Video: take a look at some of the environmental aspects of the all-new 2010 Lexus HS 250h http://bit.ly/Rapbn ^SD"/>
    <s v="2009-06-15T22:38:11.000Z"/>
    <x v="0"/>
    <x v="11"/>
    <s v="22:38:11"/>
    <x v="0"/>
    <m/>
    <m/>
    <n v="0"/>
    <n v="0"/>
    <n v="0"/>
    <n v="0"/>
    <s v="No engagement"/>
    <x v="0"/>
    <b v="0"/>
    <b v="1"/>
    <x v="0"/>
  </r>
  <r>
    <s v="https://x.com/Toyota/status/2184308259"/>
    <s v="Toyota USA"/>
    <s v="@Toyota"/>
    <s v="New Video: Overview of the 2010 Lexus IS C with Lexus VP Mark Templin http://bit.ly/KY1Ei  ^SD"/>
    <s v="2009-06-15T22:43:12.000Z"/>
    <x v="0"/>
    <x v="11"/>
    <s v="22:43:12"/>
    <x v="0"/>
    <m/>
    <m/>
    <n v="0"/>
    <n v="0"/>
    <n v="0"/>
    <n v="0"/>
    <s v="No engagement"/>
    <x v="0"/>
    <b v="0"/>
    <b v="1"/>
    <x v="0"/>
  </r>
  <r>
    <s v="https://x.com/Toyota/status/2184349339"/>
    <s v="Toyota USA"/>
    <s v="@Toyota"/>
    <s v="New Video: take a look at some of the innovative features available on the all-new 2010 Lexus HS 250h http://bit.ly/16GFvl ^SD"/>
    <s v="2009-06-15T22:46:48.000Z"/>
    <x v="0"/>
    <x v="11"/>
    <s v="22:46:48"/>
    <x v="0"/>
    <m/>
    <m/>
    <n v="0"/>
    <n v="0"/>
    <n v="0"/>
    <n v="0"/>
    <s v="No engagement"/>
    <x v="0"/>
    <b v="0"/>
    <b v="1"/>
    <x v="0"/>
  </r>
  <r>
    <s v="https://x.com/Toyota/status/2193323188"/>
    <s v="Toyota USA"/>
    <s v="@Toyota"/>
    <s v="Morning everyone. #haveyouever driven a hybrid vehicle? ^SD"/>
    <s v="2009-06-16T15:18:04.000Z"/>
    <x v="0"/>
    <x v="12"/>
    <s v="15:18:04"/>
    <x v="1"/>
    <m/>
    <m/>
    <n v="0"/>
    <n v="0"/>
    <n v="0"/>
    <n v="0"/>
    <s v="No engagement"/>
    <x v="0"/>
    <b v="0"/>
    <b v="0"/>
    <x v="1"/>
  </r>
  <r>
    <s v="https://x.com/Toyota/status/2193833315"/>
    <s v="Toyota USA"/>
    <s v="@Toyota"/>
    <s v="@blowntaco yeah...I guess that would qualify. ^SD"/>
    <s v="2009-06-16T15:59:34.000Z"/>
    <x v="0"/>
    <x v="12"/>
    <s v="15:59:34"/>
    <x v="1"/>
    <m/>
    <m/>
    <n v="1"/>
    <n v="0"/>
    <n v="0"/>
    <n v="1"/>
    <s v="Low engagement"/>
    <x v="0"/>
    <b v="0"/>
    <b v="0"/>
    <x v="1"/>
  </r>
  <r>
    <s v="https://x.com/Toyota/status/2193846082"/>
    <s v="Toyota USA"/>
    <s v="@Toyota"/>
    <s v="@SlickRich85 If you get a chance, hit a dealer for a test drive.  It's an amazing vehicle. ^SD"/>
    <s v="2009-06-16T16:00:30.000Z"/>
    <x v="0"/>
    <x v="12"/>
    <s v="16:00:30"/>
    <x v="1"/>
    <s v="@LeModulicious"/>
    <m/>
    <n v="0"/>
    <n v="0"/>
    <n v="0"/>
    <n v="0"/>
    <s v="No engagement"/>
    <x v="0"/>
    <b v="0"/>
    <b v="0"/>
    <x v="1"/>
  </r>
  <r>
    <s v="https://x.com/Toyota/status/2193926507"/>
    <s v="Toyota USA"/>
    <s v="@Toyota"/>
    <s v="Our Point of View: Hybrid Cost Analysis http://tinyurl.com/l6yfbs"/>
    <s v="2009-06-16T16:06:49.000Z"/>
    <x v="0"/>
    <x v="12"/>
    <s v="16:06:49"/>
    <x v="1"/>
    <m/>
    <m/>
    <n v="0"/>
    <n v="0"/>
    <n v="0"/>
    <n v="0"/>
    <s v="No engagement"/>
    <x v="0"/>
    <b v="0"/>
    <b v="1"/>
    <x v="0"/>
  </r>
  <r>
    <s v="https://x.com/Toyota/status/2195476800"/>
    <s v="Toyota USA"/>
    <s v="@Toyota"/>
    <s v="@blowntaco Hey there. We have nothing to announce at this time regarding a Toyota diesel coming to the U.S. market. ^SD"/>
    <s v="2009-06-16T18:10:56.000Z"/>
    <x v="0"/>
    <x v="12"/>
    <s v="18:10:56"/>
    <x v="0"/>
    <m/>
    <m/>
    <n v="0"/>
    <n v="0"/>
    <n v="0"/>
    <n v="0"/>
    <s v="No engagement"/>
    <x v="0"/>
    <b v="0"/>
    <b v="0"/>
    <x v="1"/>
  </r>
  <r>
    <s v="https://x.com/Toyota/status/2208958026"/>
    <s v="Toyota USA"/>
    <s v="@Toyota"/>
    <s v="Check out the latest edition of the Toyota Environmental Update.  http://bit.ly/1vA4wN  Enjoy! ^AT"/>
    <s v="2009-06-17T16:50:18.000Z"/>
    <x v="0"/>
    <x v="13"/>
    <s v="16:50:18"/>
    <x v="1"/>
    <m/>
    <m/>
    <n v="1"/>
    <n v="0"/>
    <n v="0"/>
    <n v="1"/>
    <s v="Low engagement"/>
    <x v="0"/>
    <b v="0"/>
    <b v="1"/>
    <x v="0"/>
  </r>
  <r>
    <s v="https://x.com/Toyota/status/2209131948"/>
    <s v="Toyota USA"/>
    <s v="@Toyota"/>
    <s v="@jfseattle Thanks...glad you're enjoying your ride. ^SD"/>
    <s v="2009-06-17T17:02:45.000Z"/>
    <x v="0"/>
    <x v="13"/>
    <s v="17:02:45"/>
    <x v="1"/>
    <m/>
    <m/>
    <n v="0"/>
    <n v="0"/>
    <n v="0"/>
    <n v="0"/>
    <s v="No engagement"/>
    <x v="0"/>
    <b v="0"/>
    <b v="0"/>
    <x v="1"/>
  </r>
  <r>
    <s v="https://x.com/Toyota/status/2223472728"/>
    <s v="Toyota USA"/>
    <s v="@Toyota"/>
    <s v="Watch a Lexus RX being built from ground up on Discovery's &quot;Factory Made&quot; Fri. June 19 8/11 pm ET. ^SD"/>
    <s v="2009-06-18T15:19:03.000Z"/>
    <x v="0"/>
    <x v="14"/>
    <s v="15:19:03"/>
    <x v="1"/>
    <m/>
    <m/>
    <n v="0"/>
    <n v="0"/>
    <n v="0"/>
    <n v="0"/>
    <s v="No engagement"/>
    <x v="0"/>
    <b v="0"/>
    <b v="0"/>
    <x v="1"/>
  </r>
  <r>
    <s v="https://x.com/Toyota/status/2279845155"/>
    <s v="Toyota USA"/>
    <s v="@Toyota"/>
    <s v="Good morning.  Hope all you dads had a wonderful Father's Day. ^SD"/>
    <s v="2009-06-22T15:04:26.000Z"/>
    <x v="0"/>
    <x v="15"/>
    <s v="15:04:26"/>
    <x v="1"/>
    <m/>
    <m/>
    <n v="0"/>
    <n v="0"/>
    <n v="0"/>
    <n v="0"/>
    <s v="No engagement"/>
    <x v="0"/>
    <b v="0"/>
    <b v="0"/>
    <x v="1"/>
  </r>
  <r>
    <s v="https://x.com/Toyota/status/2279898854"/>
    <s v="Toyota USA"/>
    <s v="@Toyota"/>
    <s v="&quot;Let Your Love Flow&quot; (from the Prius &quot;Harmony&quot; commercial) is still available for download at: http://tinyurl.com/pv8rja #musicmonday"/>
    <s v="2009-06-22T15:08:40.000Z"/>
    <x v="0"/>
    <x v="15"/>
    <s v="15:08:40"/>
    <x v="1"/>
    <m/>
    <m/>
    <n v="0"/>
    <n v="0"/>
    <n v="0"/>
    <n v="0"/>
    <s v="No engagement"/>
    <x v="0"/>
    <b v="0"/>
    <b v="1"/>
    <x v="0"/>
  </r>
  <r>
    <s v="https://x.com/Toyota/status/2281536230"/>
    <s v="Toyota USA"/>
    <s v="@Toyota"/>
    <s v="RT @freepautos: J.D. Power study: Toyota tops in quality; Cadillac is best U.S. brand... http://bit.ly/QvurB"/>
    <s v="2009-06-22T17:13:29.000Z"/>
    <x v="0"/>
    <x v="15"/>
    <s v="17:13:29"/>
    <x v="1"/>
    <m/>
    <s v="@freepautos"/>
    <n v="0"/>
    <n v="0"/>
    <n v="0"/>
    <n v="0"/>
    <s v="No engagement"/>
    <x v="0"/>
    <b v="0"/>
    <b v="1"/>
    <x v="0"/>
  </r>
  <r>
    <s v="https://x.com/Toyota/status/2281568542"/>
    <s v="Toyota USA"/>
    <s v="@Toyota"/>
    <s v="RT @JDPowerOnline: Toyota captures 10 segment awards—more than any other corporation in the 2009 Initial Quality Study. #JDPowerIQS"/>
    <s v="2009-06-22T17:15:54.000Z"/>
    <x v="0"/>
    <x v="15"/>
    <s v="17:15:54"/>
    <x v="1"/>
    <m/>
    <s v="@JDPowerOnline"/>
    <n v="0"/>
    <n v="0"/>
    <n v="0"/>
    <n v="0"/>
    <s v="No engagement"/>
    <x v="0"/>
    <b v="0"/>
    <b v="0"/>
    <x v="1"/>
  </r>
  <r>
    <s v="https://x.com/Toyota/status/2281707653"/>
    <s v="Toyota USA"/>
    <s v="@Toyota"/>
    <s v="Toyota/Lexus Earn 10 Segment Awards in the J.D. Power 2009 Initial Quality Study. Toyota Release: http://tinyurl.com/n9rsap ^SD"/>
    <s v="2009-06-22T17:26:30.000Z"/>
    <x v="0"/>
    <x v="15"/>
    <s v="17:26:30"/>
    <x v="1"/>
    <m/>
    <m/>
    <n v="0"/>
    <n v="0"/>
    <n v="0"/>
    <n v="0"/>
    <s v="No engagement"/>
    <x v="0"/>
    <b v="0"/>
    <b v="1"/>
    <x v="0"/>
  </r>
  <r>
    <s v="https://x.com/Toyota/status/2283920161"/>
    <s v="Toyota USA"/>
    <s v="@Toyota"/>
    <s v="Adage.com: Month's Top 10 Most-Liked, Most-Recalled New TV Spots http://tinyurl.com/lo3kyl (Those Prius ads get in your head ^SD)"/>
    <s v="2009-06-22T20:14:04.000Z"/>
    <x v="0"/>
    <x v="15"/>
    <s v="20:14:04"/>
    <x v="0"/>
    <m/>
    <m/>
    <n v="0"/>
    <n v="0"/>
    <n v="0"/>
    <n v="0"/>
    <s v="No engagement"/>
    <x v="0"/>
    <b v="0"/>
    <b v="1"/>
    <x v="0"/>
  </r>
  <r>
    <s v="https://x.com/Toyota/status/2296131695"/>
    <s v="Toyota USA"/>
    <s v="@Toyota"/>
    <s v="Thr.com: A “Friends” reunion of sorts is coming to the Internet courtesy of Lexus. http://tinyurl.com/mu4hhx #lstudio ^SD"/>
    <s v="2009-06-23T15:48:21.000Z"/>
    <x v="0"/>
    <x v="16"/>
    <s v="15:48:21"/>
    <x v="1"/>
    <m/>
    <m/>
    <n v="0"/>
    <n v="0"/>
    <n v="0"/>
    <n v="0"/>
    <s v="No engagement"/>
    <x v="0"/>
    <b v="0"/>
    <b v="1"/>
    <x v="0"/>
  </r>
  <r>
    <s v="https://x.com/Toyota/status/2297261648"/>
    <s v="Toyota USA"/>
    <s v="@Toyota"/>
    <s v="Lisa Kudrow Returns to LStudio.com with Award-Winning Role in “Web Therapy” http://tinyurl.com/ngnsck #lexus ^SD"/>
    <s v="2009-06-23T17:13:29.000Z"/>
    <x v="0"/>
    <x v="16"/>
    <s v="17:13:29"/>
    <x v="1"/>
    <m/>
    <m/>
    <n v="0"/>
    <n v="0"/>
    <n v="0"/>
    <n v="0"/>
    <s v="No engagement"/>
    <x v="0"/>
    <b v="0"/>
    <b v="1"/>
    <x v="0"/>
  </r>
  <r>
    <s v="https://x.com/Toyota/status/2304517409"/>
    <s v="Toyota USA"/>
    <s v="@Toyota"/>
    <s v="@pamkulik Hi. Currently all the official tweets for Toyota/Lexus/Scion go out via @Toyota ^SD"/>
    <s v="2009-06-24T02:36:17.000Z"/>
    <x v="0"/>
    <x v="17"/>
    <s v="02:36:17"/>
    <x v="2"/>
    <m/>
    <m/>
    <n v="0"/>
    <n v="0"/>
    <n v="0"/>
    <n v="0"/>
    <s v="No engagement"/>
    <x v="0"/>
    <b v="0"/>
    <b v="0"/>
    <x v="1"/>
  </r>
  <r>
    <s v="https://x.com/Toyota/status/2312558011"/>
    <s v="Toyota USA"/>
    <s v="@Toyota"/>
    <s v="@michaelbanovsky Thanks Michael...I'll pass around the invite.  Appreciate it. ^SD"/>
    <s v="2009-06-24T16:31:40.000Z"/>
    <x v="0"/>
    <x v="17"/>
    <s v="16:31:40"/>
    <x v="1"/>
    <s v="@banovsky"/>
    <m/>
    <n v="0"/>
    <n v="0"/>
    <n v="0"/>
    <n v="0"/>
    <s v="No engagement"/>
    <x v="0"/>
    <b v="0"/>
    <b v="0"/>
    <x v="1"/>
  </r>
  <r>
    <s v="https://x.com/Toyota/status/2316152804"/>
    <s v="Toyota USA"/>
    <s v="@Toyota"/>
    <s v="VIDEO: Lexus Group VP Mark Templin discusses the commitment to making a difference by building the HS 250h http://tinyurl.com/kkne2n ^SD"/>
    <s v="2009-06-24T20:55:18.000Z"/>
    <x v="0"/>
    <x v="17"/>
    <s v="20:55:18"/>
    <x v="0"/>
    <m/>
    <m/>
    <n v="0"/>
    <n v="0"/>
    <n v="0"/>
    <n v="0"/>
    <s v="No engagement"/>
    <x v="0"/>
    <b v="0"/>
    <b v="1"/>
    <x v="0"/>
  </r>
  <r>
    <s v="https://x.com/Toyota/status/2316801747"/>
    <s v="Toyota USA"/>
    <s v="@Toyota"/>
    <s v="Check out the new episode of  Lisa Kudrow's &quot;Web Therapy&quot; on LStudio.com http://tinyurl.com/mnnn65 #lisakudrow #lexus"/>
    <s v="2009-06-24T21:45:00.000Z"/>
    <x v="0"/>
    <x v="17"/>
    <s v="21:45:00"/>
    <x v="0"/>
    <m/>
    <m/>
    <n v="0"/>
    <n v="0"/>
    <n v="0"/>
    <n v="0"/>
    <s v="No engagement"/>
    <x v="0"/>
    <b v="0"/>
    <b v="1"/>
    <x v="0"/>
  </r>
  <r>
    <s v="https://x.com/Toyota/status/2328696557"/>
    <s v="Toyota USA"/>
    <s v="@Toyota"/>
    <s v="Toyota Car Allowance Rebate System (CARS)...Government’s trade-in program aka “Cash for Clunkers”  http://tinyurl.com/lxmpp9 ^SD"/>
    <s v="2009-06-25T16:53:13.000Z"/>
    <x v="0"/>
    <x v="18"/>
    <s v="16:53:13"/>
    <x v="1"/>
    <m/>
    <m/>
    <n v="0"/>
    <n v="0"/>
    <n v="0"/>
    <n v="0"/>
    <s v="No engagement"/>
    <x v="0"/>
    <b v="0"/>
    <b v="1"/>
    <x v="0"/>
  </r>
  <r>
    <s v="https://x.com/Toyota/status/2388384716"/>
    <s v="Toyota USA"/>
    <s v="@Toyota"/>
    <s v="Toyota Motor Corporation News Release: Real-time control of wheelchairs with brain waves http://tinyurl.com/ksspe3"/>
    <s v="2009-06-29T15:00:28.000Z"/>
    <x v="0"/>
    <x v="19"/>
    <s v="15:00:28"/>
    <x v="1"/>
    <m/>
    <m/>
    <n v="0"/>
    <n v="0"/>
    <n v="0"/>
    <n v="0"/>
    <s v="No engagement"/>
    <x v="0"/>
    <b v="0"/>
    <b v="1"/>
    <x v="0"/>
  </r>
  <r>
    <s v="https://x.com/Toyota/status/2392949673"/>
    <s v="Toyota USA"/>
    <s v="@Toyota"/>
    <s v="2000 Tundra takes the &quot;Hauling Over $30,000&quot; category in @insideline_com Readers' Most Wanted Awards http://tinyurl.com/kud9fv ^SD"/>
    <s v="2009-06-29T20:34:00.000Z"/>
    <x v="0"/>
    <x v="19"/>
    <s v="20:34:00"/>
    <x v="0"/>
    <m/>
    <m/>
    <n v="0"/>
    <n v="0"/>
    <n v="0"/>
    <n v="0"/>
    <s v="No engagement"/>
    <x v="0"/>
    <b v="0"/>
    <b v="1"/>
    <x v="0"/>
  </r>
  <r>
    <s v="https://x.com/Toyota/status/2394885075"/>
    <s v="Toyota USA"/>
    <s v="@Toyota"/>
    <s v="@pamkulik We've started combined to build a model and plan for support/sustainment...Plan to eventually break off the brands. ^SD"/>
    <s v="2009-06-29T22:58:00.000Z"/>
    <x v="0"/>
    <x v="19"/>
    <s v="22:58:00"/>
    <x v="0"/>
    <m/>
    <m/>
    <n v="0"/>
    <n v="0"/>
    <n v="0"/>
    <n v="0"/>
    <s v="No engagement"/>
    <x v="0"/>
    <b v="0"/>
    <b v="0"/>
    <x v="1"/>
  </r>
  <r>
    <s v="https://x.com/Toyota/status/2404359134"/>
    <s v="Toyota USA"/>
    <s v="@Toyota"/>
    <s v="@cait2009 Congrats.  Hope you have a great experience with your new Camry. Enjoy! ^SD #toyota"/>
    <s v="2009-06-30T14:47:15.000Z"/>
    <x v="0"/>
    <x v="20"/>
    <s v="14:47:15"/>
    <x v="1"/>
    <s v="@cait2009"/>
    <m/>
    <n v="0"/>
    <n v="0"/>
    <n v="0"/>
    <n v="0"/>
    <s v="No engagement"/>
    <x v="0"/>
    <b v="0"/>
    <b v="0"/>
    <x v="1"/>
  </r>
  <r>
    <s v="https://x.com/Toyota/status/2404379444"/>
    <s v="Toyota USA"/>
    <s v="@Toyota"/>
    <s v="@suerigler Both great vehicles...but very different.  How'd you narrow down to Venza and Prius? ^SD"/>
    <s v="2009-06-30T14:48:43.000Z"/>
    <x v="0"/>
    <x v="20"/>
    <s v="14:48:43"/>
    <x v="1"/>
    <s v="@brewhousegirl"/>
    <m/>
    <n v="0"/>
    <n v="0"/>
    <n v="0"/>
    <n v="0"/>
    <s v="No engagement"/>
    <x v="0"/>
    <b v="0"/>
    <b v="0"/>
    <x v="1"/>
  </r>
  <r>
    <s v="https://x.com/Toyota/status/2404648164"/>
    <s v="Toyota USA"/>
    <s v="@Toyota"/>
    <s v="@suerigler Prius is a great choice. We have tons of Prius &quot;How To&quot; videos on our Youtube channel: http://tinyurl.com/mkwum8 ^SD Enjoy!"/>
    <s v="2009-06-30T15:08:15.000Z"/>
    <x v="0"/>
    <x v="20"/>
    <s v="15:08:15"/>
    <x v="1"/>
    <s v="@brewhousegirl"/>
    <m/>
    <n v="0"/>
    <n v="0"/>
    <n v="0"/>
    <n v="0"/>
    <s v="No engagement"/>
    <x v="0"/>
    <b v="0"/>
    <b v="1"/>
    <x v="0"/>
  </r>
  <r>
    <s v="https://x.com/Toyota/status/2404776870"/>
    <s v="Toyota USA"/>
    <s v="@Toyota"/>
    <s v="@InfoWeek_Andrew Hope you enjoy your new ride.  2010 Prius is an incredible vehicle...If you need info on any features, let me know. ^SD"/>
    <s v="2009-06-30T15:17:38.000Z"/>
    <x v="0"/>
    <x v="20"/>
    <s v="15:17:38"/>
    <x v="1"/>
    <s v="@Drew_CM"/>
    <m/>
    <n v="0"/>
    <n v="0"/>
    <n v="0"/>
    <n v="0"/>
    <s v="No engagement"/>
    <x v="0"/>
    <b v="0"/>
    <b v="0"/>
    <x v="1"/>
  </r>
  <r>
    <s v="https://x.com/Toyota/status/2405371236"/>
    <s v="Toyota USA"/>
    <s v="@Toyota"/>
    <s v="@suerigler That's cool.  I have a CD case made from one of our billboards http://bit.ly/3XMFP ^SD"/>
    <s v="2009-06-30T16:00:17.000Z"/>
    <x v="0"/>
    <x v="20"/>
    <s v="16:00:17"/>
    <x v="1"/>
    <s v="@brewhousegirl"/>
    <m/>
    <n v="0"/>
    <n v="0"/>
    <n v="0"/>
    <n v="0"/>
    <s v="No engagement"/>
    <x v="0"/>
    <b v="0"/>
    <b v="1"/>
    <x v="0"/>
  </r>
  <r>
    <s v="https://x.com/Toyota/status/2405396494"/>
    <s v="Toyota USA"/>
    <s v="@Toyota"/>
    <s v="VIDEO: Mind Power Moves Toyota Wheelchair http://tinyurl.com/ox3x2h ^SD"/>
    <s v="2009-06-30T16:02:00.000Z"/>
    <x v="0"/>
    <x v="20"/>
    <s v="16:02:00"/>
    <x v="1"/>
    <m/>
    <m/>
    <n v="1"/>
    <n v="0"/>
    <n v="0"/>
    <n v="1"/>
    <s v="Low engagement"/>
    <x v="0"/>
    <b v="0"/>
    <b v="1"/>
    <x v="0"/>
  </r>
  <r>
    <s v="https://x.com/Toyota/status/2406706927"/>
    <s v="Toyota USA"/>
    <s v="@Toyota"/>
    <s v="Toyota Camry tops this year's Cars.com American-Made Index: http://tinyurl.com/myjn94 #Kentucky #Indiana ^SD"/>
    <s v="2009-06-30T17:34:29.000Z"/>
    <x v="0"/>
    <x v="20"/>
    <s v="17:34:29"/>
    <x v="1"/>
    <m/>
    <m/>
    <n v="0"/>
    <n v="0"/>
    <n v="0"/>
    <n v="0"/>
    <s v="No engagement"/>
    <x v="0"/>
    <b v="0"/>
    <b v="1"/>
    <x v="0"/>
  </r>
  <r>
    <s v="https://x.com/Toyota/status/2422518462"/>
    <s v="Toyota USA"/>
    <s v="@Toyota"/>
    <s v="Enter to win a chance to drive the all-new Lexus HS 250h free for a year (and other great prizes) http://tinyurl.com/ncbcxk #drivehs ^SD"/>
    <s v="2009-07-01T16:44:58.000Z"/>
    <x v="0"/>
    <x v="21"/>
    <s v="16:44:58"/>
    <x v="1"/>
    <m/>
    <m/>
    <n v="2"/>
    <n v="0"/>
    <n v="0"/>
    <n v="2"/>
    <s v="Low engagement"/>
    <x v="0"/>
    <b v="0"/>
    <b v="1"/>
    <x v="0"/>
  </r>
  <r>
    <s v="https://x.com/Toyota/status/2422621007"/>
    <s v="Toyota USA"/>
    <s v="@Toyota"/>
    <s v="@ZachHubbell Hey Zach, please contact our Customer Experience Center and let them know the situation http://tinyurl.com/ctdhlt Thanks ^SD"/>
    <s v="2009-07-01T16:52:10.000Z"/>
    <x v="0"/>
    <x v="21"/>
    <s v="16:52:10"/>
    <x v="1"/>
    <m/>
    <m/>
    <n v="0"/>
    <n v="0"/>
    <n v="0"/>
    <n v="0"/>
    <s v="No engagement"/>
    <x v="0"/>
    <b v="0"/>
    <b v="1"/>
    <x v="0"/>
  </r>
  <r>
    <s v="https://x.com/Toyota/status/2422860198"/>
    <s v="Toyota USA"/>
    <s v="@Toyota"/>
    <s v="@dcwilliams84 Still planning...nothing to announce yet.  Thanks, ^SD"/>
    <s v="2009-07-01T17:09:02.000Z"/>
    <x v="0"/>
    <x v="21"/>
    <s v="17:09:02"/>
    <x v="1"/>
    <s v="@dcwilliams84"/>
    <m/>
    <n v="0"/>
    <n v="0"/>
    <n v="0"/>
    <n v="0"/>
    <s v="No engagement"/>
    <x v="0"/>
    <b v="0"/>
    <b v="0"/>
    <x v="1"/>
  </r>
  <r>
    <s v="https://x.com/Toyota/status/2423283708"/>
    <s v="Toyota USA"/>
    <s v="@Toyota"/>
    <s v="Toyota reports June and half-year sales: http://bit.ly/vRMLd"/>
    <s v="2009-07-01T17:38:53.000Z"/>
    <x v="0"/>
    <x v="21"/>
    <s v="17:38:53"/>
    <x v="1"/>
    <m/>
    <m/>
    <n v="1"/>
    <n v="0"/>
    <n v="0"/>
    <n v="1"/>
    <s v="Low engagement"/>
    <x v="0"/>
    <b v="0"/>
    <b v="1"/>
    <x v="0"/>
  </r>
  <r>
    <s v="https://x.com/Toyota/status/2423366681"/>
    <s v="Toyota USA"/>
    <s v="@Toyota"/>
    <s v="Visit www.drivehs.com to begin your campaign to drive a Lexus HS 250h free for a year. Video:  http://tinyurl.com/ncbcxk #drivehs ^SD"/>
    <s v="2009-07-01T17:44:44.000Z"/>
    <x v="0"/>
    <x v="21"/>
    <s v="17:44:44"/>
    <x v="1"/>
    <m/>
    <m/>
    <n v="1"/>
    <n v="0"/>
    <n v="0"/>
    <n v="1"/>
    <s v="Low engagement"/>
    <x v="0"/>
    <b v="0"/>
    <b v="1"/>
    <x v="0"/>
  </r>
  <r>
    <s v="https://x.com/Toyota/status/2425790719"/>
    <s v="Toyota USA"/>
    <s v="@Toyota"/>
    <s v="Pres. Obama nominates Dr. Brenda Dann-Messier of Toyota partner NCFL to be new Asst Secty at U.S. Dept of Ed. http://tinyurl.com/nq3w2o ^DS"/>
    <s v="2009-07-01T20:38:38.000Z"/>
    <x v="0"/>
    <x v="21"/>
    <s v="20:38:38"/>
    <x v="0"/>
    <m/>
    <m/>
    <n v="0"/>
    <n v="0"/>
    <n v="0"/>
    <n v="0"/>
    <s v="No engagement"/>
    <x v="0"/>
    <b v="0"/>
    <b v="1"/>
    <x v="0"/>
  </r>
  <r>
    <s v="https://x.com/Toyota/status/2426276442"/>
    <s v="Toyota USA"/>
    <s v="@Toyota"/>
    <s v="@Birdiee Hi there.  If you're having any issues, please contact our Customer Experience Center: http://tinyurl.com/ctdhlt ^SD"/>
    <s v="2009-07-01T21:12:49.000Z"/>
    <x v="0"/>
    <x v="21"/>
    <s v="21:12:49"/>
    <x v="0"/>
    <s v="@Birdiee"/>
    <m/>
    <n v="0"/>
    <n v="0"/>
    <n v="0"/>
    <n v="0"/>
    <s v="No engagement"/>
    <x v="0"/>
    <b v="0"/>
    <b v="1"/>
    <x v="0"/>
  </r>
  <r>
    <s v="https://x.com/Toyota/status/2426756315"/>
    <s v="Toyota USA"/>
    <s v="@Toyota"/>
    <s v="@Birdiee Call this number: 800-331-4331 They'll get you're info. ^SD"/>
    <s v="2009-07-01T21:47:18.000Z"/>
    <x v="0"/>
    <x v="21"/>
    <s v="21:47:18"/>
    <x v="0"/>
    <s v="@Birdiee"/>
    <m/>
    <n v="0"/>
    <n v="0"/>
    <n v="0"/>
    <n v="0"/>
    <s v="No engagement"/>
    <x v="0"/>
    <b v="0"/>
    <b v="0"/>
    <x v="1"/>
  </r>
  <r>
    <s v="https://x.com/Toyota/status/2427142261"/>
    <s v="Toyota USA"/>
    <s v="@Toyota"/>
    <s v="RT @realitygal: @Toyota I have decided to sell my Honda and buy a Toyota because you are on Twitter and open to customers  (Thanks, ^SD)"/>
    <s v="2009-07-01T22:15:11.000Z"/>
    <x v="0"/>
    <x v="21"/>
    <s v="22:15:11"/>
    <x v="0"/>
    <m/>
    <s v="@realitygal"/>
    <n v="0"/>
    <n v="0"/>
    <n v="0"/>
    <n v="0"/>
    <s v="No engagement"/>
    <x v="0"/>
    <b v="0"/>
    <b v="0"/>
    <x v="1"/>
  </r>
  <r>
    <s v="https://x.com/Toyota/status/2427678653"/>
    <s v="Toyota USA"/>
    <s v="@Toyota"/>
    <s v="@ZachHubbell Thanks Zach. ^SD"/>
    <s v="2009-07-01T22:54:44.000Z"/>
    <x v="0"/>
    <x v="21"/>
    <s v="22:54:44"/>
    <x v="0"/>
    <m/>
    <m/>
    <n v="0"/>
    <n v="0"/>
    <n v="0"/>
    <n v="0"/>
    <s v="No engagement"/>
    <x v="0"/>
    <b v="0"/>
    <b v="0"/>
    <x v="1"/>
  </r>
  <r>
    <s v="https://x.com/Toyota/status/2427743481"/>
    <s v="Toyota USA"/>
    <s v="@Toyota"/>
    <s v="@npalefsky Shoot us any questions she has about her new RX. Thanks. ^SD"/>
    <s v="2009-07-01T22:59:36.000Z"/>
    <x v="0"/>
    <x v="21"/>
    <s v="22:59:36"/>
    <x v="0"/>
    <s v="@npalefsky"/>
    <m/>
    <n v="0"/>
    <n v="0"/>
    <n v="0"/>
    <n v="0"/>
    <s v="No engagement"/>
    <x v="0"/>
    <b v="0"/>
    <b v="0"/>
    <x v="1"/>
  </r>
  <r>
    <s v="https://x.com/Toyota/status/2428087641"/>
    <s v="Toyota USA"/>
    <s v="@Toyota"/>
    <s v="@ZachHubbell Awesome. Glad to hear it. Thanks for the update. ^SD"/>
    <s v="2009-07-01T23:25:14.000Z"/>
    <x v="0"/>
    <x v="21"/>
    <s v="23:25:14"/>
    <x v="0"/>
    <m/>
    <m/>
    <n v="0"/>
    <n v="0"/>
    <n v="0"/>
    <n v="0"/>
    <s v="No engagement"/>
    <x v="0"/>
    <b v="0"/>
    <b v="0"/>
    <x v="1"/>
  </r>
  <r>
    <s v="https://x.com/Toyota/status/2439973516"/>
    <s v="Toyota USA"/>
    <s v="@Toyota"/>
    <s v="LA Times: Solar energy helps to power huge ship at Port of Long Beach http://bit.ly/ZF2No  ^AT"/>
    <s v="2009-07-02T17:17:04.000Z"/>
    <x v="0"/>
    <x v="22"/>
    <s v="17:17:04"/>
    <x v="1"/>
    <m/>
    <m/>
    <n v="1"/>
    <n v="0"/>
    <n v="0"/>
    <n v="1"/>
    <s v="Low engagement"/>
    <x v="0"/>
    <b v="0"/>
    <b v="1"/>
    <x v="0"/>
  </r>
  <r>
    <s v="https://x.com/Toyota/status/2440102696"/>
    <s v="Toyota USA"/>
    <s v="@Toyota"/>
    <s v="Lexus F-Sport Accessories are 20% off through July 31st, 2009. Available exclusively on the IS, IS Convertible and GS. http://bit.ly/UxD70"/>
    <s v="2009-07-02T17:25:47.000Z"/>
    <x v="0"/>
    <x v="22"/>
    <s v="17:25:47"/>
    <x v="1"/>
    <m/>
    <m/>
    <n v="0"/>
    <n v="0"/>
    <n v="0"/>
    <n v="0"/>
    <s v="No engagement"/>
    <x v="0"/>
    <b v="0"/>
    <b v="1"/>
    <x v="0"/>
  </r>
  <r>
    <s v="https://x.com/Toyota/status/2443835856"/>
    <s v="Toyota USA"/>
    <s v="@Toyota"/>
    <s v="Attention active military! Get $1K, special financing &amp; benefits on purchase or lease of new Scions: www.scion.com/military"/>
    <s v="2009-07-02T21:46:38.000Z"/>
    <x v="0"/>
    <x v="22"/>
    <s v="21:46:38"/>
    <x v="0"/>
    <m/>
    <m/>
    <n v="1"/>
    <n v="0"/>
    <n v="0"/>
    <n v="1"/>
    <s v="Low engagement"/>
    <x v="0"/>
    <b v="0"/>
    <b v="1"/>
    <x v="0"/>
  </r>
  <r>
    <s v="https://x.com/Toyota/status/2444356231"/>
    <s v="Toyota USA"/>
    <s v="@Toyota"/>
    <s v="@ashe_engineer Hi there. Please contact our Customer Experience Center and let them know the situation: http://tinyurl.com/ctdhlt ^SD"/>
    <s v="2009-07-02T22:23:17.000Z"/>
    <x v="0"/>
    <x v="22"/>
    <s v="22:23:17"/>
    <x v="0"/>
    <s v="@MikeFabish"/>
    <m/>
    <n v="0"/>
    <n v="0"/>
    <n v="0"/>
    <n v="0"/>
    <s v="No engagement"/>
    <x v="0"/>
    <b v="0"/>
    <b v="1"/>
    <x v="0"/>
  </r>
  <r>
    <s v="https://x.com/Toyota/status/2500494948"/>
    <s v="Toyota USA"/>
    <s v="@Toyota"/>
    <s v="Check out new post on the Toyota newsroom: Full hybrids vs. ‘Mild’ hybridshttp://tinyurl.com/max3z9  ^DM"/>
    <s v="2009-07-06T18:03:56.000Z"/>
    <x v="0"/>
    <x v="23"/>
    <s v="18:03:56"/>
    <x v="0"/>
    <m/>
    <m/>
    <n v="1"/>
    <n v="0"/>
    <n v="0"/>
    <n v="1"/>
    <s v="Low engagement"/>
    <x v="0"/>
    <b v="0"/>
    <b v="1"/>
    <x v="0"/>
  </r>
  <r>
    <s v="https://x.com/Toyota/status/2500510910"/>
    <s v="Toyota USA"/>
    <s v="@Toyota"/>
    <s v="Check out new post on the Toyota newsroom: Full hybrids vs. ‘Mild’ hybrids http://tinyurl.com/max3z9"/>
    <s v="2009-07-06T18:05:03.000Z"/>
    <x v="0"/>
    <x v="23"/>
    <s v="18:05:03"/>
    <x v="0"/>
    <m/>
    <m/>
    <n v="0"/>
    <n v="0"/>
    <n v="0"/>
    <n v="0"/>
    <s v="No engagement"/>
    <x v="0"/>
    <b v="0"/>
    <b v="1"/>
    <x v="0"/>
  </r>
  <r>
    <s v="https://x.com/Toyota/status/2502773260"/>
    <s v="Toyota USA"/>
    <s v="@Toyota"/>
    <s v="@EvelynKanter  Thanks for bringing this up. We consider Toyota newsroom as a source of info for everyone! ^DM"/>
    <s v="2009-07-06T20:45:12.000Z"/>
    <x v="0"/>
    <x v="23"/>
    <s v="20:45:12"/>
    <x v="0"/>
    <s v="@EvelynKanter"/>
    <m/>
    <n v="0"/>
    <n v="0"/>
    <n v="0"/>
    <n v="0"/>
    <s v="No engagement"/>
    <x v="0"/>
    <b v="0"/>
    <b v="0"/>
    <x v="1"/>
  </r>
  <r>
    <s v="https://x.com/Toyota/status/2502954247"/>
    <s v="Toyota USA"/>
    <s v="@Toyota"/>
    <s v="@tlberglund I'll be happy to DM you - go ahead and follow me. ^DM"/>
    <s v="2009-07-06T20:58:21.000Z"/>
    <x v="0"/>
    <x v="23"/>
    <s v="20:58:21"/>
    <x v="0"/>
    <s v="@tlberglund"/>
    <m/>
    <n v="0"/>
    <n v="0"/>
    <n v="0"/>
    <n v="0"/>
    <s v="No engagement"/>
    <x v="0"/>
    <b v="0"/>
    <b v="0"/>
    <x v="1"/>
  </r>
  <r>
    <s v="https://x.com/Toyota/status/2503455437"/>
    <s v="Toyota USA"/>
    <s v="@Toyota"/>
    <s v="@suerigler Thanks for posting! I'll make sure to tell Jana &amp; Ed. ^DM"/>
    <s v="2009-07-06T21:39:01.000Z"/>
    <x v="0"/>
    <x v="23"/>
    <s v="21:39:01"/>
    <x v="0"/>
    <s v="@brewhousegirl"/>
    <m/>
    <n v="0"/>
    <n v="0"/>
    <n v="0"/>
    <n v="0"/>
    <s v="No engagement"/>
    <x v="0"/>
    <b v="0"/>
    <b v="0"/>
    <x v="1"/>
  </r>
  <r>
    <s v="https://x.com/Toyota/status/2504145551"/>
    <s v="Toyota USA"/>
    <s v="@Toyota"/>
    <s v="Just uploaded 3 Lexus commercials to the Lexus vehicles youtube channel http://tinyurl.com/dyhj8z  Check ‘em out! ^DM"/>
    <s v="2009-07-06T22:29:36.000Z"/>
    <x v="0"/>
    <x v="23"/>
    <s v="22:29:36"/>
    <x v="0"/>
    <m/>
    <m/>
    <n v="0"/>
    <n v="0"/>
    <n v="0"/>
    <n v="0"/>
    <s v="No engagement"/>
    <x v="0"/>
    <b v="0"/>
    <b v="1"/>
    <x v="0"/>
  </r>
  <r>
    <s v="https://x.com/Toyota/status/2506141098"/>
    <s v="Toyota USA"/>
    <s v="@Toyota"/>
    <s v="@tlberglund I'm following you on Twitter. Did you get my DM?"/>
    <s v="2009-07-07T00:58:36.000Z"/>
    <x v="0"/>
    <x v="24"/>
    <s v="00:58:36"/>
    <x v="2"/>
    <s v="@tlberglund"/>
    <m/>
    <n v="0"/>
    <n v="0"/>
    <n v="0"/>
    <n v="0"/>
    <s v="No engagement"/>
    <x v="0"/>
    <b v="0"/>
    <b v="0"/>
    <x v="1"/>
  </r>
  <r>
    <s v="https://x.com/Toyota/status/2558488977"/>
    <s v="Toyota USA"/>
    <s v="@Toyota"/>
    <s v="Prius “Harmony Installations” campaign, and the solar flower displays are on-site in Boston JULY 8 - 19 http://tinyurl.com/ljg3w6 ^DM"/>
    <s v="2009-07-09T23:07:50.000Z"/>
    <x v="0"/>
    <x v="25"/>
    <s v="23:07:50"/>
    <x v="0"/>
    <m/>
    <m/>
    <n v="0"/>
    <n v="0"/>
    <n v="0"/>
    <n v="0"/>
    <s v="No engagement"/>
    <x v="0"/>
    <b v="0"/>
    <b v="1"/>
    <x v="0"/>
  </r>
  <r>
    <s v="https://x.com/Toyota/status/2615493071"/>
    <s v="Toyota USA"/>
    <s v="@Toyota"/>
    <s v="@MarlonMartinez Nothing to announce."/>
    <s v="2009-07-13T15:28:29.000Z"/>
    <x v="0"/>
    <x v="26"/>
    <s v="15:28:29"/>
    <x v="1"/>
    <m/>
    <m/>
    <n v="0"/>
    <n v="0"/>
    <n v="0"/>
    <n v="0"/>
    <s v="No engagement"/>
    <x v="0"/>
    <b v="0"/>
    <b v="0"/>
    <x v="1"/>
  </r>
  <r>
    <s v="https://x.com/Toyota/status/2620891565"/>
    <s v="Toyota USA"/>
    <s v="@Toyota"/>
    <s v="Be sure and follow the Prius Drive Thru, a month-long road trip across America sponsored by Toyota. http://tinyurl.com/l7d6hy ^SD"/>
    <s v="2009-07-13T21:31:41.000Z"/>
    <x v="0"/>
    <x v="26"/>
    <s v="21:31:41"/>
    <x v="0"/>
    <m/>
    <m/>
    <n v="1"/>
    <n v="0"/>
    <n v="0"/>
    <n v="1"/>
    <s v="Low engagement"/>
    <x v="0"/>
    <b v="0"/>
    <b v="1"/>
    <x v="0"/>
  </r>
  <r>
    <s v="https://x.com/Toyota/status/2621327800"/>
    <s v="Toyota USA"/>
    <s v="@Toyota"/>
    <s v="@cavecutter The 2010 Highlander has a one piece third row seat...like the 2009. ^SD"/>
    <s v="2009-07-13T22:01:23.000Z"/>
    <x v="0"/>
    <x v="26"/>
    <s v="22:01:23"/>
    <x v="0"/>
    <s v="@davidpuner"/>
    <m/>
    <n v="0"/>
    <n v="0"/>
    <n v="0"/>
    <n v="0"/>
    <s v="No engagement"/>
    <x v="0"/>
    <b v="0"/>
    <b v="0"/>
    <x v="1"/>
  </r>
  <r>
    <s v="https://x.com/Toyota/status/2632843337"/>
    <s v="Toyota USA"/>
    <s v="@Toyota"/>
    <s v="ABC 7 News takes a look at how Toyota is putting teen drivers to the test  #drivingexpectations ^SD http://bit.ly/YATgF"/>
    <s v="2009-07-14T14:30:59.000Z"/>
    <x v="0"/>
    <x v="27"/>
    <s v="14:30:59"/>
    <x v="1"/>
    <m/>
    <m/>
    <n v="0"/>
    <n v="0"/>
    <n v="0"/>
    <n v="0"/>
    <s v="No engagement"/>
    <x v="0"/>
    <b v="0"/>
    <b v="1"/>
    <x v="0"/>
  </r>
  <r>
    <s v="https://x.com/Toyota/status/2632966898"/>
    <s v="Toyota USA"/>
    <s v="@Toyota"/>
    <s v="RT @icrossing: We launched new mobile site for @Toyota http://bit.ly/rRJ9a"/>
    <s v="2009-07-14T14:39:30.000Z"/>
    <x v="0"/>
    <x v="27"/>
    <s v="14:39:30"/>
    <x v="1"/>
    <m/>
    <s v="@icrossing"/>
    <n v="1"/>
    <n v="0"/>
    <n v="0"/>
    <n v="1"/>
    <s v="Low engagement"/>
    <x v="0"/>
    <b v="0"/>
    <b v="1"/>
    <x v="0"/>
  </r>
  <r>
    <s v="https://x.com/Toyota/status/2635243663"/>
    <s v="Toyota USA"/>
    <s v="@Toyota"/>
    <s v="ToyotaVIDEO: Rod Millen's Toyota Tacoma charges up the hill http://tinyurl.com/nobwd2  (via @therealautoblog ) Man that thing cooks! ^SD"/>
    <s v="2009-07-14T17:09:16.000Z"/>
    <x v="0"/>
    <x v="27"/>
    <s v="17:09:16"/>
    <x v="1"/>
    <m/>
    <m/>
    <n v="1"/>
    <n v="0"/>
    <n v="0"/>
    <n v="1"/>
    <s v="Low engagement"/>
    <x v="0"/>
    <b v="0"/>
    <b v="1"/>
    <x v="0"/>
  </r>
  <r>
    <s v="https://x.com/Toyota/status/2635271216"/>
    <s v="Toyota USA"/>
    <s v="@Toyota"/>
    <s v="@collink Thanks.  Sorry."/>
    <s v="2009-07-14T17:10:58.000Z"/>
    <x v="0"/>
    <x v="27"/>
    <s v="17:10:58"/>
    <x v="1"/>
    <s v="@z0mbycide"/>
    <m/>
    <n v="0"/>
    <n v="0"/>
    <n v="0"/>
    <n v="0"/>
    <s v="No engagement"/>
    <x v="0"/>
    <b v="0"/>
    <b v="0"/>
    <x v="1"/>
  </r>
  <r>
    <s v="https://x.com/Toyota/status/2635573896"/>
    <s v="Toyota USA"/>
    <s v="@Toyota"/>
    <s v="@collink I'd of had that thing rolled in a ditch after the first turn. ^SD"/>
    <s v="2009-07-14T17:31:08.000Z"/>
    <x v="0"/>
    <x v="27"/>
    <s v="17:31:08"/>
    <x v="1"/>
    <s v="@z0mbycide"/>
    <m/>
    <n v="0"/>
    <n v="0"/>
    <n v="0"/>
    <n v="0"/>
    <s v="No engagement"/>
    <x v="0"/>
    <b v="0"/>
    <b v="0"/>
    <x v="1"/>
  </r>
  <r>
    <s v="https://x.com/Toyota/status/2635999376"/>
    <s v="Toyota USA"/>
    <s v="@Toyota"/>
    <s v="@collink You haven't seen me drive. ^SD"/>
    <s v="2009-07-14T17:58:33.000Z"/>
    <x v="0"/>
    <x v="27"/>
    <s v="17:58:33"/>
    <x v="1"/>
    <s v="@z0mbycide"/>
    <m/>
    <n v="0"/>
    <n v="0"/>
    <n v="0"/>
    <n v="0"/>
    <s v="No engagement"/>
    <x v="0"/>
    <b v="0"/>
    <b v="0"/>
    <x v="1"/>
  </r>
  <r>
    <s v="https://x.com/Toyota/status/2637946940"/>
    <s v="Toyota USA"/>
    <s v="@Toyota"/>
    <s v="Tanner Foust Slides the Scion tC to Victory at Round 4 of the Formula DRIFT Series in Las Vegas http://tinyurl.com/l8fmv8 ^SD"/>
    <s v="2009-07-14T20:03:21.000Z"/>
    <x v="0"/>
    <x v="27"/>
    <s v="20:03:21"/>
    <x v="0"/>
    <m/>
    <m/>
    <n v="0"/>
    <n v="0"/>
    <n v="0"/>
    <n v="0"/>
    <s v="No engagement"/>
    <x v="0"/>
    <b v="0"/>
    <b v="1"/>
    <x v="0"/>
  </r>
  <r>
    <s v="https://x.com/Toyota/status/2638085318"/>
    <s v="Toyota USA"/>
    <s v="@Toyota"/>
    <s v="RT @Priusdrivethru http://twitpic.com/acpb0. ContourHD camera in action (follow their travels as they go 8,000 miles in a 2010 Prius. ^SD)"/>
    <s v="2009-07-14T20:12:06.000Z"/>
    <x v="0"/>
    <x v="27"/>
    <s v="20:12:06"/>
    <x v="0"/>
    <m/>
    <m/>
    <n v="1"/>
    <n v="0"/>
    <n v="0"/>
    <n v="1"/>
    <s v="Low engagement"/>
    <x v="0"/>
    <b v="0"/>
    <b v="1"/>
    <x v="0"/>
  </r>
  <r>
    <s v="https://x.com/Toyota/status/2639595582"/>
    <s v="Toyota USA"/>
    <s v="@Toyota"/>
    <s v="Added a &quot;Prius Harmony: Solar Flowers&quot; set of pics to our Flickr account...check it out http://tinyurl.com/lq2um4 #prius ^SD"/>
    <s v="2009-07-14T21:46:51.000Z"/>
    <x v="0"/>
    <x v="27"/>
    <s v="21:46:51"/>
    <x v="0"/>
    <m/>
    <m/>
    <n v="0"/>
    <n v="0"/>
    <n v="0"/>
    <n v="0"/>
    <s v="No engagement"/>
    <x v="0"/>
    <b v="0"/>
    <b v="1"/>
    <x v="0"/>
  </r>
  <r>
    <s v="https://x.com/Toyota/status/2640455653"/>
    <s v="Toyota USA"/>
    <s v="@Toyota"/>
    <s v="RT @natalie_gulbis http://twitpic.com/a57h2 - Lexus signing"/>
    <s v="2009-07-14T22:41:28.000Z"/>
    <x v="0"/>
    <x v="27"/>
    <s v="22:41:28"/>
    <x v="0"/>
    <m/>
    <m/>
    <n v="0"/>
    <n v="0"/>
    <n v="0"/>
    <n v="0"/>
    <s v="No engagement"/>
    <x v="0"/>
    <b v="0"/>
    <b v="1"/>
    <x v="0"/>
  </r>
  <r>
    <s v="https://x.com/Toyota/status/2640495907"/>
    <s v="Toyota USA"/>
    <s v="@Toyota"/>
    <s v="RT @natalie_gulbis  http://twitpic.com/a4xqw - By new golf ball Lexus"/>
    <s v="2009-07-14T22:44:09.000Z"/>
    <x v="0"/>
    <x v="27"/>
    <s v="22:44:09"/>
    <x v="0"/>
    <m/>
    <m/>
    <n v="0"/>
    <n v="0"/>
    <n v="0"/>
    <n v="0"/>
    <s v="No engagement"/>
    <x v="0"/>
    <b v="0"/>
    <b v="1"/>
    <x v="0"/>
  </r>
  <r>
    <s v="https://x.com/Toyota/status/2653652733"/>
    <s v="Toyota USA"/>
    <s v="@Toyota"/>
    <s v="Remember tweeps...You can win the opportunity to drive a Lexus HS 250h hybrid free for a year.  http://tinyurl.com/ldnyfw #drivehs"/>
    <s v="2009-07-15T16:39:09.000Z"/>
    <x v="0"/>
    <x v="28"/>
    <s v="16:39:09"/>
    <x v="1"/>
    <m/>
    <m/>
    <n v="0"/>
    <n v="0"/>
    <n v="0"/>
    <n v="0"/>
    <s v="No engagement"/>
    <x v="0"/>
    <b v="0"/>
    <b v="1"/>
    <x v="0"/>
  </r>
  <r>
    <s v="https://x.com/Toyota/status/2653807967"/>
    <s v="Toyota USA"/>
    <s v="@Toyota"/>
    <s v="Just uploaded new Tundra comparison vids to our YouTube channel...check them out: http://tinyurl.com/nj79ey #toyota #tundra ^SD"/>
    <s v="2009-07-15T16:48:51.000Z"/>
    <x v="0"/>
    <x v="28"/>
    <s v="16:48:51"/>
    <x v="1"/>
    <m/>
    <m/>
    <n v="0"/>
    <n v="0"/>
    <n v="0"/>
    <n v="0"/>
    <s v="No engagement"/>
    <x v="0"/>
    <b v="0"/>
    <b v="1"/>
    <x v="0"/>
  </r>
  <r>
    <s v="https://x.com/Toyota/status/2653847361"/>
    <s v="Toyota USA"/>
    <s v="@Toyota"/>
    <s v="RT @priusdrivethru #mpg yesterdays total 520 miles traveled, avg speed 51 mph, 48.4mpg (follow as they go 8k miles in a 2010 Prius)"/>
    <s v="2009-07-15T16:51:20.000Z"/>
    <x v="0"/>
    <x v="28"/>
    <s v="16:51:20"/>
    <x v="1"/>
    <m/>
    <m/>
    <n v="0"/>
    <n v="0"/>
    <n v="0"/>
    <n v="0"/>
    <s v="No engagement"/>
    <x v="0"/>
    <b v="0"/>
    <b v="0"/>
    <x v="1"/>
  </r>
  <r>
    <s v="https://x.com/Toyota/status/2654843570"/>
    <s v="Toyota USA"/>
    <s v="@Toyota"/>
    <s v="VIDEO: Inside Look: Toyota, NYK Line Unveil Solar-Powered Cargo Ship http://tinyurl.com/lmow24 ^SD"/>
    <s v="2009-07-15T17:54:31.000Z"/>
    <x v="0"/>
    <x v="28"/>
    <s v="17:54:31"/>
    <x v="1"/>
    <m/>
    <m/>
    <n v="0"/>
    <n v="0"/>
    <n v="0"/>
    <n v="0"/>
    <s v="No engagement"/>
    <x v="0"/>
    <b v="0"/>
    <b v="1"/>
    <x v="0"/>
  </r>
  <r>
    <s v="https://x.com/Toyota/status/2670258746"/>
    <s v="Toyota USA"/>
    <s v="@Toyota"/>
    <s v="@HotWheelsOnline RT @clubsciontc: Forums: Hot Wheels Scion tC http://tinyurl.com/lsp7rt (I dig this...I gotta find me one too ^SD)"/>
    <s v="2009-07-16T14:29:56.000Z"/>
    <x v="0"/>
    <x v="29"/>
    <s v="14:29:56"/>
    <x v="1"/>
    <s v="@Hot_Wheels"/>
    <s v="@clubsciontc"/>
    <n v="0"/>
    <n v="0"/>
    <n v="0"/>
    <n v="0"/>
    <s v="No engagement"/>
    <x v="0"/>
    <b v="0"/>
    <b v="1"/>
    <x v="0"/>
  </r>
  <r>
    <s v="https://x.com/Toyota/status/2670509677"/>
    <s v="Toyota USA"/>
    <s v="@Toyota"/>
    <s v="I got a ? regarding &quot;Cash for Clunkers&quot; program...click here for info: http://tinyurl.com/lxmpp9 #toyota #cashforclunkers ^SD"/>
    <s v="2009-07-16T14:48:41.000Z"/>
    <x v="0"/>
    <x v="29"/>
    <s v="14:48:41"/>
    <x v="1"/>
    <m/>
    <m/>
    <n v="0"/>
    <n v="0"/>
    <n v="0"/>
    <n v="0"/>
    <s v="No engagement"/>
    <x v="0"/>
    <b v="0"/>
    <b v="1"/>
    <x v="0"/>
  </r>
  <r>
    <s v="https://x.com/Toyota/status/2671951045"/>
    <s v="Toyota USA"/>
    <s v="@Toyota"/>
    <s v="RT @icrossing: we're so proud of our work with @Toyota: http://bit.ly/iS3cd"/>
    <s v="2009-07-16T16:34:56.000Z"/>
    <x v="0"/>
    <x v="29"/>
    <s v="16:34:56"/>
    <x v="1"/>
    <m/>
    <s v="@icrossing"/>
    <n v="0"/>
    <n v="0"/>
    <n v="0"/>
    <n v="0"/>
    <s v="No engagement"/>
    <x v="0"/>
    <b v="0"/>
    <b v="1"/>
    <x v="0"/>
  </r>
  <r>
    <s v="https://x.com/Toyota/status/2694354138"/>
    <s v="Toyota USA"/>
    <s v="@Toyota"/>
    <s v="RT @priusdrivethru http://twitpic.com/amlfb. Prius Drive Thru mobile studio, set up here in Madison for green drive expo. #priusdrivethru"/>
    <s v="2009-07-17T20:00:40.000Z"/>
    <x v="0"/>
    <x v="30"/>
    <s v="20:00:40"/>
    <x v="0"/>
    <m/>
    <m/>
    <n v="0"/>
    <n v="0"/>
    <n v="0"/>
    <n v="0"/>
    <s v="No engagement"/>
    <x v="0"/>
    <b v="0"/>
    <b v="1"/>
    <x v="0"/>
  </r>
  <r>
    <s v="https://x.com/Toyota/status/2694425408"/>
    <s v="Toyota USA"/>
    <s v="@Toyota"/>
    <s v="VIDEO: Toyota iQ: Small Car, Font Jockey http://tinyurl.com/ra55su Pretty cool stuff. ^SD #toyota #iQ"/>
    <s v="2009-07-17T20:05:04.000Z"/>
    <x v="0"/>
    <x v="30"/>
    <s v="20:05:04"/>
    <x v="0"/>
    <m/>
    <m/>
    <n v="1"/>
    <n v="0"/>
    <n v="0"/>
    <n v="1"/>
    <s v="Low engagement"/>
    <x v="0"/>
    <b v="0"/>
    <b v="1"/>
    <x v="0"/>
  </r>
  <r>
    <s v="https://x.com/Toyota/status/2741874054"/>
    <s v="Toyota USA"/>
    <s v="@Toyota"/>
    <s v="New report on top 100 brands online in terms of social media engagement (via @charleneli) http://bit.ly/Tb1Ht ^SM"/>
    <s v="2009-07-20T17:16:58.000Z"/>
    <x v="0"/>
    <x v="31"/>
    <s v="17:16:58"/>
    <x v="1"/>
    <m/>
    <m/>
    <n v="0"/>
    <n v="0"/>
    <n v="0"/>
    <n v="0"/>
    <s v="No engagement"/>
    <x v="0"/>
    <b v="0"/>
    <b v="1"/>
    <x v="0"/>
  </r>
  <r>
    <s v="https://x.com/Toyota/status/2747009974"/>
    <s v="Toyota USA"/>
    <s v="@Toyota"/>
    <s v="USA Today: Car transport ships set sail to save money http://bit.ly/mtoQj ^AT"/>
    <s v="2009-07-20T22:41:17.000Z"/>
    <x v="0"/>
    <x v="31"/>
    <s v="22:41:17"/>
    <x v="0"/>
    <m/>
    <m/>
    <n v="0"/>
    <n v="0"/>
    <n v="0"/>
    <n v="0"/>
    <s v="No engagement"/>
    <x v="0"/>
    <b v="0"/>
    <b v="1"/>
    <x v="0"/>
  </r>
  <r>
    <s v="https://x.com/Toyota/status/2759203218"/>
    <s v="Toyota USA"/>
    <s v="@Toyota"/>
    <s v="TogetherGreen is looking for volunteers for wildlife projects in Maine! http://tinyurl.com/l46z8w @audubonsociety ^DS"/>
    <s v="2009-07-21T15:10:26.000Z"/>
    <x v="0"/>
    <x v="32"/>
    <s v="15:10:26"/>
    <x v="1"/>
    <m/>
    <m/>
    <n v="0"/>
    <n v="0"/>
    <n v="0"/>
    <n v="0"/>
    <s v="No engagement"/>
    <x v="0"/>
    <b v="0"/>
    <b v="1"/>
    <x v="0"/>
  </r>
  <r>
    <s v="https://x.com/Toyota/status/2780271174"/>
    <s v="Toyota USA"/>
    <s v="@Toyota"/>
    <s v="RT @autoblogrss: Prius promotion plants giant solar flowers with free electricity, WiFi in cities: http://bit.ly/17AGVe"/>
    <s v="2009-07-22T16:15:10.000Z"/>
    <x v="0"/>
    <x v="33"/>
    <s v="16:15:10"/>
    <x v="1"/>
    <m/>
    <s v="@autoblogrss"/>
    <n v="1"/>
    <n v="0"/>
    <n v="0"/>
    <n v="1"/>
    <s v="Low engagement"/>
    <x v="0"/>
    <b v="0"/>
    <b v="1"/>
    <x v="0"/>
  </r>
  <r>
    <s v="https://x.com/Toyota/status/2825527104"/>
    <s v="Toyota USA"/>
    <s v="@Toyota"/>
    <s v="Toyota Launches &quot;Cash for Clunkers&quot; Program http://tinyurl.com/mqh8m6 Commercial: http://tinyurl.com/m9hdgo #cashforclunkers ^SD"/>
    <s v="2009-07-24T20:42:53.000Z"/>
    <x v="0"/>
    <x v="34"/>
    <s v="20:42:53"/>
    <x v="0"/>
    <m/>
    <m/>
    <n v="0"/>
    <n v="0"/>
    <n v="0"/>
    <n v="0"/>
    <s v="No engagement"/>
    <x v="0"/>
    <b v="0"/>
    <b v="1"/>
    <x v="0"/>
  </r>
  <r>
    <s v="https://x.com/Toyota/status/2897541815"/>
    <s v="Toyota USA"/>
    <s v="@Toyota"/>
    <s v="Interesting AP update: `Clunkers' program draws car buyers in first days http://tinyurl.com/nvpkb7 #cashforclunkers"/>
    <s v="2009-07-28T21:34:36.000Z"/>
    <x v="0"/>
    <x v="35"/>
    <s v="21:34:36"/>
    <x v="0"/>
    <m/>
    <m/>
    <n v="0"/>
    <n v="0"/>
    <n v="0"/>
    <n v="0"/>
    <s v="No engagement"/>
    <x v="0"/>
    <b v="0"/>
    <b v="1"/>
    <x v="0"/>
  </r>
  <r>
    <s v="https://x.com/Toyota/status/2912070220"/>
    <s v="Toyota USA"/>
    <s v="@Toyota"/>
    <s v="From the UK: Police force buys a Lexus IS-F http://tinyurl.com/nx7js8 ^SD"/>
    <s v="2009-07-29T16:19:44.000Z"/>
    <x v="0"/>
    <x v="36"/>
    <s v="16:19:44"/>
    <x v="1"/>
    <m/>
    <m/>
    <n v="0"/>
    <n v="0"/>
    <n v="0"/>
    <n v="0"/>
    <s v="No engagement"/>
    <x v="0"/>
    <b v="0"/>
    <b v="1"/>
    <x v="0"/>
  </r>
  <r>
    <s v="https://x.com/Toyota/status/2912133027"/>
    <s v="Toyota USA"/>
    <s v="@Toyota"/>
    <s v="@vdheuvel Thanks for the heads-up...I'll check it out. ^SD"/>
    <s v="2009-07-29T16:23:26.000Z"/>
    <x v="0"/>
    <x v="36"/>
    <s v="16:23:26"/>
    <x v="1"/>
    <m/>
    <m/>
    <n v="0"/>
    <n v="0"/>
    <n v="0"/>
    <n v="0"/>
    <s v="No engagement"/>
    <x v="0"/>
    <b v="0"/>
    <b v="0"/>
    <x v="1"/>
  </r>
  <r>
    <s v="https://x.com/Toyota/status/2912146550"/>
    <s v="Toyota USA"/>
    <s v="@Toyota"/>
    <s v="@LevenHolliman Thanks. We appreciate the recommendation. ^SD"/>
    <s v="2009-07-29T16:24:14.000Z"/>
    <x v="0"/>
    <x v="36"/>
    <s v="16:24:14"/>
    <x v="1"/>
    <s v="@LevenHolliman"/>
    <m/>
    <n v="0"/>
    <n v="0"/>
    <n v="0"/>
    <n v="0"/>
    <s v="No engagement"/>
    <x v="0"/>
    <b v="0"/>
    <b v="0"/>
    <x v="1"/>
  </r>
  <r>
    <s v="https://x.com/Toyota/status/2915945837"/>
    <s v="Toyota USA"/>
    <s v="@Toyota"/>
    <s v="RT @edmunds Edmunds Presses NHTSA on Cash for Clunkers Consumer Dilemmas; Decision Expected Today http://budurl.com/6wbe #cashforclunkers"/>
    <s v="2009-07-29T20:09:11.000Z"/>
    <x v="0"/>
    <x v="36"/>
    <s v="20:09:11"/>
    <x v="0"/>
    <m/>
    <m/>
    <n v="0"/>
    <n v="0"/>
    <n v="0"/>
    <n v="0"/>
    <s v="No engagement"/>
    <x v="0"/>
    <b v="0"/>
    <b v="1"/>
    <x v="0"/>
  </r>
  <r>
    <s v="https://x.com/Toyota/status/2941471465"/>
    <s v="Toyota USA"/>
    <s v="@Toyota"/>
    <s v="Toyota announces annual subscription Pricing for Safety Connect: Avail on 2010 Prius http://tinyurl.com/mrd38c ^DM"/>
    <s v="2009-07-31T00:38:04.000Z"/>
    <x v="0"/>
    <x v="37"/>
    <s v="00:38:04"/>
    <x v="2"/>
    <m/>
    <m/>
    <n v="0"/>
    <n v="0"/>
    <n v="0"/>
    <n v="0"/>
    <s v="No engagement"/>
    <x v="0"/>
    <b v="0"/>
    <b v="1"/>
    <x v="0"/>
  </r>
  <r>
    <s v="https://x.com/Toyota/status/3054437869"/>
    <s v="Toyota USA"/>
    <s v="@Toyota"/>
    <s v="@andrewteman Foldout cover standard on Rav4 Limited...optional on Base and Sport grades. Cover not available on RAV4 with a third row seat."/>
    <s v="2009-07-31T17:09:18.000Z"/>
    <x v="0"/>
    <x v="37"/>
    <s v="17:09:18"/>
    <x v="1"/>
    <m/>
    <m/>
    <n v="0"/>
    <n v="0"/>
    <n v="0"/>
    <n v="0"/>
    <s v="No engagement"/>
    <x v="0"/>
    <b v="0"/>
    <b v="0"/>
    <x v="1"/>
  </r>
  <r>
    <s v="https://x.com/Toyota/status/3106329448"/>
    <s v="Toyota USA"/>
    <s v="@Toyota"/>
    <s v="Audubon Society's Toyota-sponsored Together Green donates $ to develop a way to save birds from fatal impact http://tinyurl.com/mat2we"/>
    <s v="2009-08-03T16:02:16.000Z"/>
    <x v="0"/>
    <x v="38"/>
    <s v="16:02:16"/>
    <x v="1"/>
    <m/>
    <m/>
    <n v="0"/>
    <n v="0"/>
    <n v="0"/>
    <n v="0"/>
    <s v="No engagement"/>
    <x v="0"/>
    <b v="0"/>
    <b v="1"/>
    <x v="0"/>
  </r>
  <r>
    <s v="https://x.com/Toyota/status/3108737475"/>
    <s v="Toyota USA"/>
    <s v="@Toyota"/>
    <s v="Toyota reports July sales: http://bit.ly/YZOe9"/>
    <s v="2009-08-03T18:26:34.000Z"/>
    <x v="0"/>
    <x v="38"/>
    <s v="18:26:34"/>
    <x v="0"/>
    <m/>
    <m/>
    <n v="1"/>
    <n v="0"/>
    <n v="0"/>
    <n v="1"/>
    <s v="Low engagement"/>
    <x v="0"/>
    <b v="0"/>
    <b v="1"/>
    <x v="0"/>
  </r>
  <r>
    <s v="https://x.com/Toyota/status/3109588231"/>
    <s v="Toyota USA"/>
    <s v="@Toyota"/>
    <s v="It has been reported that the HS 250h is a Lexus version of the Toyota Prius. That is far from the truth... http://tinyurl.com/mhy69m ^SD"/>
    <s v="2009-08-03T19:17:22.000Z"/>
    <x v="0"/>
    <x v="38"/>
    <s v="19:17:22"/>
    <x v="0"/>
    <m/>
    <m/>
    <n v="0"/>
    <n v="0"/>
    <n v="0"/>
    <n v="0"/>
    <s v="No engagement"/>
    <x v="0"/>
    <b v="0"/>
    <b v="1"/>
    <x v="0"/>
  </r>
  <r>
    <s v="https://x.com/Toyota/status/3113118181"/>
    <s v="Toyota USA"/>
    <s v="@Toyota"/>
    <s v="Beginning w/ August production, Prius will come w/ an available USB Port w/ iPod® Connectivity http://tinyurl.com/m6wsqr @3genprius ^SD"/>
    <s v="2009-08-03T22:57:24.000Z"/>
    <x v="0"/>
    <x v="38"/>
    <s v="22:57:24"/>
    <x v="0"/>
    <m/>
    <m/>
    <n v="1"/>
    <n v="0"/>
    <n v="0"/>
    <n v="1"/>
    <s v="Low engagement"/>
    <x v="0"/>
    <b v="0"/>
    <b v="1"/>
    <x v="0"/>
  </r>
  <r>
    <s v="https://x.com/Toyota/status/3113152853"/>
    <s v="Toyota USA"/>
    <s v="@Toyota"/>
    <s v="Beginning w/ August production, Prius will come w/ all-new avail. telematics service, Safety Connect. http://tinyurl.com/m6wsqr ^SD"/>
    <s v="2009-08-03T22:59:32.000Z"/>
    <x v="0"/>
    <x v="38"/>
    <s v="22:59:32"/>
    <x v="0"/>
    <m/>
    <m/>
    <n v="0"/>
    <n v="0"/>
    <n v="0"/>
    <n v="0"/>
    <s v="No engagement"/>
    <x v="0"/>
    <b v="0"/>
    <b v="1"/>
    <x v="0"/>
  </r>
  <r>
    <s v="https://x.com/Toyota/status/3113507927"/>
    <s v="Toyota USA"/>
    <s v="@Toyota"/>
    <s v="First week of CARs-related sales saves Toyota customers an estimated 8 million gallons of gas + $20M in gas spending over the next year. ^SM"/>
    <s v="2009-08-03T23:21:09.000Z"/>
    <x v="0"/>
    <x v="38"/>
    <s v="23:21:09"/>
    <x v="0"/>
    <m/>
    <m/>
    <n v="0"/>
    <n v="0"/>
    <n v="0"/>
    <n v="0"/>
    <s v="No engagement"/>
    <x v="0"/>
    <b v="0"/>
    <b v="0"/>
    <x v="1"/>
  </r>
  <r>
    <s v="https://x.com/Toyota/status/3126969108"/>
    <s v="Toyota USA"/>
    <s v="@Toyota"/>
    <s v="@ilovebakelite No news on future products right now. ^SD"/>
    <s v="2009-08-04T16:29:09.000Z"/>
    <x v="0"/>
    <x v="39"/>
    <s v="16:29:09"/>
    <x v="1"/>
    <m/>
    <m/>
    <n v="0"/>
    <n v="0"/>
    <n v="0"/>
    <n v="0"/>
    <s v="No engagement"/>
    <x v="0"/>
    <b v="0"/>
    <b v="0"/>
    <x v="1"/>
  </r>
  <r>
    <s v="https://x.com/Toyota/status/3131123494"/>
    <s v="Toyota USA"/>
    <s v="@Toyota"/>
    <s v="VIDEO: Lexus Magazine road tests the all-new HS 250h http://tinyurl.com/l2scmo ^SD #lexushs"/>
    <s v="2009-08-04T20:26:21.000Z"/>
    <x v="0"/>
    <x v="39"/>
    <s v="20:26:21"/>
    <x v="0"/>
    <m/>
    <m/>
    <n v="1"/>
    <n v="0"/>
    <n v="0"/>
    <n v="1"/>
    <s v="Low engagement"/>
    <x v="0"/>
    <b v="0"/>
    <b v="1"/>
    <x v="0"/>
  </r>
  <r>
    <s v="https://x.com/Toyota/status/3146257929"/>
    <s v="Toyota USA"/>
    <s v="@Toyota"/>
    <s v="Akio Toyoda's &quot;Reinventing the Automobile&quot; speech from this morning's CAR Conf. http://tinyurl.com/ntty6l #toyota ^SD"/>
    <s v="2009-08-05T14:47:02.000Z"/>
    <x v="0"/>
    <x v="40"/>
    <s v="14:47:02"/>
    <x v="1"/>
    <m/>
    <m/>
    <n v="0"/>
    <n v="0"/>
    <n v="0"/>
    <n v="0"/>
    <s v="No engagement"/>
    <x v="0"/>
    <b v="0"/>
    <b v="1"/>
    <x v="0"/>
  </r>
  <r>
    <s v="https://x.com/Toyota/status/3154449098"/>
    <s v="Toyota USA"/>
    <s v="@Toyota"/>
    <s v="@rvanprice Have you tried the &quot;Build Your Toyota&quot; function at the top of http://www.toyota.com/ ?"/>
    <s v="2009-08-05T22:32:27.000Z"/>
    <x v="0"/>
    <x v="40"/>
    <s v="22:32:27"/>
    <x v="0"/>
    <s v="@rvanprice"/>
    <m/>
    <n v="0"/>
    <n v="0"/>
    <n v="0"/>
    <n v="0"/>
    <s v="No engagement"/>
    <x v="0"/>
    <b v="0"/>
    <b v="1"/>
    <x v="0"/>
  </r>
  <r>
    <s v="https://x.com/Toyota/status/3166175629"/>
    <s v="Toyota USA"/>
    <s v="@Toyota"/>
    <s v="Toyota advanced fuel cell hybrid vehicle completes government field evaluation  http://tinyurl.com/kk4jqk ^AKT"/>
    <s v="2009-08-06T15:12:25.000Z"/>
    <x v="0"/>
    <x v="41"/>
    <s v="15:12:25"/>
    <x v="1"/>
    <m/>
    <m/>
    <n v="0"/>
    <n v="0"/>
    <n v="0"/>
    <n v="0"/>
    <s v="No engagement"/>
    <x v="0"/>
    <b v="0"/>
    <b v="1"/>
    <x v="0"/>
  </r>
  <r>
    <s v="https://x.com/Toyota/status/3167022338"/>
    <s v="Toyota USA"/>
    <s v="@Toyota"/>
    <s v="Toyota’s FCHV-adv got an est. range of 431 mi. on a single fueling of hydrogen: Watch the youtube vid http://tinyurl.com/avj4nb ^AT"/>
    <s v="2009-08-06T17:36:27.000Z"/>
    <x v="0"/>
    <x v="41"/>
    <s v="17:36:27"/>
    <x v="1"/>
    <m/>
    <m/>
    <n v="2"/>
    <n v="0"/>
    <n v="0"/>
    <n v="2"/>
    <s v="Low engagement"/>
    <x v="0"/>
    <b v="0"/>
    <b v="1"/>
    <x v="0"/>
  </r>
  <r>
    <s v="https://x.com/Toyota/status/3167769495"/>
    <s v="Toyota USA"/>
    <s v="@Toyota"/>
    <s v="Toyota NOT replacing ad agencies. New marktg companies will support Japan domestic market &amp; several smaller global markets ^DM"/>
    <s v="2009-08-06T18:53:22.000Z"/>
    <x v="0"/>
    <x v="41"/>
    <s v="18:53:22"/>
    <x v="0"/>
    <m/>
    <m/>
    <n v="0"/>
    <n v="0"/>
    <n v="0"/>
    <n v="0"/>
    <s v="No engagement"/>
    <x v="0"/>
    <b v="0"/>
    <b v="0"/>
    <x v="1"/>
  </r>
  <r>
    <s v="https://x.com/Toyota/status/3179690498"/>
    <s v="Toyota USA"/>
    <s v="@Toyota"/>
    <s v="Chicago Solar Flowers Bloom on Navy Pier Display August 8-22, 2009  http://tinyurl.com/ltywrv ^DM"/>
    <s v="2009-08-07T16:18:06.000Z"/>
    <x v="0"/>
    <x v="42"/>
    <s v="16:18:06"/>
    <x v="1"/>
    <m/>
    <m/>
    <n v="0"/>
    <n v="0"/>
    <n v="0"/>
    <n v="0"/>
    <s v="No engagement"/>
    <x v="0"/>
    <b v="0"/>
    <b v="1"/>
    <x v="0"/>
  </r>
  <r>
    <s v="https://x.com/Toyota/status/3248385682"/>
    <s v="Toyota USA"/>
    <s v="@Toyota"/>
    <s v="Still time to enter Toyota Racing Sweepstakes http://tinyurl.com/l9ausb Win a trip for 2 to a Toyota race. Travel/lodging included. ^SD"/>
    <s v="2009-08-11T16:52:26.000Z"/>
    <x v="0"/>
    <x v="43"/>
    <s v="16:52:26"/>
    <x v="1"/>
    <m/>
    <m/>
    <n v="2"/>
    <n v="0"/>
    <n v="0"/>
    <n v="2"/>
    <s v="Low engagement"/>
    <x v="0"/>
    <b v="0"/>
    <b v="1"/>
    <x v="0"/>
  </r>
  <r>
    <s v="https://x.com/Toyota/status/3266348769"/>
    <s v="Toyota USA"/>
    <s v="@Toyota"/>
    <s v="@ScottBradley Hey Scott...thanks for the feedback and support for @toyota. ^SD"/>
    <s v="2009-08-12T14:56:26.000Z"/>
    <x v="0"/>
    <x v="44"/>
    <s v="14:56:26"/>
    <x v="1"/>
    <s v="@ScottBradley"/>
    <m/>
    <n v="0"/>
    <n v="0"/>
    <n v="0"/>
    <n v="0"/>
    <s v="No engagement"/>
    <x v="0"/>
    <b v="0"/>
    <b v="0"/>
    <x v="1"/>
  </r>
  <r>
    <s v="https://x.com/Toyota/status/3267876715"/>
    <s v="Toyota USA"/>
    <s v="@Toyota"/>
    <s v="@twinling What are you referring to? ^SD"/>
    <s v="2009-08-12T16:23:36.000Z"/>
    <x v="0"/>
    <x v="44"/>
    <s v="16:23:36"/>
    <x v="1"/>
    <s v="@twinling"/>
    <m/>
    <n v="0"/>
    <n v="0"/>
    <n v="0"/>
    <n v="0"/>
    <s v="No engagement"/>
    <x v="0"/>
    <b v="0"/>
    <b v="0"/>
    <x v="1"/>
  </r>
  <r>
    <s v="https://x.com/Toyota/status/3268537675"/>
    <s v="Toyota USA"/>
    <s v="@Toyota"/>
    <s v="@twinling Have you tried the &quot;Build Your Toyota&quot; feature on http://www.toyota.com ? Should get you base info. ^SD"/>
    <s v="2009-08-12T17:00:17.000Z"/>
    <x v="0"/>
    <x v="44"/>
    <s v="17:00:17"/>
    <x v="1"/>
    <s v="@twinling"/>
    <m/>
    <n v="0"/>
    <n v="0"/>
    <n v="0"/>
    <n v="0"/>
    <s v="No engagement"/>
    <x v="0"/>
    <b v="0"/>
    <b v="1"/>
    <x v="0"/>
  </r>
  <r>
    <s v="https://x.com/Toyota/status/3268786773"/>
    <s v="Toyota USA"/>
    <s v="@Toyota"/>
    <s v="@twinling I understand your frustration. Cash for Clunkers has created a serious demand for particular products."/>
    <s v="2009-08-12T17:14:17.000Z"/>
    <x v="0"/>
    <x v="44"/>
    <s v="17:14:17"/>
    <x v="1"/>
    <s v="@twinling"/>
    <m/>
    <n v="1"/>
    <n v="0"/>
    <n v="0"/>
    <n v="1"/>
    <s v="Low engagement"/>
    <x v="0"/>
    <b v="0"/>
    <b v="0"/>
    <x v="1"/>
  </r>
  <r>
    <s v="https://x.com/Toyota/status/3273190037"/>
    <s v="Toyota USA"/>
    <s v="@Toyota"/>
    <s v="Video: Interview w/ Kyle Busch. Kyle talks about competing in 3 national series. http://tinyurl.com/qwz3b3 #toyota #toyotamotorsports ^SD"/>
    <s v="2009-08-12T21:17:30.000Z"/>
    <x v="0"/>
    <x v="44"/>
    <s v="21:17:30"/>
    <x v="0"/>
    <m/>
    <m/>
    <n v="0"/>
    <n v="0"/>
    <n v="0"/>
    <n v="0"/>
    <s v="No engagement"/>
    <x v="0"/>
    <b v="0"/>
    <b v="1"/>
    <x v="0"/>
  </r>
  <r>
    <s v="https://x.com/Toyota/status/3273315236"/>
    <s v="Toyota USA"/>
    <s v="@Toyota"/>
    <s v="Motorist Choice Awards reveal vehicles that please both hearts and minds http://tinyurl.com/qvz477 #toyota #lexus ^SD"/>
    <s v="2009-08-12T21:24:55.000Z"/>
    <x v="0"/>
    <x v="44"/>
    <s v="21:24:55"/>
    <x v="0"/>
    <m/>
    <m/>
    <n v="0"/>
    <n v="0"/>
    <n v="0"/>
    <n v="0"/>
    <s v="No engagement"/>
    <x v="0"/>
    <b v="0"/>
    <b v="1"/>
    <x v="0"/>
  </r>
  <r>
    <s v="https://x.com/Toyota/status/3287614104"/>
    <s v="Toyota USA"/>
    <s v="@Toyota"/>
    <s v="VIDEO: Don't know if you've seen the @edmunds 2009 Fuel Sipper Smackdown Comparison Test: http://tinyurl.com/qg42rz #prius ^SD"/>
    <s v="2009-08-13T15:16:11.000Z"/>
    <x v="0"/>
    <x v="45"/>
    <s v="15:16:11"/>
    <x v="1"/>
    <m/>
    <m/>
    <n v="0"/>
    <n v="0"/>
    <n v="0"/>
    <n v="0"/>
    <s v="No engagement"/>
    <x v="0"/>
    <b v="0"/>
    <b v="1"/>
    <x v="0"/>
  </r>
  <r>
    <s v="https://x.com/Toyota/status/3315955619"/>
    <s v="Toyota USA"/>
    <s v="@Toyota"/>
    <s v="From August 8 - 22, “Solar Flowers” are in full bloom on Chicago’s Navy Pier. Check out the photos: http://tinyurl.com/lothua #prius ^SD"/>
    <s v="2009-08-14T21:24:07.000Z"/>
    <x v="0"/>
    <x v="46"/>
    <s v="21:24:07"/>
    <x v="0"/>
    <m/>
    <m/>
    <n v="0"/>
    <n v="0"/>
    <n v="0"/>
    <n v="0"/>
    <s v="No engagement"/>
    <x v="0"/>
    <b v="0"/>
    <b v="1"/>
    <x v="0"/>
  </r>
  <r>
    <s v="https://x.com/Toyota/status/3386517628"/>
    <s v="Toyota USA"/>
    <s v="@Toyota"/>
    <s v="Toyota Prius “Harmony Floralscapes” Blooming Along Los Angeles Freeways http://tinyurl.com/llt86e ^SD"/>
    <s v="2009-08-18T17:29:23.000Z"/>
    <x v="0"/>
    <x v="47"/>
    <s v="17:29:23"/>
    <x v="1"/>
    <m/>
    <m/>
    <n v="0"/>
    <n v="0"/>
    <n v="0"/>
    <n v="0"/>
    <s v="No engagement"/>
    <x v="0"/>
    <b v="0"/>
    <b v="1"/>
    <x v="0"/>
  </r>
  <r>
    <s v="https://x.com/Toyota/status/3387446769"/>
    <s v="Toyota USA"/>
    <s v="@Toyota"/>
    <s v="@YourTuneSpace That's awesome. You're becoming a hypermiler."/>
    <s v="2009-08-18T18:18:15.000Z"/>
    <x v="0"/>
    <x v="47"/>
    <s v="18:18:15"/>
    <x v="0"/>
    <s v="@YourTuneSpace"/>
    <m/>
    <n v="0"/>
    <n v="0"/>
    <n v="0"/>
    <n v="0"/>
    <s v="No engagement"/>
    <x v="0"/>
    <b v="0"/>
    <b v="0"/>
    <x v="1"/>
  </r>
  <r>
    <s v="https://x.com/Toyota/status/3388845249"/>
    <s v="Toyota USA"/>
    <s v="@Toyota"/>
    <s v="Get in touch with your inner Scorsese and create your own conservation commercial at TogetherGreen!  http://tinyurl.com/phyw6z"/>
    <s v="2009-08-18T19:32:23.000Z"/>
    <x v="0"/>
    <x v="47"/>
    <s v="19:32:23"/>
    <x v="0"/>
    <m/>
    <m/>
    <n v="0"/>
    <n v="0"/>
    <n v="0"/>
    <n v="0"/>
    <s v="No engagement"/>
    <x v="0"/>
    <b v="0"/>
    <b v="1"/>
    <x v="0"/>
  </r>
  <r>
    <s v="https://x.com/Toyota/status/3392147633"/>
    <s v="Toyota USA"/>
    <s v="@Toyota"/>
    <s v="VIDEO: Check out 1 of the 9 Toyota Prius &quot;Harmony Floralscapes&quot; being put together: http://tinyurl.com/qhgbef ^SD"/>
    <s v="2009-08-18T22:24:58.000Z"/>
    <x v="0"/>
    <x v="47"/>
    <s v="22:24:58"/>
    <x v="0"/>
    <m/>
    <m/>
    <n v="0"/>
    <n v="0"/>
    <n v="0"/>
    <n v="0"/>
    <s v="No engagement"/>
    <x v="0"/>
    <b v="0"/>
    <b v="1"/>
    <x v="0"/>
  </r>
  <r>
    <s v="https://x.com/Toyota/status/3392444190"/>
    <s v="Toyota USA"/>
    <s v="@Toyota"/>
    <s v="@CJontig Here's the news release with all the info: http://tinyurl.com/llt86e"/>
    <s v="2009-08-18T22:40:34.000Z"/>
    <x v="0"/>
    <x v="47"/>
    <s v="22:40:34"/>
    <x v="0"/>
    <s v="@CJontig"/>
    <m/>
    <n v="0"/>
    <n v="0"/>
    <n v="0"/>
    <n v="0"/>
    <s v="No engagement"/>
    <x v="0"/>
    <b v="0"/>
    <b v="1"/>
    <x v="0"/>
  </r>
  <r>
    <s v="https://x.com/Toyota/status/3407735023"/>
    <s v="Toyota USA"/>
    <s v="@Toyota"/>
    <s v="Know any teachers who need $10K grants for science ed?  Toyota TAPESTRY program accepting apps: http://tinyurl.com/ll7m6m ^DS"/>
    <s v="2009-08-19T16:15:47.000Z"/>
    <x v="0"/>
    <x v="48"/>
    <s v="16:15:47"/>
    <x v="1"/>
    <m/>
    <m/>
    <n v="1"/>
    <n v="0"/>
    <n v="0"/>
    <n v="1"/>
    <s v="Low engagement"/>
    <x v="0"/>
    <b v="0"/>
    <b v="1"/>
    <x v="0"/>
  </r>
  <r>
    <s v="https://x.com/Toyota/status/3407960382"/>
    <s v="Toyota USA"/>
    <s v="@Toyota"/>
    <s v="@GuthrieMayesPR thanks for the RT!  don't know who does your Tweets, but please say hi to Dan and Andy for me..."/>
    <s v="2009-08-19T16:28:08.000Z"/>
    <x v="0"/>
    <x v="48"/>
    <s v="16:28:08"/>
    <x v="1"/>
    <m/>
    <m/>
    <n v="0"/>
    <n v="0"/>
    <n v="0"/>
    <n v="0"/>
    <s v="No engagement"/>
    <x v="0"/>
    <b v="0"/>
    <b v="0"/>
    <x v="1"/>
  </r>
  <r>
    <s v="https://x.com/Toyota/status/3432668360"/>
    <s v="Toyota USA"/>
    <s v="@Toyota"/>
    <s v="See if Adam Corolla succeeds at his attempt to drive a 3rd gen Prius 100 miles on 2 gallons of gas.http://tinyurl.com/lw865b ^SD #toyota"/>
    <s v="2009-08-20T18:38:36.000Z"/>
    <x v="0"/>
    <x v="49"/>
    <s v="18:38:36"/>
    <x v="0"/>
    <m/>
    <m/>
    <n v="0"/>
    <n v="0"/>
    <n v="0"/>
    <n v="0"/>
    <s v="No engagement"/>
    <x v="0"/>
    <b v="0"/>
    <b v="1"/>
    <x v="0"/>
  </r>
  <r>
    <s v="https://x.com/Toyota/status/3435682143"/>
    <s v="Toyota USA"/>
    <s v="@Toyota"/>
    <s v="@highmileage Toyota decided to cease production on Solara coupe and convertible in CY 2009. ^SD"/>
    <s v="2009-08-20T21:19:38.000Z"/>
    <x v="0"/>
    <x v="49"/>
    <s v="21:19:38"/>
    <x v="0"/>
    <s v="@highmileage"/>
    <m/>
    <n v="0"/>
    <n v="0"/>
    <n v="0"/>
    <n v="0"/>
    <s v="No engagement"/>
    <x v="0"/>
    <b v="0"/>
    <b v="0"/>
    <x v="1"/>
  </r>
  <r>
    <s v="https://x.com/Toyota/status/3435717322"/>
    <s v="Toyota USA"/>
    <s v="@Toyota"/>
    <s v="@ThomasBlinn copy?"/>
    <s v="2009-08-20T21:21:32.000Z"/>
    <x v="0"/>
    <x v="49"/>
    <s v="21:21:32"/>
    <x v="0"/>
    <s v="@HopeOne11"/>
    <m/>
    <n v="0"/>
    <n v="0"/>
    <n v="0"/>
    <n v="0"/>
    <s v="No engagement"/>
    <x v="0"/>
    <b v="0"/>
    <b v="0"/>
    <x v="1"/>
  </r>
  <r>
    <s v="https://x.com/Toyota/status/3435889325"/>
    <s v="Toyota USA"/>
    <s v="@Toyota"/>
    <s v="@ThomasBlinn Might have to go through a dealer...Please call Toyota Customer Experience Center for starters: Phone: 800-331-4331 ^SD"/>
    <s v="2009-08-20T21:30:58.000Z"/>
    <x v="0"/>
    <x v="49"/>
    <s v="21:30:58"/>
    <x v="0"/>
    <s v="@HopeOne11"/>
    <m/>
    <n v="0"/>
    <n v="0"/>
    <n v="0"/>
    <n v="0"/>
    <s v="No engagement"/>
    <x v="0"/>
    <b v="0"/>
    <b v="0"/>
    <x v="1"/>
  </r>
  <r>
    <s v="https://x.com/Toyota/status/3452172781"/>
    <s v="Toyota USA"/>
    <s v="@Toyota"/>
    <s v="Toyota to expand Alabama plant, hire 240 people, invest additional $147 million: http://tinyurl.com/m9o46z  ^DS"/>
    <s v="2009-08-21T15:54:07.000Z"/>
    <x v="0"/>
    <x v="50"/>
    <s v="15:54:07"/>
    <x v="1"/>
    <m/>
    <m/>
    <n v="1"/>
    <n v="0"/>
    <n v="0"/>
    <n v="1"/>
    <s v="Low engagement"/>
    <x v="0"/>
    <b v="0"/>
    <b v="1"/>
    <x v="0"/>
  </r>
  <r>
    <s v="https://x.com/Toyota/status/3473809526"/>
    <s v="Toyota USA"/>
    <s v="@Toyota"/>
    <s v="@KristynBurtt Thank you Kristyn. We appreciate the feedback and support. ^SD"/>
    <s v="2009-08-22T16:05:59.000Z"/>
    <x v="0"/>
    <x v="51"/>
    <s v="16:05:59"/>
    <x v="1"/>
    <s v="@KristynBurtt"/>
    <m/>
    <n v="0"/>
    <n v="0"/>
    <n v="0"/>
    <n v="0"/>
    <s v="No engagement"/>
    <x v="0"/>
    <b v="0"/>
    <b v="0"/>
    <x v="1"/>
  </r>
  <r>
    <s v="https://x.com/Toyota/status/3558725380"/>
    <s v="Toyota USA"/>
    <s v="@Toyota"/>
    <s v="@yosefsolomon What type of events are you referring to? ^SD"/>
    <s v="2009-08-26T15:55:21.000Z"/>
    <x v="0"/>
    <x v="52"/>
    <s v="15:55:21"/>
    <x v="1"/>
    <m/>
    <m/>
    <n v="0"/>
    <n v="0"/>
    <n v="0"/>
    <n v="0"/>
    <s v="No engagement"/>
    <x v="0"/>
    <b v="0"/>
    <b v="0"/>
    <x v="1"/>
  </r>
  <r>
    <s v="https://x.com/Toyota/status/3563848141"/>
    <s v="Toyota USA"/>
    <s v="@Toyota"/>
    <s v="@yosefsolomon I'll have to look into it. Thanks."/>
    <s v="2009-08-26T20:29:34.000Z"/>
    <x v="0"/>
    <x v="52"/>
    <s v="20:29:34"/>
    <x v="0"/>
    <m/>
    <m/>
    <n v="0"/>
    <n v="0"/>
    <n v="0"/>
    <n v="0"/>
    <s v="No engagement"/>
    <x v="0"/>
    <b v="0"/>
    <b v="0"/>
    <x v="1"/>
  </r>
  <r>
    <s v="https://x.com/Toyota/status/3566413613"/>
    <s v="Toyota USA"/>
    <s v="@Toyota"/>
    <s v="@ricksciullo Stay tuned Rick...Info. coming soon. ^SD"/>
    <s v="2009-08-26T22:43:40.000Z"/>
    <x v="0"/>
    <x v="52"/>
    <s v="22:43:40"/>
    <x v="0"/>
    <s v="@ricksciullo"/>
    <m/>
    <n v="0"/>
    <n v="0"/>
    <n v="0"/>
    <n v="0"/>
    <s v="No engagement"/>
    <x v="0"/>
    <b v="0"/>
    <b v="0"/>
    <x v="1"/>
  </r>
  <r>
    <s v="https://x.com/Toyota/status/3580908828"/>
    <s v="Toyota USA"/>
    <s v="@Toyota"/>
    <s v="@PRNicoleV Hi Nicole. I want to get problems you're having into the system. Please contact the Customer Experience Ctr http://bit.ly/4cAEA"/>
    <s v="2009-08-27T15:16:20.000Z"/>
    <x v="0"/>
    <x v="53"/>
    <s v="15:16:20"/>
    <x v="1"/>
    <s v="@NicoleCDenton"/>
    <m/>
    <n v="0"/>
    <n v="0"/>
    <n v="0"/>
    <n v="0"/>
    <s v="No engagement"/>
    <x v="0"/>
    <b v="0"/>
    <b v="1"/>
    <x v="0"/>
  </r>
  <r>
    <s v="https://x.com/Toyota/status/3580975280"/>
    <s v="Toyota USA"/>
    <s v="@Toyota"/>
    <s v="@sunnyhunt Will forward the feedback. Thanks Sunny. ^SD"/>
    <s v="2009-08-27T15:19:52.000Z"/>
    <x v="0"/>
    <x v="53"/>
    <s v="15:19:52"/>
    <x v="1"/>
    <s v="@sunnyhunt"/>
    <m/>
    <n v="0"/>
    <n v="0"/>
    <n v="0"/>
    <n v="0"/>
    <s v="No engagement"/>
    <x v="0"/>
    <b v="0"/>
    <b v="0"/>
    <x v="1"/>
  </r>
  <r>
    <s v="https://x.com/Toyota/status/3582021942"/>
    <s v="Toyota USA"/>
    <s v="@Toyota"/>
    <s v="First Look Tease: All-New 2010 Toyota 4Runner http://bit.ly/11i1VB ^SD"/>
    <s v="2009-08-27T16:13:02.000Z"/>
    <x v="0"/>
    <x v="53"/>
    <s v="16:13:02"/>
    <x v="1"/>
    <m/>
    <m/>
    <n v="2"/>
    <n v="0"/>
    <n v="0"/>
    <n v="2"/>
    <s v="Low engagement"/>
    <x v="0"/>
    <b v="0"/>
    <b v="1"/>
    <x v="0"/>
  </r>
  <r>
    <s v="https://x.com/Toyota/status/3582578450"/>
    <s v="Toyota USA"/>
    <s v="@Toyota"/>
    <s v="@TankaBar Maybe an SUV? ...or do you want to stay in a smaller vehicle? ^SD"/>
    <s v="2009-08-27T16:40:24.000Z"/>
    <x v="0"/>
    <x v="53"/>
    <s v="16:40:24"/>
    <x v="1"/>
    <s v="@TankaBar"/>
    <m/>
    <n v="0"/>
    <n v="0"/>
    <n v="0"/>
    <n v="0"/>
    <s v="No engagement"/>
    <x v="0"/>
    <b v="0"/>
    <b v="0"/>
    <x v="1"/>
  </r>
  <r>
    <s v="https://x.com/Toyota/status/3583008287"/>
    <s v="Toyota USA"/>
    <s v="@Toyota"/>
    <s v="@mendozacc Please start with www.toyotanewsroom.com. You can also contact the Customer Experience Center http://bit.ly/2TBO1 ^SD"/>
    <s v="2009-08-27T17:01:41.000Z"/>
    <x v="0"/>
    <x v="53"/>
    <s v="17:01:41"/>
    <x v="1"/>
    <s v="@mendozacc"/>
    <m/>
    <n v="0"/>
    <n v="0"/>
    <n v="0"/>
    <n v="0"/>
    <s v="No engagement"/>
    <x v="0"/>
    <b v="0"/>
    <b v="1"/>
    <x v="0"/>
  </r>
  <r>
    <s v="https://x.com/Toyota/status/3583815185"/>
    <s v="Toyota USA"/>
    <s v="@Toyota"/>
    <s v="@CarGuyDad Nothing to report at this time. ^SD"/>
    <s v="2009-08-27T17:42:48.000Z"/>
    <x v="0"/>
    <x v="53"/>
    <s v="17:42:48"/>
    <x v="1"/>
    <s v="@CarGuyDad"/>
    <m/>
    <n v="0"/>
    <n v="0"/>
    <n v="0"/>
    <n v="0"/>
    <s v="No engagement"/>
    <x v="0"/>
    <b v="0"/>
    <b v="0"/>
    <x v="1"/>
  </r>
  <r>
    <s v="https://x.com/Toyota/status/3583856324"/>
    <s v="Toyota USA"/>
    <s v="@Toyota"/>
    <s v="@thrashmettler Sorry Andrew...I've got no other products to tease today. ^SD"/>
    <s v="2009-08-27T17:44:59.000Z"/>
    <x v="0"/>
    <x v="53"/>
    <s v="17:44:59"/>
    <x v="1"/>
    <s v="@thrashmettler"/>
    <m/>
    <n v="0"/>
    <n v="0"/>
    <n v="0"/>
    <n v="0"/>
    <s v="No engagement"/>
    <x v="0"/>
    <b v="0"/>
    <b v="0"/>
    <x v="1"/>
  </r>
  <r>
    <s v="https://x.com/Toyota/status/3591357210"/>
    <s v="Toyota USA"/>
    <s v="@Toyota"/>
    <s v="@highmileage here's a link to the press release ^DM  http://bit.ly/m3G7g"/>
    <s v="2009-08-28T00:07:27.000Z"/>
    <x v="0"/>
    <x v="54"/>
    <s v="00:07:27"/>
    <x v="2"/>
    <s v="@highmileage"/>
    <m/>
    <n v="0"/>
    <n v="0"/>
    <n v="0"/>
    <n v="0"/>
    <s v="No engagement"/>
    <x v="0"/>
    <b v="0"/>
    <b v="1"/>
    <x v="0"/>
  </r>
  <r>
    <s v="https://x.com/Toyota/status/3605535919"/>
    <s v="Toyota USA"/>
    <s v="@Toyota"/>
    <s v="@highmileage Probably move production to Canada and Japan."/>
    <s v="2009-08-28T16:14:54.000Z"/>
    <x v="0"/>
    <x v="54"/>
    <s v="16:14:54"/>
    <x v="1"/>
    <s v="@highmileage"/>
    <m/>
    <n v="0"/>
    <n v="0"/>
    <n v="0"/>
    <n v="0"/>
    <s v="No engagement"/>
    <x v="0"/>
    <b v="0"/>
    <b v="0"/>
    <x v="1"/>
  </r>
  <r>
    <s v="https://x.com/Toyota/status/3605645894"/>
    <s v="Toyota USA"/>
    <s v="@Toyota"/>
    <s v="@highmileage FYI....Matrix has always been exclusively produced at the Cambridge Plant in Canada."/>
    <s v="2009-08-28T16:20:18.000Z"/>
    <x v="0"/>
    <x v="54"/>
    <s v="16:20:18"/>
    <x v="1"/>
    <s v="@highmileage"/>
    <m/>
    <n v="0"/>
    <n v="0"/>
    <n v="0"/>
    <n v="0"/>
    <s v="No engagement"/>
    <x v="0"/>
    <b v="0"/>
    <b v="0"/>
    <x v="1"/>
  </r>
  <r>
    <s v="https://x.com/Toyota/status/3605714789"/>
    <s v="Toyota USA"/>
    <s v="@Toyota"/>
    <s v="@smiyao Have you dealt with the Toyota Customer Experience Center? http://bit.ly/2TBO1"/>
    <s v="2009-08-28T16:23:44.000Z"/>
    <x v="0"/>
    <x v="54"/>
    <s v="16:23:44"/>
    <x v="1"/>
    <s v="@smiyao"/>
    <m/>
    <n v="0"/>
    <n v="0"/>
    <n v="0"/>
    <n v="0"/>
    <s v="No engagement"/>
    <x v="0"/>
    <b v="0"/>
    <b v="1"/>
    <x v="0"/>
  </r>
  <r>
    <s v="https://x.com/Toyota/status/3606951302"/>
    <s v="Toyota USA"/>
    <s v="@Toyota"/>
    <s v="#followfriday @3genprius @sonamoon @amykt @sieger262 @scottdeyager @denisemorrissey"/>
    <s v="2009-08-28T17:23:55.000Z"/>
    <x v="0"/>
    <x v="54"/>
    <s v="17:23:55"/>
    <x v="1"/>
    <m/>
    <m/>
    <n v="0"/>
    <n v="0"/>
    <n v="0"/>
    <n v="0"/>
    <s v="No engagement"/>
    <x v="0"/>
    <b v="0"/>
    <b v="0"/>
    <x v="1"/>
  </r>
  <r>
    <s v="https://x.com/Toyota/status/3607917028"/>
    <s v="Toyota USA"/>
    <s v="@Toyota"/>
    <s v="@highmileage @priuschat and @lexusnews are a couple of active outside owner blogs and forums on Twitter."/>
    <s v="2009-08-28T18:12:11.000Z"/>
    <x v="0"/>
    <x v="54"/>
    <s v="18:12:11"/>
    <x v="0"/>
    <s v="@highmileage"/>
    <m/>
    <n v="0"/>
    <n v="0"/>
    <n v="0"/>
    <n v="0"/>
    <s v="No engagement"/>
    <x v="0"/>
    <b v="0"/>
    <b v="0"/>
    <x v="1"/>
  </r>
  <r>
    <s v="https://x.com/Toyota/status/3608453180"/>
    <s v="Toyota USA"/>
    <s v="@Toyota"/>
    <s v="RT @highmileage I'll be at @PriusChat &amp; Houston Hypermilers Tweetup tomorrow, aggregating MPG advice from hypermiling legend Dan Bryant."/>
    <s v="2009-08-28T18:39:08.000Z"/>
    <x v="0"/>
    <x v="54"/>
    <s v="18:39:08"/>
    <x v="0"/>
    <m/>
    <m/>
    <n v="0"/>
    <n v="0"/>
    <n v="0"/>
    <n v="0"/>
    <s v="No engagement"/>
    <x v="0"/>
    <b v="0"/>
    <b v="0"/>
    <x v="1"/>
  </r>
  <r>
    <s v="https://x.com/Toyota/status/3610791046"/>
    <s v="Toyota USA"/>
    <s v="@Toyota"/>
    <s v="RT @RobbyGordon Sorry guys for the delay but here are some photos from Bristol http://bit.ly/zf4KZ  @hardrockhotellv @Toyota"/>
    <s v="2009-08-28T20:38:05.000Z"/>
    <x v="0"/>
    <x v="54"/>
    <s v="20:38:05"/>
    <x v="0"/>
    <m/>
    <m/>
    <n v="0"/>
    <n v="0"/>
    <n v="0"/>
    <n v="0"/>
    <s v="No engagement"/>
    <x v="0"/>
    <b v="0"/>
    <b v="1"/>
    <x v="0"/>
  </r>
  <r>
    <s v="https://x.com/Toyota/status/3610871552"/>
    <s v="Toyota USA"/>
    <s v="@Toyota"/>
    <s v="Speaking of Toyota Motorsports...Check out what Toyota has setup at the track...NHRA Toyota PitPass http://bit.ly/oA8GB"/>
    <s v="2009-08-28T20:42:13.000Z"/>
    <x v="0"/>
    <x v="54"/>
    <s v="20:42:13"/>
    <x v="0"/>
    <m/>
    <m/>
    <n v="0"/>
    <n v="0"/>
    <n v="0"/>
    <n v="0"/>
    <s v="No engagement"/>
    <x v="0"/>
    <b v="0"/>
    <b v="1"/>
    <x v="0"/>
  </r>
  <r>
    <s v="https://x.com/Toyota/status/3634169778"/>
    <s v="Toyota USA"/>
    <s v="@Toyota"/>
    <s v="@smiyao My pleasure. ^SD"/>
    <s v="2009-08-29T23:13:46.000Z"/>
    <x v="0"/>
    <x v="55"/>
    <s v="23:13:46"/>
    <x v="0"/>
    <s v="@smiyao"/>
    <m/>
    <n v="0"/>
    <n v="0"/>
    <n v="0"/>
    <n v="0"/>
    <s v="No engagement"/>
    <x v="0"/>
    <b v="0"/>
    <b v="0"/>
    <x v="1"/>
  </r>
  <r>
    <s v="https://x.com/Toyota/status/3668427100"/>
    <s v="Toyota USA"/>
    <s v="@Toyota"/>
    <s v="Interesting new tech being tested: TMC, Hino to Test Breathalyzer Ignition-interlock System http://bit.ly/cE5Xv #Toyota"/>
    <s v="2009-08-31T16:21:13.000Z"/>
    <x v="0"/>
    <x v="56"/>
    <s v="16:21:13"/>
    <x v="1"/>
    <m/>
    <m/>
    <n v="0"/>
    <n v="0"/>
    <n v="0"/>
    <n v="0"/>
    <s v="No engagement"/>
    <x v="0"/>
    <b v="0"/>
    <b v="1"/>
    <x v="0"/>
  </r>
  <r>
    <s v="https://x.com/Toyota/status/3693003245"/>
    <s v="Toyota USA"/>
    <s v="@Toyota"/>
    <s v="Today is Lexus' 20th Anniversary!  Congrats to the Lexus brand!"/>
    <s v="2009-09-01T17:49:08.000Z"/>
    <x v="0"/>
    <x v="57"/>
    <s v="17:49:08"/>
    <x v="1"/>
    <m/>
    <m/>
    <n v="0"/>
    <n v="0"/>
    <n v="0"/>
    <n v="0"/>
    <s v="No engagement"/>
    <x v="0"/>
    <b v="0"/>
    <b v="0"/>
    <x v="1"/>
  </r>
  <r>
    <s v="https://x.com/Toyota/status/3695212412"/>
    <s v="Toyota USA"/>
    <s v="@Toyota"/>
    <s v="Toyota reports August sales: http://bit.ly/4fWcTx"/>
    <s v="2009-09-01T19:45:59.000Z"/>
    <x v="0"/>
    <x v="57"/>
    <s v="19:45:59"/>
    <x v="0"/>
    <m/>
    <m/>
    <n v="1"/>
    <n v="0"/>
    <n v="0"/>
    <n v="1"/>
    <s v="Low engagement"/>
    <x v="0"/>
    <b v="0"/>
    <b v="1"/>
    <x v="0"/>
  </r>
  <r>
    <s v="https://x.com/Toyota/status/3714646236"/>
    <s v="Toyota USA"/>
    <s v="@Toyota"/>
    <s v="@cfiltz Calendar year to date: 7,968 FJs  ^SD"/>
    <s v="2009-09-02T17:05:29.000Z"/>
    <x v="0"/>
    <x v="58"/>
    <s v="17:05:29"/>
    <x v="1"/>
    <m/>
    <m/>
    <n v="0"/>
    <n v="0"/>
    <n v="0"/>
    <n v="0"/>
    <s v="No engagement"/>
    <x v="0"/>
    <b v="0"/>
    <b v="0"/>
    <x v="1"/>
  </r>
  <r>
    <s v="https://x.com/Toyota/status/3717715680"/>
    <s v="Toyota USA"/>
    <s v="@Toyota"/>
    <s v="Sue Cullumber, part of the 2008 Toyota Int’l Teacher Program to Galápagos, has a book with photos of the trip: http://tinyurl.com/nwju6d ^DS"/>
    <s v="2009-09-02T20:06:22.000Z"/>
    <x v="0"/>
    <x v="58"/>
    <s v="20:06:22"/>
    <x v="0"/>
    <m/>
    <m/>
    <n v="0"/>
    <n v="0"/>
    <n v="0"/>
    <n v="0"/>
    <s v="No engagement"/>
    <x v="0"/>
    <b v="0"/>
    <b v="1"/>
    <x v="0"/>
  </r>
  <r>
    <s v="https://x.com/Toyota/status/3720229832"/>
    <s v="Toyota USA"/>
    <s v="@Toyota"/>
    <s v="RT: @toyota4teachers See how you/your students can get involved w/ Nat. Public Lands Day, sponsored by Toyota, on 9/26: http://bit.ly/19mf3f"/>
    <s v="2009-09-02T22:15:51.000Z"/>
    <x v="0"/>
    <x v="58"/>
    <s v="22:15:51"/>
    <x v="0"/>
    <m/>
    <m/>
    <n v="0"/>
    <n v="0"/>
    <n v="0"/>
    <n v="0"/>
    <s v="No engagement"/>
    <x v="0"/>
    <b v="0"/>
    <b v="1"/>
    <x v="0"/>
  </r>
  <r>
    <s v="https://x.com/Toyota/status/3734940482"/>
    <s v="Toyota USA"/>
    <s v="@Toyota"/>
    <s v="@yBCeditorial Independent. Run by brand enthusiasts. ^SD"/>
    <s v="2009-09-03T14:55:05.000Z"/>
    <x v="0"/>
    <x v="59"/>
    <s v="14:55:05"/>
    <x v="1"/>
    <s v="@yBCeditorial"/>
    <m/>
    <n v="0"/>
    <n v="0"/>
    <n v="0"/>
    <n v="0"/>
    <s v="No engagement"/>
    <x v="0"/>
    <b v="0"/>
    <b v="0"/>
    <x v="1"/>
  </r>
  <r>
    <s v="https://x.com/Toyota/status/3735028372"/>
    <s v="Toyota USA"/>
    <s v="@Toyota"/>
    <s v="@raulm17 Have you contacted Toyota de Mexico? http://bit.ly/P8k2G ^SD"/>
    <s v="2009-09-03T14:59:52.000Z"/>
    <x v="0"/>
    <x v="59"/>
    <s v="14:59:52"/>
    <x v="1"/>
    <s v="@raulm17"/>
    <m/>
    <n v="0"/>
    <n v="0"/>
    <n v="0"/>
    <n v="0"/>
    <s v="No engagement"/>
    <x v="0"/>
    <b v="0"/>
    <b v="1"/>
    <x v="0"/>
  </r>
  <r>
    <s v="https://x.com/Toyota/status/3735152951"/>
    <s v="Toyota USA"/>
    <s v="@Toyota"/>
    <s v="@carronovo Not sold in the U.S.  I believe it's only been captured in spy shots. ^SD"/>
    <s v="2009-09-03T15:06:02.000Z"/>
    <x v="0"/>
    <x v="59"/>
    <s v="15:06:02"/>
    <x v="1"/>
    <s v="@CarroNovo"/>
    <m/>
    <n v="0"/>
    <n v="0"/>
    <n v="0"/>
    <n v="0"/>
    <s v="No engagement"/>
    <x v="0"/>
    <b v="0"/>
    <b v="0"/>
    <x v="1"/>
  </r>
  <r>
    <s v="https://x.com/Toyota/status/3758699240"/>
    <s v="Toyota USA"/>
    <s v="@Toyota"/>
    <s v="@yBCeditorial Thanks Cam.  Appreciate the support! ^SD"/>
    <s v="2009-09-04T15:20:44.000Z"/>
    <x v="0"/>
    <x v="60"/>
    <s v="15:20:44"/>
    <x v="1"/>
    <s v="@yBCeditorial"/>
    <m/>
    <n v="0"/>
    <n v="0"/>
    <n v="0"/>
    <n v="0"/>
    <s v="No engagement"/>
    <x v="0"/>
    <b v="0"/>
    <b v="0"/>
    <x v="1"/>
  </r>
  <r>
    <s v="https://x.com/Toyota/status/3788675509"/>
    <s v="Toyota USA"/>
    <s v="@Toyota"/>
    <s v="@lilmomthatcould Sounds like another phishing scheme. ^SD"/>
    <s v="2009-09-06T00:17:47.000Z"/>
    <x v="0"/>
    <x v="61"/>
    <s v="00:17:47"/>
    <x v="2"/>
    <m/>
    <m/>
    <n v="0"/>
    <n v="0"/>
    <n v="0"/>
    <n v="0"/>
    <s v="No engagement"/>
    <x v="0"/>
    <b v="0"/>
    <b v="0"/>
    <x v="1"/>
  </r>
  <r>
    <s v="https://x.com/Toyota/status/3841820851"/>
    <s v="Toyota USA"/>
    <s v="@Toyota"/>
    <s v="Love the photo Kristyn...RT @KristynBurtt http://twitpic.com/gt4gw - Me and my @Toyota Prius. :)  ^SD"/>
    <s v="2009-09-08T15:15:51.000Z"/>
    <x v="0"/>
    <x v="62"/>
    <s v="15:15:51"/>
    <x v="1"/>
    <m/>
    <m/>
    <n v="0"/>
    <n v="0"/>
    <n v="0"/>
    <n v="0"/>
    <s v="No engagement"/>
    <x v="0"/>
    <b v="0"/>
    <b v="1"/>
    <x v="0"/>
  </r>
  <r>
    <s v="https://x.com/Toyota/status/3845187835"/>
    <s v="Toyota USA"/>
    <s v="@Toyota"/>
    <s v="RT @mashable HOW TO: Do Good on LinkedIn http://bit.ly/48Gwqj #prius #toyota ^SD"/>
    <s v="2009-09-08T18:15:58.000Z"/>
    <x v="0"/>
    <x v="62"/>
    <s v="18:15:58"/>
    <x v="0"/>
    <m/>
    <m/>
    <n v="0"/>
    <n v="0"/>
    <n v="0"/>
    <n v="0"/>
    <s v="No engagement"/>
    <x v="0"/>
    <b v="0"/>
    <b v="1"/>
    <x v="0"/>
  </r>
  <r>
    <s v="https://x.com/Toyota/status/3864350462"/>
    <s v="Toyota USA"/>
    <s v="@Toyota"/>
    <s v="Lexus Introduces Drivers to its new HS and “Hello Someday” http://bit.ly/WtvXD #lexushs ^SD"/>
    <s v="2009-09-09T14:47:52.000Z"/>
    <x v="0"/>
    <x v="63"/>
    <s v="14:47:52"/>
    <x v="1"/>
    <m/>
    <m/>
    <n v="0"/>
    <n v="0"/>
    <n v="0"/>
    <n v="0"/>
    <s v="No engagement"/>
    <x v="0"/>
    <b v="0"/>
    <b v="1"/>
    <x v="0"/>
  </r>
  <r>
    <s v="https://x.com/Toyota/status/3872775332"/>
    <s v="Toyota USA"/>
    <s v="@Toyota"/>
    <s v="RT @evanslusher Have you driven a @toyota prius? Seriously... like driving a spaceship... pretty sweet ride for sure, and 44MPG!!!!"/>
    <s v="2009-09-09T22:04:40.000Z"/>
    <x v="0"/>
    <x v="63"/>
    <s v="22:04:40"/>
    <x v="0"/>
    <m/>
    <m/>
    <n v="0"/>
    <n v="0"/>
    <n v="0"/>
    <n v="0"/>
    <s v="No engagement"/>
    <x v="0"/>
    <b v="0"/>
    <b v="0"/>
    <x v="1"/>
  </r>
  <r>
    <s v="https://x.com/Toyota/status/3872864234"/>
    <s v="Toyota USA"/>
    <s v="@Toyota"/>
    <s v="2010 Prius Plug-in Hybrid Debuts at Frankfurt Motor Show http://bit.ly/gvUD4 #Toyota ^SD"/>
    <s v="2009-09-09T22:09:01.000Z"/>
    <x v="0"/>
    <x v="63"/>
    <s v="22:09:01"/>
    <x v="0"/>
    <m/>
    <m/>
    <n v="0"/>
    <n v="0"/>
    <n v="0"/>
    <n v="0"/>
    <s v="No engagement"/>
    <x v="0"/>
    <b v="0"/>
    <b v="1"/>
    <x v="0"/>
  </r>
  <r>
    <s v="https://x.com/Toyota/status/3888440715"/>
    <s v="Toyota USA"/>
    <s v="@Toyota"/>
    <s v="@bastasia In some cases, perforated corrosion was found on Tacoma frames...not to be confused w/ surface rust. Hence the warranty extension"/>
    <s v="2009-09-10T14:42:42.000Z"/>
    <x v="0"/>
    <x v="64"/>
    <s v="14:42:42"/>
    <x v="1"/>
    <s v="@bastasia"/>
    <m/>
    <n v="0"/>
    <n v="0"/>
    <n v="0"/>
    <n v="0"/>
    <s v="No engagement"/>
    <x v="0"/>
    <b v="0"/>
    <b v="0"/>
    <x v="1"/>
  </r>
  <r>
    <s v="https://x.com/Toyota/status/3888880394"/>
    <s v="Toyota USA"/>
    <s v="@Toyota"/>
    <s v="Lexus LF-Ch Premium Compact Hybrid Concept to Make North American Debut at 2009 LA Auto Show http://bit.ly/YNlQ3 ^SD"/>
    <s v="2009-09-10T15:05:21.000Z"/>
    <x v="0"/>
    <x v="64"/>
    <s v="15:05:21"/>
    <x v="1"/>
    <m/>
    <m/>
    <n v="0"/>
    <n v="0"/>
    <n v="0"/>
    <n v="0"/>
    <s v="No engagement"/>
    <x v="0"/>
    <b v="0"/>
    <b v="1"/>
    <x v="0"/>
  </r>
  <r>
    <s v="https://x.com/Toyota/status/3895866950"/>
    <s v="Toyota USA"/>
    <s v="@Toyota"/>
    <s v="Toyota continues support of 4-H's water conservation programs, expands to 6 states: http://tinyurl.com/pnuf8z ^DS"/>
    <s v="2009-09-10T20:55:22.000Z"/>
    <x v="0"/>
    <x v="64"/>
    <s v="20:55:22"/>
    <x v="0"/>
    <m/>
    <m/>
    <n v="0"/>
    <n v="0"/>
    <n v="0"/>
    <n v="0"/>
    <s v="No engagement"/>
    <x v="0"/>
    <b v="0"/>
    <b v="1"/>
    <x v="0"/>
  </r>
  <r>
    <s v="https://x.com/Toyota/status/3898228655"/>
    <s v="Toyota USA"/>
    <s v="@Toyota"/>
    <s v="@PRNicoleV Hi Nicole. Can you DM over a phone number or VIN number of the vehicle? I will forward the info. to our CR group. ^SD"/>
    <s v="2009-09-10T22:54:12.000Z"/>
    <x v="0"/>
    <x v="64"/>
    <s v="22:54:12"/>
    <x v="0"/>
    <s v="@NicoleCDenton"/>
    <m/>
    <n v="0"/>
    <n v="0"/>
    <n v="0"/>
    <n v="0"/>
    <s v="No engagement"/>
    <x v="0"/>
    <b v="0"/>
    <b v="0"/>
    <x v="1"/>
  </r>
  <r>
    <s v="https://x.com/Toyota/status/3912994034"/>
    <s v="Toyota USA"/>
    <s v="@Toyota"/>
    <s v="Wonder how solar panels work? From 93M miles away to the roof of the 3rd gen Prius... http://bit.ly/3LBWax #toyota ^SD"/>
    <s v="2009-09-11T15:24:12.000Z"/>
    <x v="0"/>
    <x v="65"/>
    <s v="15:24:12"/>
    <x v="1"/>
    <m/>
    <m/>
    <n v="1"/>
    <n v="0"/>
    <n v="0"/>
    <n v="1"/>
    <s v="Low engagement"/>
    <x v="0"/>
    <b v="0"/>
    <b v="1"/>
    <x v="0"/>
  </r>
  <r>
    <s v="https://x.com/Toyota/status/3916351672"/>
    <s v="Toyota USA"/>
    <s v="@Toyota"/>
    <s v="Just posted Toyota's teen driver program video to the Toyota youtube channel http://bit.ly/2lRTKa  ^DM"/>
    <s v="2009-09-11T18:14:04.000Z"/>
    <x v="0"/>
    <x v="65"/>
    <s v="18:14:04"/>
    <x v="0"/>
    <m/>
    <m/>
    <n v="0"/>
    <n v="0"/>
    <n v="0"/>
    <n v="0"/>
    <s v="No engagement"/>
    <x v="0"/>
    <b v="0"/>
    <b v="1"/>
    <x v="0"/>
  </r>
  <r>
    <s v="https://x.com/Toyota/status/3991087338"/>
    <s v="Toyota USA"/>
    <s v="@Toyota"/>
    <s v="@KevanRay Various rare earth metals are used in our advanced hybrid systems. ^AT"/>
    <s v="2009-09-14T23:08:25.000Z"/>
    <x v="0"/>
    <x v="66"/>
    <s v="23:08:25"/>
    <x v="0"/>
    <m/>
    <m/>
    <n v="0"/>
    <n v="0"/>
    <n v="0"/>
    <n v="0"/>
    <s v="No engagement"/>
    <x v="0"/>
    <b v="0"/>
    <b v="0"/>
    <x v="1"/>
  </r>
  <r>
    <s v="https://x.com/Toyota/status/3991098091"/>
    <s v="Toyota USA"/>
    <s v="@Toyota"/>
    <s v="@KevanRay New sources and new types will be needed as the auto industry continues to proliferate hybrid technology. ^AT"/>
    <s v="2009-09-14T23:08:58.000Z"/>
    <x v="0"/>
    <x v="66"/>
    <s v="23:08:58"/>
    <x v="0"/>
    <m/>
    <m/>
    <n v="0"/>
    <n v="0"/>
    <n v="0"/>
    <n v="0"/>
    <s v="No engagement"/>
    <x v="0"/>
    <b v="0"/>
    <b v="0"/>
    <x v="1"/>
  </r>
  <r>
    <s v="https://x.com/Toyota/status/4011938442"/>
    <s v="Toyota USA"/>
    <s v="@Toyota"/>
    <s v="@khivi Can you provide more background on what you're referring to? ^SD"/>
    <s v="2009-09-15T19:57:08.000Z"/>
    <x v="0"/>
    <x v="67"/>
    <s v="19:57:08"/>
    <x v="0"/>
    <s v="@khivi"/>
    <m/>
    <n v="0"/>
    <n v="0"/>
    <n v="0"/>
    <n v="0"/>
    <s v="No engagement"/>
    <x v="0"/>
    <b v="0"/>
    <b v="0"/>
    <x v="1"/>
  </r>
  <r>
    <s v="https://x.com/Toyota/status/4031152578"/>
    <s v="Toyota USA"/>
    <s v="@Toyota"/>
    <s v="Bloomberg: Toyota Remains With Nickel After Lithium Prius Test  http://bit.ly/10GEGF ^AT"/>
    <s v="2009-09-16T15:23:56.000Z"/>
    <x v="0"/>
    <x v="68"/>
    <s v="15:23:56"/>
    <x v="1"/>
    <m/>
    <m/>
    <n v="0"/>
    <n v="0"/>
    <n v="0"/>
    <n v="0"/>
    <s v="No engagement"/>
    <x v="0"/>
    <b v="0"/>
    <b v="1"/>
    <x v="0"/>
  </r>
  <r>
    <s v="https://x.com/Toyota/status/4034642472"/>
    <s v="Toyota USA"/>
    <s v="@Toyota"/>
    <s v="VIDEO: Interview with Toyota driver Joey Logano and his family: http://bit.ly/2GZ6s6 @jlogano #toyotaracing ^SD"/>
    <s v="2009-09-16T18:11:02.000Z"/>
    <x v="0"/>
    <x v="68"/>
    <s v="18:11:02"/>
    <x v="0"/>
    <m/>
    <m/>
    <n v="1"/>
    <n v="0"/>
    <n v="0"/>
    <n v="1"/>
    <s v="Low engagement"/>
    <x v="0"/>
    <b v="0"/>
    <b v="1"/>
    <x v="0"/>
  </r>
  <r>
    <s v="https://x.com/Toyota/status/4147907043"/>
    <s v="Toyota USA"/>
    <s v="@Toyota"/>
    <s v="@KristynBurtt Wow...you parked next to &quot;thee&quot; Barbie?  Were you in Malibu? ^SD"/>
    <s v="2009-09-21T15:07:30.000Z"/>
    <x v="0"/>
    <x v="69"/>
    <s v="15:07:30"/>
    <x v="1"/>
    <s v="@KristynBurtt"/>
    <m/>
    <n v="0"/>
    <n v="0"/>
    <n v="0"/>
    <n v="0"/>
    <s v="No engagement"/>
    <x v="0"/>
    <b v="0"/>
    <b v="0"/>
    <x v="1"/>
  </r>
  <r>
    <s v="https://x.com/Toyota/status/4151423900"/>
    <s v="Toyota USA"/>
    <s v="@Toyota"/>
    <s v="Tell us what you thought about the Lexus LF-Ch Concept shown in Frankfurt. http://bit.ly/1azvdA Photos: http://bit.ly/BMrE5 ^SD"/>
    <s v="2009-09-21T17:52:56.000Z"/>
    <x v="0"/>
    <x v="69"/>
    <s v="17:52:56"/>
    <x v="1"/>
    <m/>
    <m/>
    <n v="0"/>
    <n v="0"/>
    <n v="0"/>
    <n v="0"/>
    <s v="No engagement"/>
    <x v="0"/>
    <b v="0"/>
    <b v="1"/>
    <x v="0"/>
  </r>
  <r>
    <s v="https://x.com/Toyota/status/4176214768"/>
    <s v="Toyota USA"/>
    <s v="@Toyota"/>
    <s v="RT @scotty321 @Toyota, love my new 2010 Prius!! :)  (Good to hear...Thanks! ^SD)"/>
    <s v="2009-09-22T16:59:06.000Z"/>
    <x v="0"/>
    <x v="70"/>
    <s v="16:59:06"/>
    <x v="1"/>
    <m/>
    <m/>
    <n v="0"/>
    <n v="0"/>
    <n v="0"/>
    <n v="0"/>
    <s v="No engagement"/>
    <x v="0"/>
    <b v="0"/>
    <b v="0"/>
    <x v="1"/>
  </r>
  <r>
    <s v="https://x.com/Toyota/status/4297575172"/>
    <s v="Toyota USA"/>
    <s v="@Toyota"/>
    <s v="Toyota Launches New Product Leadership Campaign http://bit.ly/11CkJf  Toyota.com page: http://bit.ly/16fm6i"/>
    <s v="2009-09-22T20:33:50.000Z"/>
    <x v="0"/>
    <x v="70"/>
    <s v="20:33:50"/>
    <x v="0"/>
    <m/>
    <m/>
    <n v="0"/>
    <n v="0"/>
    <n v="0"/>
    <n v="0"/>
    <s v="No engagement"/>
    <x v="0"/>
    <b v="0"/>
    <b v="1"/>
    <x v="0"/>
  </r>
  <r>
    <s v="https://x.com/Toyota/status/4299570661"/>
    <s v="Toyota USA"/>
    <s v="@Toyota"/>
    <s v="Hi @jefedelospollos Please contact the Customer Experience Ctr http://bit.ly/4cAEA"/>
    <s v="2009-09-22T22:04:29.000Z"/>
    <x v="0"/>
    <x v="70"/>
    <s v="22:04:29"/>
    <x v="0"/>
    <m/>
    <m/>
    <n v="0"/>
    <n v="0"/>
    <n v="0"/>
    <n v="0"/>
    <s v="No engagement"/>
    <x v="0"/>
    <b v="0"/>
    <b v="1"/>
    <x v="0"/>
  </r>
  <r>
    <s v="https://x.com/Toyota/status/4318739873"/>
    <s v="Toyota USA"/>
    <s v="@Toyota"/>
    <s v="Fantasy Football fans...time to up your game! Check out the Toyota Sponsored Yahoo! Fantasy Football Enhancer http://bit.ly/ZQI39 ^SD"/>
    <s v="2009-09-23T16:14:17.000Z"/>
    <x v="0"/>
    <x v="71"/>
    <s v="16:14:17"/>
    <x v="1"/>
    <m/>
    <m/>
    <n v="0"/>
    <n v="0"/>
    <n v="0"/>
    <n v="0"/>
    <s v="No engagement"/>
    <x v="0"/>
    <b v="0"/>
    <b v="1"/>
    <x v="0"/>
  </r>
  <r>
    <s v="https://x.com/Toyota/status/4319032736"/>
    <s v="Toyota USA"/>
    <s v="@Toyota"/>
    <s v="@TankaBar I drive a Yaris on the highway everyday. Suits me just fine. Camry is more comfortable and has more options. ^SD"/>
    <s v="2009-09-23T16:27:00.000Z"/>
    <x v="0"/>
    <x v="71"/>
    <s v="16:27:00"/>
    <x v="1"/>
    <s v="@TankaBar"/>
    <m/>
    <n v="0"/>
    <n v="0"/>
    <n v="0"/>
    <n v="0"/>
    <s v="No engagement"/>
    <x v="0"/>
    <b v="0"/>
    <b v="0"/>
    <x v="1"/>
  </r>
  <r>
    <s v="https://x.com/Toyota/status/4320981202"/>
    <s v="Toyota USA"/>
    <s v="@Toyota"/>
    <s v="Loaded new Toyota Product Leadership ads highlighting 6 themes such as dependability &amp; reliability http://bit.ly/SrCCR  ^DM"/>
    <s v="2009-09-23T17:54:02.000Z"/>
    <x v="0"/>
    <x v="71"/>
    <s v="17:54:02"/>
    <x v="1"/>
    <m/>
    <m/>
    <n v="2"/>
    <n v="0"/>
    <n v="0"/>
    <n v="2"/>
    <s v="Low engagement"/>
    <x v="0"/>
    <b v="0"/>
    <b v="1"/>
    <x v="0"/>
  </r>
  <r>
    <s v="https://x.com/Toyota/status/4333880046"/>
    <s v="Toyota USA"/>
    <s v="@Toyota"/>
    <s v="The 2010 Toyota 4Runner makes its world debut tomorrow at the State Fair of Texas...Stay tuned for news, images and video! ^SD"/>
    <s v="2009-09-24T03:50:41.000Z"/>
    <x v="0"/>
    <x v="72"/>
    <s v="03:50:41"/>
    <x v="2"/>
    <m/>
    <m/>
    <n v="0"/>
    <n v="0"/>
    <n v="0"/>
    <n v="0"/>
    <s v="No engagement"/>
    <x v="0"/>
    <b v="0"/>
    <b v="0"/>
    <x v="1"/>
  </r>
  <r>
    <s v="https://x.com/Toyota/status/4343378646"/>
    <s v="Toyota USA"/>
    <s v="@Toyota"/>
    <s v="Good morning everyone!  Feels like a 4Runner kind of day. Stay tunded.  ^SD #toyota #4Runner"/>
    <s v="2009-09-24T14:58:16.000Z"/>
    <x v="0"/>
    <x v="72"/>
    <s v="14:58:16"/>
    <x v="1"/>
    <m/>
    <m/>
    <n v="0"/>
    <n v="0"/>
    <n v="0"/>
    <n v="0"/>
    <s v="No engagement"/>
    <x v="0"/>
    <b v="0"/>
    <b v="0"/>
    <x v="1"/>
  </r>
  <r>
    <s v="https://x.com/Toyota/status/4343459634"/>
    <s v="Toyota USA"/>
    <s v="@Toyota"/>
    <s v="@highmileage Sounds cool.  Good luck with the connectivity! ^SD"/>
    <s v="2009-09-24T15:01:42.000Z"/>
    <x v="0"/>
    <x v="72"/>
    <s v="15:01:42"/>
    <x v="1"/>
    <s v="@highmileage"/>
    <m/>
    <n v="0"/>
    <n v="0"/>
    <n v="0"/>
    <n v="0"/>
    <s v="No engagement"/>
    <x v="0"/>
    <b v="0"/>
    <b v="0"/>
    <x v="1"/>
  </r>
  <r>
    <s v="https://x.com/Toyota/status/4343924749"/>
    <s v="Toyota USA"/>
    <s v="@Toyota"/>
    <s v="@jeffpollard I know...but we'll have better/more content. Thanks Jeff! ^SD"/>
    <s v="2009-09-24T15:21:48.000Z"/>
    <x v="0"/>
    <x v="72"/>
    <s v="15:21:48"/>
    <x v="1"/>
    <s v="@jeffpollard"/>
    <m/>
    <n v="0"/>
    <n v="0"/>
    <n v="0"/>
    <n v="0"/>
    <s v="No engagement"/>
    <x v="0"/>
    <b v="0"/>
    <b v="0"/>
    <x v="1"/>
  </r>
  <r>
    <s v="https://x.com/Toyota/status/4344213789"/>
    <s v="Toyota USA"/>
    <s v="@Toyota"/>
    <s v="All-new 5th Generation 4Runner makes its world debut at the State Fair of Texas."/>
    <s v="2009-09-24T15:34:32.000Z"/>
    <x v="0"/>
    <x v="72"/>
    <s v="15:34:32"/>
    <x v="1"/>
    <m/>
    <m/>
    <n v="0"/>
    <n v="0"/>
    <n v="0"/>
    <n v="0"/>
    <s v="No engagement"/>
    <x v="0"/>
    <b v="0"/>
    <b v="0"/>
    <x v="1"/>
  </r>
  <r>
    <s v="https://x.com/Toyota/status/4344305499"/>
    <s v="Toyota USA"/>
    <s v="@Toyota"/>
    <s v="http://twitpic.com/iy4lx -"/>
    <s v="2009-09-24T15:38:31.000Z"/>
    <x v="0"/>
    <x v="72"/>
    <s v="15:38:31"/>
    <x v="1"/>
    <m/>
    <m/>
    <n v="0"/>
    <n v="0"/>
    <n v="0"/>
    <n v="0"/>
    <s v="No engagement"/>
    <x v="0"/>
    <b v="0"/>
    <b v="1"/>
    <x v="0"/>
  </r>
  <r>
    <s v="https://x.com/Toyota/status/4344862394"/>
    <s v="Toyota USA"/>
    <s v="@Toyota"/>
    <s v="http://twitpic.com/iy7pn - 4Runner SR5 offers 270-hp V6 or 2.7&quot; L4"/>
    <s v="2009-09-24T16:02:45.000Z"/>
    <x v="0"/>
    <x v="72"/>
    <s v="16:02:45"/>
    <x v="1"/>
    <m/>
    <m/>
    <n v="0"/>
    <n v="0"/>
    <n v="0"/>
    <n v="0"/>
    <s v="No engagement"/>
    <x v="0"/>
    <b v="0"/>
    <b v="1"/>
    <x v="0"/>
  </r>
  <r>
    <s v="https://x.com/Toyota/status/4344895834"/>
    <s v="Toyota USA"/>
    <s v="@Toyota"/>
    <s v="Here comes the 2010 Toyota 4Runner assault....News release: http://bit.ly/zLFio ^SD"/>
    <s v="2009-09-24T16:04:11.000Z"/>
    <x v="0"/>
    <x v="72"/>
    <s v="16:04:11"/>
    <x v="1"/>
    <m/>
    <m/>
    <n v="0"/>
    <n v="0"/>
    <n v="0"/>
    <n v="0"/>
    <s v="No engagement"/>
    <x v="0"/>
    <b v="0"/>
    <b v="1"/>
    <x v="0"/>
  </r>
  <r>
    <s v="https://x.com/Toyota/status/4344939007"/>
    <s v="Toyota USA"/>
    <s v="@Toyota"/>
    <s v="2010 Toyota 4Runner first look video: http://bit.ly/3GxQm3"/>
    <s v="2009-09-24T16:06:01.000Z"/>
    <x v="0"/>
    <x v="72"/>
    <s v="16:06:01"/>
    <x v="1"/>
    <m/>
    <m/>
    <n v="0"/>
    <n v="0"/>
    <n v="0"/>
    <n v="0"/>
    <s v="No engagement"/>
    <x v="0"/>
    <b v="0"/>
    <b v="1"/>
    <x v="0"/>
  </r>
  <r>
    <s v="https://x.com/Toyota/status/4344979421"/>
    <s v="Toyota USA"/>
    <s v="@Toyota"/>
    <s v="Images...2010 Toyota 4Runner on the Rubicon Trail: http://bit.ly/nUhtp"/>
    <s v="2009-09-24T16:07:45.000Z"/>
    <x v="0"/>
    <x v="72"/>
    <s v="16:07:45"/>
    <x v="1"/>
    <m/>
    <m/>
    <n v="0"/>
    <n v="0"/>
    <n v="0"/>
    <n v="0"/>
    <s v="No engagement"/>
    <x v="0"/>
    <b v="0"/>
    <b v="1"/>
    <x v="0"/>
  </r>
  <r>
    <s v="https://x.com/Toyota/status/4344985293"/>
    <s v="Toyota USA"/>
    <s v="@Toyota"/>
    <s v="http://twitpic.com/iy8d4 - New 4Runner Limited with standard 20-in. Wheels."/>
    <s v="2009-09-24T16:08:01.000Z"/>
    <x v="0"/>
    <x v="72"/>
    <s v="16:08:01"/>
    <x v="1"/>
    <m/>
    <m/>
    <n v="0"/>
    <n v="0"/>
    <n v="0"/>
    <n v="0"/>
    <s v="No engagement"/>
    <x v="0"/>
    <b v="0"/>
    <b v="1"/>
    <x v="0"/>
  </r>
  <r>
    <s v="https://x.com/Toyota/status/4345012724"/>
    <s v="Toyota USA"/>
    <s v="@Toyota"/>
    <s v="Images...2010 Toyota 4Runner Limited: http://bit.ly/lJtRd"/>
    <s v="2009-09-24T16:09:12.000Z"/>
    <x v="0"/>
    <x v="72"/>
    <s v="16:09:12"/>
    <x v="1"/>
    <m/>
    <m/>
    <n v="0"/>
    <n v="0"/>
    <n v="0"/>
    <n v="0"/>
    <s v="No engagement"/>
    <x v="0"/>
    <b v="0"/>
    <b v="1"/>
    <x v="0"/>
  </r>
  <r>
    <s v="https://x.com/Toyota/status/4345032009"/>
    <s v="Toyota USA"/>
    <s v="@Toyota"/>
    <s v="Images...2010 Toyota 4Runner SR5: http://bit.ly/g8kLS"/>
    <s v="2009-09-24T16:10:02.000Z"/>
    <x v="0"/>
    <x v="72"/>
    <s v="16:10:02"/>
    <x v="1"/>
    <m/>
    <m/>
    <n v="1"/>
    <n v="0"/>
    <n v="0"/>
    <n v="1"/>
    <s v="Low engagement"/>
    <x v="0"/>
    <b v="0"/>
    <b v="1"/>
    <x v="0"/>
  </r>
  <r>
    <s v="https://x.com/Toyota/status/4345061188"/>
    <s v="Toyota USA"/>
    <s v="@Toyota"/>
    <s v="Images...2010 Toyota 4Runner Trail: http://bit.ly/aKBmR"/>
    <s v="2009-09-24T16:11:15.000Z"/>
    <x v="0"/>
    <x v="72"/>
    <s v="16:11:15"/>
    <x v="1"/>
    <m/>
    <m/>
    <n v="2"/>
    <n v="0"/>
    <n v="0"/>
    <n v="2"/>
    <s v="Low engagement"/>
    <x v="0"/>
    <b v="0"/>
    <b v="1"/>
    <x v="0"/>
  </r>
  <r>
    <s v="https://x.com/Toyota/status/4345084538"/>
    <s v="Toyota USA"/>
    <s v="@Toyota"/>
    <s v="http://twitpic.com/iy8w6 - 43unner's sliding rear cargo deck hlds 440 lbd"/>
    <s v="2009-09-24T16:12:16.000Z"/>
    <x v="0"/>
    <x v="72"/>
    <s v="16:12:16"/>
    <x v="1"/>
    <m/>
    <m/>
    <n v="0"/>
    <n v="0"/>
    <n v="0"/>
    <n v="0"/>
    <s v="No engagement"/>
    <x v="0"/>
    <b v="0"/>
    <b v="1"/>
    <x v="0"/>
  </r>
  <r>
    <s v="https://x.com/Toyota/status/4345096121"/>
    <s v="Toyota USA"/>
    <s v="@Toyota"/>
    <s v="I'll give you all a 4Runner break for now...Stay tuned...a series of 2010 4Runner &quot;How To&quot; videos to come! ^SD #toyota"/>
    <s v="2009-09-24T16:12:46.000Z"/>
    <x v="0"/>
    <x v="72"/>
    <s v="16:12:46"/>
    <x v="1"/>
    <m/>
    <m/>
    <n v="0"/>
    <n v="0"/>
    <n v="0"/>
    <n v="0"/>
    <s v="No engagement"/>
    <x v="0"/>
    <b v="0"/>
    <b v="0"/>
    <x v="1"/>
  </r>
  <r>
    <s v="https://x.com/Toyota/status/4345148107"/>
    <s v="Toyota USA"/>
    <s v="@Toyota"/>
    <s v="RT: @AboutCars @Toyota Nice-looking SUV."/>
    <s v="2009-09-24T16:15:03.000Z"/>
    <x v="0"/>
    <x v="72"/>
    <s v="16:15:03"/>
    <x v="1"/>
    <m/>
    <m/>
    <n v="0"/>
    <n v="0"/>
    <n v="0"/>
    <n v="0"/>
    <s v="No engagement"/>
    <x v="0"/>
    <b v="0"/>
    <b v="0"/>
    <x v="1"/>
  </r>
  <r>
    <s v="https://x.com/Toyota/status/4345161467"/>
    <s v="Toyota USA"/>
    <s v="@Toyota"/>
    <s v="RT: @AsianMartin Love the 4-Runner. If you build a Hybrid counterpart I can guarantee you the company I work for will buy a dozen...so don't"/>
    <s v="2009-09-24T16:15:35.000Z"/>
    <x v="0"/>
    <x v="72"/>
    <s v="16:15:35"/>
    <x v="1"/>
    <m/>
    <m/>
    <n v="0"/>
    <n v="0"/>
    <n v="0"/>
    <n v="0"/>
    <s v="No engagement"/>
    <x v="0"/>
    <b v="0"/>
    <b v="0"/>
    <x v="1"/>
  </r>
  <r>
    <s v="https://x.com/Toyota/status/4345306026"/>
    <s v="Toyota USA"/>
    <s v="@Toyota"/>
    <s v="http://twitpic.com/iya5o - 4Runner's optional 3rd row folds flat for more cargo space."/>
    <s v="2009-09-24T16:21:46.000Z"/>
    <x v="0"/>
    <x v="72"/>
    <s v="16:21:46"/>
    <x v="1"/>
    <m/>
    <m/>
    <n v="0"/>
    <n v="0"/>
    <n v="0"/>
    <n v="0"/>
    <s v="No engagement"/>
    <x v="0"/>
    <b v="0"/>
    <b v="1"/>
    <x v="0"/>
  </r>
  <r>
    <s v="https://x.com/Toyota/status/4346014683"/>
    <s v="Toyota USA"/>
    <s v="@Toyota"/>
    <s v="2010 Toyota 4Runner specs: http://bit.ly/BFfCg (Note: PDF File)"/>
    <s v="2009-09-24T16:52:13.000Z"/>
    <x v="0"/>
    <x v="72"/>
    <s v="16:52:13"/>
    <x v="1"/>
    <m/>
    <m/>
    <n v="1"/>
    <n v="0"/>
    <n v="0"/>
    <n v="1"/>
    <s v="Low engagement"/>
    <x v="0"/>
    <b v="0"/>
    <b v="1"/>
    <x v="0"/>
  </r>
  <r>
    <s v="https://x.com/Toyota/status/4346076787"/>
    <s v="Toyota USA"/>
    <s v="@Toyota"/>
    <s v="@jhutt75 2010 Toyota 4Runner specs: http://bit.ly/BFfCg (Note: PDF File)"/>
    <s v="2009-09-24T16:54:56.000Z"/>
    <x v="0"/>
    <x v="72"/>
    <s v="16:54:56"/>
    <x v="1"/>
    <s v="@jhutt75"/>
    <m/>
    <n v="0"/>
    <n v="0"/>
    <n v="0"/>
    <n v="0"/>
    <s v="No engagement"/>
    <x v="0"/>
    <b v="0"/>
    <b v="1"/>
    <x v="0"/>
  </r>
  <r>
    <s v="https://x.com/Toyota/status/4346424242"/>
    <s v="Toyota USA"/>
    <s v="@Toyota"/>
    <s v="@JeffSBartlett Pricing should be released tomorrow...stay tuned.  We'll post a link on Twitter.  Thanks. ^SD"/>
    <s v="2009-09-24T17:09:59.000Z"/>
    <x v="0"/>
    <x v="72"/>
    <s v="17:09:59"/>
    <x v="1"/>
    <s v="@JeffSBartlett"/>
    <m/>
    <n v="0"/>
    <n v="0"/>
    <n v="0"/>
    <n v="0"/>
    <s v="No engagement"/>
    <x v="0"/>
    <b v="0"/>
    <b v="0"/>
    <x v="1"/>
  </r>
  <r>
    <s v="https://x.com/Toyota/status/4348004483"/>
    <s v="Toyota USA"/>
    <s v="@Toyota"/>
    <s v="@cfiltz Here you go... http://bit.ly/2c8ou5 (this is a PDF file)"/>
    <s v="2009-09-24T18:20:57.000Z"/>
    <x v="0"/>
    <x v="72"/>
    <s v="18:20:57"/>
    <x v="0"/>
    <m/>
    <m/>
    <n v="0"/>
    <n v="0"/>
    <n v="0"/>
    <n v="0"/>
    <s v="No engagement"/>
    <x v="0"/>
    <b v="0"/>
    <b v="1"/>
    <x v="0"/>
  </r>
  <r>
    <s v="https://x.com/Toyota/status/4349755525"/>
    <s v="Toyota USA"/>
    <s v="@Toyota"/>
    <s v="@AutoTrader_com “party mode” raises the bass and transfers the equalization to the rear to provide excellent outside audio for tailgating."/>
    <s v="2009-09-24T19:42:24.000Z"/>
    <x v="0"/>
    <x v="72"/>
    <s v="19:42:24"/>
    <x v="0"/>
    <s v="@AutoTrader_com"/>
    <m/>
    <n v="0"/>
    <n v="0"/>
    <n v="0"/>
    <n v="0"/>
    <s v="No engagement"/>
    <x v="0"/>
    <b v="0"/>
    <b v="0"/>
    <x v="1"/>
  </r>
  <r>
    <s v="https://x.com/Toyota/status/4351981420"/>
    <s v="Toyota USA"/>
    <s v="@Toyota"/>
    <s v="Just added large 2010 4Runner playlist on YouTube. Includes series of new &quot;how to&quot; overview videos: http://bit.ly/KSXE8 ^SD #toyota"/>
    <s v="2009-09-24T21:32:34.000Z"/>
    <x v="0"/>
    <x v="72"/>
    <s v="21:32:34"/>
    <x v="0"/>
    <m/>
    <m/>
    <n v="1"/>
    <n v="0"/>
    <n v="0"/>
    <n v="1"/>
    <s v="Low engagement"/>
    <x v="0"/>
    <b v="0"/>
    <b v="1"/>
    <x v="0"/>
  </r>
  <r>
    <s v="https://x.com/Toyota/status/4353124498"/>
    <s v="Toyota USA"/>
    <s v="@Toyota"/>
    <s v="Lexus wants to show your mod Lexus at SEMA. Send 3 jpgs, mods, contact info to lexus.sema@teamone-usa.com. Rules http://tinyurl.com/yb5ldrz"/>
    <s v="2009-09-24T22:25:32.000Z"/>
    <x v="0"/>
    <x v="72"/>
    <s v="22:25:32"/>
    <x v="0"/>
    <m/>
    <m/>
    <n v="0"/>
    <n v="0"/>
    <n v="0"/>
    <n v="0"/>
    <s v="No engagement"/>
    <x v="0"/>
    <b v="0"/>
    <b v="1"/>
    <x v="0"/>
  </r>
  <r>
    <s v="https://x.com/Toyota/status/4354096452"/>
    <s v="Toyota USA"/>
    <s v="@Toyota"/>
    <s v="@OFRD_GRL This is just for modified Lexus'. ^SD"/>
    <s v="2009-09-24T23:10:59.000Z"/>
    <x v="0"/>
    <x v="72"/>
    <s v="23:10:59"/>
    <x v="0"/>
    <s v="@UnaSchade"/>
    <m/>
    <n v="0"/>
    <n v="0"/>
    <n v="0"/>
    <n v="0"/>
    <s v="No engagement"/>
    <x v="0"/>
    <b v="0"/>
    <b v="0"/>
    <x v="1"/>
  </r>
  <r>
    <s v="https://x.com/Toyota/status/4374024804"/>
    <s v="Toyota USA"/>
    <s v="@Toyota"/>
    <s v="Toyota Announces Prices on Five 2010 Models Including All-New 4Runner http://bit.ly/lU4GV ^SD"/>
    <s v="2009-09-25T17:54:37.000Z"/>
    <x v="0"/>
    <x v="73"/>
    <s v="17:54:37"/>
    <x v="1"/>
    <m/>
    <m/>
    <n v="0"/>
    <n v="0"/>
    <n v="0"/>
    <n v="0"/>
    <s v="No engagement"/>
    <x v="0"/>
    <b v="0"/>
    <b v="1"/>
    <x v="0"/>
  </r>
  <r>
    <s v="https://x.com/Toyota/status/4377240895"/>
    <s v="Toyota USA"/>
    <s v="@Toyota"/>
    <s v="RT @toyota4teachers Tomorrow is National Public Lands Day sponsored by @Toyota ! See how to get involved: http://bit.ly/1ANCqz!"/>
    <s v="2009-09-25T20:23:33.000Z"/>
    <x v="0"/>
    <x v="73"/>
    <s v="20:23:33"/>
    <x v="0"/>
    <m/>
    <m/>
    <n v="1"/>
    <n v="0"/>
    <n v="0"/>
    <n v="1"/>
    <s v="Low engagement"/>
    <x v="0"/>
    <b v="0"/>
    <b v="1"/>
    <x v="0"/>
  </r>
  <r>
    <s v="https://x.com/Toyota/status/4380520105"/>
    <s v="Toyota USA"/>
    <s v="@Toyota"/>
    <s v="More National Public Lands Day news...Hundreds expected for cleanup effort near Station fire burn area http://bit.ly/14TOxv ^SD #NPLD"/>
    <s v="2009-09-25T23:05:54.000Z"/>
    <x v="0"/>
    <x v="73"/>
    <s v="23:05:54"/>
    <x v="0"/>
    <m/>
    <m/>
    <n v="0"/>
    <n v="0"/>
    <n v="0"/>
    <n v="0"/>
    <s v="No engagement"/>
    <x v="0"/>
    <b v="0"/>
    <b v="1"/>
    <x v="0"/>
  </r>
  <r>
    <s v="https://x.com/Toyota/status/4450910248"/>
    <s v="Toyota USA"/>
    <s v="@Toyota"/>
    <s v="@stopbeck FYI...Lexus is not advertising on Glenn Beck. @Afthought @sevenish @JackDeTate @ishtarmuz @dreaminghope @shh71 @EnviroChem"/>
    <s v="2009-09-28T19:48:33.000Z"/>
    <x v="0"/>
    <x v="74"/>
    <s v="19:48:33"/>
    <x v="0"/>
    <m/>
    <m/>
    <n v="0"/>
    <n v="0"/>
    <n v="0"/>
    <n v="0"/>
    <s v="No engagement"/>
    <x v="0"/>
    <b v="0"/>
    <b v="0"/>
    <x v="1"/>
  </r>
  <r>
    <s v="https://x.com/Toyota/status/4452944392"/>
    <s v="Toyota USA"/>
    <s v="@Toyota"/>
    <s v="@stopbeck We (Lexus) are not currently advertising on Glenn Beck."/>
    <s v="2009-09-28T21:19:48.000Z"/>
    <x v="0"/>
    <x v="74"/>
    <s v="21:19:48"/>
    <x v="0"/>
    <s v="@GoAngelo"/>
    <m/>
    <n v="0"/>
    <n v="0"/>
    <n v="0"/>
    <n v="0"/>
    <s v="No engagement"/>
    <x v="0"/>
    <b v="0"/>
    <b v="0"/>
    <x v="1"/>
  </r>
  <r>
    <s v="https://x.com/Toyota/status/4455529851"/>
    <s v="Toyota USA"/>
    <s v="@Toyota"/>
    <s v="VIDEO: Watch the fifth generation 4Runner take on the Rubicon Trail http://bit.ly/EgqN2 #toyota #4Runner ^SD"/>
    <s v="2009-09-28T23:15:14.000Z"/>
    <x v="0"/>
    <x v="74"/>
    <s v="23:15:14"/>
    <x v="0"/>
    <m/>
    <m/>
    <n v="2"/>
    <n v="0"/>
    <n v="0"/>
    <n v="2"/>
    <s v="Low engagement"/>
    <x v="0"/>
    <b v="0"/>
    <b v="1"/>
    <x v="0"/>
  </r>
  <r>
    <s v="https://x.com/Toyota/status/4455656241"/>
    <s v="Toyota USA"/>
    <s v="@Toyota"/>
    <s v="The team from www.fourwheeler.com went along on the 4Runner Rubicon Trail trip...check out their footage: http://bit.ly/fe5OX ^SD"/>
    <s v="2009-09-28T23:20:44.000Z"/>
    <x v="0"/>
    <x v="74"/>
    <s v="23:20:44"/>
    <x v="0"/>
    <m/>
    <m/>
    <n v="1"/>
    <n v="0"/>
    <n v="0"/>
    <n v="1"/>
    <s v="Low engagement"/>
    <x v="0"/>
    <b v="0"/>
    <b v="1"/>
    <x v="0"/>
  </r>
  <r>
    <s v="https://x.com/Toyota/status/4455839403"/>
    <s v="Toyota USA"/>
    <s v="@Toyota"/>
    <s v="Toyota Financial Services launches 8yr/125K extended service plan http://tinyurl.com/yatqwge ^DM"/>
    <s v="2009-09-28T23:28:49.000Z"/>
    <x v="0"/>
    <x v="74"/>
    <s v="23:28:49"/>
    <x v="0"/>
    <m/>
    <m/>
    <n v="0"/>
    <n v="0"/>
    <n v="0"/>
    <n v="0"/>
    <s v="No engagement"/>
    <x v="0"/>
    <b v="0"/>
    <b v="1"/>
    <x v="0"/>
  </r>
  <r>
    <s v="https://x.com/Toyota/status/4477767177"/>
    <s v="Toyota USA"/>
    <s v="@Toyota"/>
    <s v="Pew Center for Climate Change launches portal for corporate energy efficiency, funded by Toyota: http://tinyurl.com/y9n6g63"/>
    <s v="2009-09-29T19:29:46.000Z"/>
    <x v="1"/>
    <x v="75"/>
    <s v="19:29:46"/>
    <x v="0"/>
    <m/>
    <m/>
    <n v="1"/>
    <n v="0"/>
    <n v="0"/>
    <n v="1"/>
    <s v="Low engagement"/>
    <x v="0"/>
    <b v="0"/>
    <b v="1"/>
    <x v="0"/>
  </r>
  <r>
    <s v="https://x.com/Toyota/status/4480555436"/>
    <s v="Toyota USA"/>
    <s v="@Toyota"/>
    <s v="Toyota and Lexus Consumer Safety Advisory - Potential Floor Mat Interference with Accelerator Pedal: http://bit.ly/puEtg"/>
    <s v="2009-09-29T21:34:41.000Z"/>
    <x v="1"/>
    <x v="75"/>
    <s v="21:34:41"/>
    <x v="0"/>
    <m/>
    <m/>
    <n v="1"/>
    <n v="0"/>
    <n v="0"/>
    <n v="1"/>
    <s v="Low engagement"/>
    <x v="0"/>
    <b v="0"/>
    <b v="1"/>
    <x v="0"/>
  </r>
  <r>
    <s v="https://x.com/Toyota/status/4505715613"/>
    <s v="Toyota USA"/>
    <s v="@Toyota"/>
    <s v="http://twitpic.com/jqy45 - Toyota's Irv Miller &amp; Chris Reynolds present keys to the first '10 Prius sold in CA to Linda Adams from Cal/E ..."/>
    <s v="2009-09-30T20:02:03.000Z"/>
    <x v="1"/>
    <x v="76"/>
    <s v="20:02:03"/>
    <x v="0"/>
    <m/>
    <m/>
    <n v="0"/>
    <n v="0"/>
    <n v="0"/>
    <n v="0"/>
    <s v="No engagement"/>
    <x v="0"/>
    <b v="0"/>
    <b v="1"/>
    <x v="0"/>
  </r>
  <r>
    <s v="https://x.com/Toyota/status/4531132922"/>
    <s v="Toyota USA"/>
    <s v="@Toyota"/>
    <s v="Toyota reports 2009 September Sales  http://bit.ly/2wNWHu ^DM"/>
    <s v="2009-10-01T18:25:10.000Z"/>
    <x v="1"/>
    <x v="77"/>
    <s v="18:25:10"/>
    <x v="0"/>
    <m/>
    <m/>
    <n v="0"/>
    <n v="0"/>
    <n v="0"/>
    <n v="0"/>
    <s v="No engagement"/>
    <x v="0"/>
    <b v="0"/>
    <b v="1"/>
    <x v="0"/>
  </r>
  <r>
    <s v="https://x.com/Toyota/status/4556268634"/>
    <s v="Toyota USA"/>
    <s v="@Toyota"/>
    <s v="@ShredderFeeder Have you opened a case with the Toyota Customer Experience Center? http://bit.ly/4cAEA"/>
    <s v="2009-10-02T16:14:41.000Z"/>
    <x v="1"/>
    <x v="78"/>
    <s v="16:14:41"/>
    <x v="1"/>
    <m/>
    <m/>
    <n v="0"/>
    <n v="0"/>
    <n v="0"/>
    <n v="0"/>
    <s v="No engagement"/>
    <x v="0"/>
    <b v="0"/>
    <b v="1"/>
    <x v="0"/>
  </r>
  <r>
    <s v="https://x.com/Toyota/status/4557109490"/>
    <s v="Toyota USA"/>
    <s v="@Toyota"/>
    <s v="@ShredderFeeder Can you DM me any contact info./case file number you have?"/>
    <s v="2009-10-02T16:47:43.000Z"/>
    <x v="1"/>
    <x v="78"/>
    <s v="16:47:43"/>
    <x v="1"/>
    <m/>
    <m/>
    <n v="0"/>
    <n v="0"/>
    <n v="0"/>
    <n v="0"/>
    <s v="No engagement"/>
    <x v="0"/>
    <b v="0"/>
    <b v="0"/>
    <x v="1"/>
  </r>
  <r>
    <s v="https://x.com/Toyota/status/4561506056"/>
    <s v="Toyota USA"/>
    <s v="@Toyota"/>
    <s v="@ShredderFeeder In order to follow up I need the case number/contact info. to provide to Toyota Customer Experience Center. Please DM that."/>
    <s v="2009-10-02T19:48:50.000Z"/>
    <x v="1"/>
    <x v="78"/>
    <s v="19:48:50"/>
    <x v="0"/>
    <m/>
    <m/>
    <n v="0"/>
    <n v="0"/>
    <n v="0"/>
    <n v="0"/>
    <s v="No engagement"/>
    <x v="0"/>
    <b v="0"/>
    <b v="0"/>
    <x v="1"/>
  </r>
  <r>
    <s v="https://x.com/Toyota/status/4629693415"/>
    <s v="Toyota USA"/>
    <s v="@Toyota"/>
    <s v="@tim_oneil Please call the Customer Experience Center at: 800-331-4331"/>
    <s v="2009-10-05T15:04:24.000Z"/>
    <x v="1"/>
    <x v="79"/>
    <s v="15:04:24"/>
    <x v="1"/>
    <s v="@tim_oneil"/>
    <m/>
    <n v="0"/>
    <n v="0"/>
    <n v="0"/>
    <n v="0"/>
    <s v="No engagement"/>
    <x v="0"/>
    <b v="0"/>
    <b v="0"/>
    <x v="1"/>
  </r>
  <r>
    <s v="https://x.com/Toyota/status/4638754685"/>
    <s v="Toyota USA"/>
    <s v="@Toyota"/>
    <s v="Toyota Launches New Corporate Advertising Campaign, Focusing on Company’s Commitment “Beyond Cars” http://bit.ly/tyzol"/>
    <s v="2009-10-05T21:55:38.000Z"/>
    <x v="1"/>
    <x v="79"/>
    <s v="21:55:38"/>
    <x v="0"/>
    <m/>
    <m/>
    <n v="0"/>
    <n v="0"/>
    <n v="0"/>
    <n v="0"/>
    <s v="No engagement"/>
    <x v="0"/>
    <b v="0"/>
    <b v="1"/>
    <x v="0"/>
  </r>
  <r>
    <s v="https://x.com/Toyota/status/4684144338"/>
    <s v="Toyota USA"/>
    <s v="@Toyota"/>
    <s v="Five finalists announced for the 2010 Green Car of the Year  http://bit.ly/13hUXN #Toyota #Prius ^SD"/>
    <s v="2009-10-07T15:11:27.000Z"/>
    <x v="1"/>
    <x v="80"/>
    <s v="15:11:27"/>
    <x v="1"/>
    <m/>
    <m/>
    <n v="0"/>
    <n v="0"/>
    <n v="0"/>
    <n v="0"/>
    <s v="No engagement"/>
    <x v="0"/>
    <b v="0"/>
    <b v="1"/>
    <x v="0"/>
  </r>
  <r>
    <s v="https://x.com/Toyota/status/4688829628"/>
    <s v="Toyota USA"/>
    <s v="@Toyota"/>
    <s v="@highmileage I'll stay in touch as I gather info. to share. Thanks. ^SD"/>
    <s v="2009-10-07T18:39:44.000Z"/>
    <x v="1"/>
    <x v="80"/>
    <s v="18:39:44"/>
    <x v="0"/>
    <s v="@highmileage"/>
    <m/>
    <n v="0"/>
    <n v="0"/>
    <n v="0"/>
    <n v="0"/>
    <s v="No engagement"/>
    <x v="0"/>
    <b v="0"/>
    <b v="0"/>
    <x v="1"/>
  </r>
  <r>
    <s v="https://x.com/Toyota/status/4709982861"/>
    <s v="Toyota USA"/>
    <s v="@Toyota"/>
    <s v="Toyota Launches Highlander Production in Indiana http://bit.ly/pdSpb ^SD"/>
    <s v="2009-10-08T14:33:04.000Z"/>
    <x v="1"/>
    <x v="81"/>
    <s v="14:33:04"/>
    <x v="1"/>
    <m/>
    <m/>
    <n v="0"/>
    <n v="0"/>
    <n v="0"/>
    <n v="0"/>
    <s v="No engagement"/>
    <x v="0"/>
    <b v="0"/>
    <b v="1"/>
    <x v="0"/>
  </r>
  <r>
    <s v="https://x.com/Toyota/status/4711155258"/>
    <s v="Toyota USA"/>
    <s v="@Toyota"/>
    <s v="48 Innovation Grants announced for the 2nd year of TogetherGreen, a Audubon-Toyota initiative: http://tinyurl.com/y8hjthl ^DS"/>
    <s v="2009-10-08T15:43:06.000Z"/>
    <x v="1"/>
    <x v="81"/>
    <s v="15:43:06"/>
    <x v="1"/>
    <m/>
    <m/>
    <n v="0"/>
    <n v="0"/>
    <n v="0"/>
    <n v="0"/>
    <s v="No engagement"/>
    <x v="0"/>
    <b v="0"/>
    <b v="1"/>
    <x v="0"/>
  </r>
  <r>
    <s v="https://x.com/Toyota/status/4716853320"/>
    <s v="Toyota USA"/>
    <s v="@Toyota"/>
    <s v="Got trees?  College campuses across the U.S. will get more thanks to the Arbor Day Foundation: http://tinyurl.com/yzuoohu ^DS"/>
    <s v="2009-10-08T21:00:24.000Z"/>
    <x v="1"/>
    <x v="81"/>
    <s v="21:00:24"/>
    <x v="0"/>
    <m/>
    <m/>
    <n v="0"/>
    <n v="0"/>
    <n v="0"/>
    <n v="0"/>
    <s v="No engagement"/>
    <x v="0"/>
    <b v="0"/>
    <b v="1"/>
    <x v="0"/>
  </r>
  <r>
    <s v="https://x.com/Toyota/status/4818068123"/>
    <s v="Toyota USA"/>
    <s v="@Toyota"/>
    <s v="Lexus LF-A Sounds Awesome Even When Tested By Auto Journalists http://jalopnik.com/5379864 #newcars #lexuslfa via @jalopnik"/>
    <s v="2009-10-12T21:35:11.000Z"/>
    <x v="1"/>
    <x v="82"/>
    <s v="21:35:11"/>
    <x v="0"/>
    <m/>
    <m/>
    <n v="0"/>
    <n v="0"/>
    <n v="0"/>
    <n v="0"/>
    <s v="No engagement"/>
    <x v="0"/>
    <b v="0"/>
    <b v="1"/>
    <x v="0"/>
  </r>
  <r>
    <s v="https://x.com/Toyota/status/4865535849"/>
    <s v="Toyota USA"/>
    <s v="@Toyota"/>
    <s v="Lexus RX and Toyota 4Runner up for 2010 Motor Trend Sport/Utility of the Year http://bit.ly/IUHBZ"/>
    <s v="2009-10-14T16:24:07.000Z"/>
    <x v="1"/>
    <x v="83"/>
    <s v="16:24:07"/>
    <x v="1"/>
    <m/>
    <m/>
    <n v="0"/>
    <n v="0"/>
    <n v="0"/>
    <n v="0"/>
    <s v="No engagement"/>
    <x v="0"/>
    <b v="0"/>
    <b v="1"/>
    <x v="0"/>
  </r>
  <r>
    <s v="https://x.com/Toyota/status/4865776909"/>
    <s v="Toyota USA"/>
    <s v="@Toyota"/>
    <s v="RT @Jalopnik Toyota FT-86: Now With High-Res Mega-Gallery! ^SD"/>
    <s v="2009-10-14T16:34:32.000Z"/>
    <x v="1"/>
    <x v="83"/>
    <s v="16:34:32"/>
    <x v="1"/>
    <m/>
    <m/>
    <n v="0"/>
    <n v="0"/>
    <n v="0"/>
    <n v="0"/>
    <s v="No engagement"/>
    <x v="0"/>
    <b v="0"/>
    <b v="0"/>
    <x v="1"/>
  </r>
  <r>
    <s v="https://x.com/Toyota/status/4866125101"/>
    <s v="Toyota USA"/>
    <s v="@Toyota"/>
    <s v="Toyota Wants Prius Fans to Better The World, One Random Act at a Time http://bit.ly/3RqAZN @3genprius ^SD"/>
    <s v="2009-10-14T16:49:21.000Z"/>
    <x v="1"/>
    <x v="83"/>
    <s v="16:49:21"/>
    <x v="1"/>
    <m/>
    <m/>
    <n v="0"/>
    <n v="0"/>
    <n v="0"/>
    <n v="0"/>
    <s v="No engagement"/>
    <x v="0"/>
    <b v="0"/>
    <b v="1"/>
    <x v="0"/>
  </r>
  <r>
    <s v="https://x.com/Toyota/status/4871103159"/>
    <s v="Toyota USA"/>
    <s v="@Toyota"/>
    <s v="Great idea from Toyota partner Audubon and TogetherGreen in Baltimore : &quot;Cash for Lawn Guzzlers&quot; http://tinyurl.com/yf8orhk ^DS"/>
    <s v="2009-10-14T20:38:22.000Z"/>
    <x v="1"/>
    <x v="83"/>
    <s v="20:38:22"/>
    <x v="0"/>
    <m/>
    <m/>
    <n v="0"/>
    <n v="0"/>
    <n v="0"/>
    <n v="0"/>
    <s v="No engagement"/>
    <x v="0"/>
    <b v="0"/>
    <b v="1"/>
    <x v="0"/>
  </r>
  <r>
    <s v="https://x.com/Toyota/status/4874297894"/>
    <s v="Toyota USA"/>
    <s v="@Toyota"/>
    <s v="VID: Meet Dan, Dave, @hollybeck27 and Nathan: real 4Runner owners who took the 2010 4Runner on a 48hr adventure http://bit.ly/4ypPEX ^SD"/>
    <s v="2009-10-14T23:05:03.000Z"/>
    <x v="1"/>
    <x v="83"/>
    <s v="23:05:03"/>
    <x v="0"/>
    <m/>
    <m/>
    <n v="0"/>
    <n v="0"/>
    <n v="0"/>
    <n v="0"/>
    <s v="No engagement"/>
    <x v="0"/>
    <b v="0"/>
    <b v="1"/>
    <x v="0"/>
  </r>
  <r>
    <s v="https://x.com/Toyota/status/4897241411"/>
    <s v="Toyota USA"/>
    <s v="@Toyota"/>
    <s v="Have you experienced Pecha Kucha yet?  Lexus designers (from Calty) will be among the presenters in OC on 10/20. http://bit.ly/v8KDp ^SD"/>
    <s v="2009-10-15T20:02:14.000Z"/>
    <x v="1"/>
    <x v="84"/>
    <s v="20:02:14"/>
    <x v="0"/>
    <m/>
    <m/>
    <n v="0"/>
    <n v="0"/>
    <n v="0"/>
    <n v="0"/>
    <s v="No engagement"/>
    <x v="0"/>
    <b v="0"/>
    <b v="1"/>
    <x v="0"/>
  </r>
  <r>
    <s v="https://x.com/Toyota/status/4898981255"/>
    <s v="Toyota USA"/>
    <s v="@Toyota"/>
    <s v="@gopacificmobile Thanks.  Will do. ^SD"/>
    <s v="2009-10-15T21:25:22.000Z"/>
    <x v="1"/>
    <x v="84"/>
    <s v="21:25:22"/>
    <x v="0"/>
    <s v="@juicegivesback"/>
    <m/>
    <n v="0"/>
    <n v="0"/>
    <n v="0"/>
    <n v="0"/>
    <s v="No engagement"/>
    <x v="0"/>
    <b v="0"/>
    <b v="0"/>
    <x v="1"/>
  </r>
  <r>
    <s v="https://x.com/Toyota/status/4921518389"/>
    <s v="Toyota USA"/>
    <s v="@Toyota"/>
    <s v="Feds release 2010 Fuel Economy Guide, Prius still most miserly http://bit.ly/3ROlnR (via @therealautoblog) #Toyota ^SD"/>
    <s v="2009-10-16T17:48:00.000Z"/>
    <x v="1"/>
    <x v="85"/>
    <s v="17:48:00"/>
    <x v="1"/>
    <m/>
    <m/>
    <n v="0"/>
    <n v="0"/>
    <n v="0"/>
    <n v="0"/>
    <s v="No engagement"/>
    <x v="0"/>
    <b v="0"/>
    <b v="1"/>
    <x v="0"/>
  </r>
  <r>
    <s v="https://x.com/Toyota/status/4926056437"/>
    <s v="Toyota USA"/>
    <s v="@Toyota"/>
    <s v="Photos: Images of the Prius Harmony Solar Flowers in Los Angeles - http://bit.ly/3lyJZW #toyota #prius @3genprius ^SD"/>
    <s v="2009-10-16T21:04:52.000Z"/>
    <x v="1"/>
    <x v="85"/>
    <s v="21:04:52"/>
    <x v="0"/>
    <m/>
    <m/>
    <n v="0"/>
    <n v="0"/>
    <n v="0"/>
    <n v="0"/>
    <s v="No engagement"/>
    <x v="0"/>
    <b v="0"/>
    <b v="1"/>
    <x v="0"/>
  </r>
  <r>
    <s v="https://x.com/Toyota/status/4995464775"/>
    <s v="Toyota USA"/>
    <s v="@Toyota"/>
    <s v="@JenBoynton Hi Jen.  Please start by contacting our Customer Experience Center at 800-331-4331.  Thanks. ^SD"/>
    <s v="2009-10-19T17:07:48.000Z"/>
    <x v="1"/>
    <x v="86"/>
    <s v="17:07:48"/>
    <x v="1"/>
    <s v="@JenBoynton"/>
    <m/>
    <n v="0"/>
    <n v="0"/>
    <n v="0"/>
    <n v="0"/>
    <s v="No engagement"/>
    <x v="0"/>
    <b v="0"/>
    <b v="0"/>
    <x v="1"/>
  </r>
  <r>
    <s v="https://x.com/Toyota/status/4995798184"/>
    <s v="Toyota USA"/>
    <s v="@Toyota"/>
    <s v="@JenBoynton Please start here: http://bit.ly/100nm1 You can drop the text from your letter into this form.  Thanks."/>
    <s v="2009-10-19T17:23:18.000Z"/>
    <x v="1"/>
    <x v="86"/>
    <s v="17:23:18"/>
    <x v="1"/>
    <s v="@JenBoynton"/>
    <m/>
    <n v="0"/>
    <n v="0"/>
    <n v="0"/>
    <n v="0"/>
    <s v="No engagement"/>
    <x v="0"/>
    <b v="0"/>
    <b v="1"/>
    <x v="0"/>
  </r>
  <r>
    <s v="https://x.com/Toyota/status/4999401836"/>
    <s v="Toyota USA"/>
    <s v="@Toyota"/>
    <s v="Experienced Pecha Kucha yet? Lexus designers (from Calty) will be among the presenters in OC tomorrow evening. http://bit.ly/v8KDp ^SD"/>
    <s v="2009-10-19T20:14:46.000Z"/>
    <x v="1"/>
    <x v="86"/>
    <s v="20:14:46"/>
    <x v="0"/>
    <m/>
    <m/>
    <n v="0"/>
    <n v="0"/>
    <n v="0"/>
    <n v="0"/>
    <s v="No engagement"/>
    <x v="0"/>
    <b v="0"/>
    <b v="1"/>
    <x v="0"/>
  </r>
  <r>
    <s v="https://x.com/Toyota/status/5022366947"/>
    <s v="Toyota USA"/>
    <s v="@Toyota"/>
    <s v="Scion Night at Knott’s ‘Scary’ Farm: check it out at http://bit.ly/2hbfOS ^DM"/>
    <s v="2009-10-20T16:44:42.000Z"/>
    <x v="1"/>
    <x v="87"/>
    <s v="16:44:42"/>
    <x v="1"/>
    <m/>
    <m/>
    <n v="1"/>
    <n v="0"/>
    <n v="0"/>
    <n v="1"/>
    <s v="Low engagement"/>
    <x v="0"/>
    <b v="0"/>
    <b v="1"/>
    <x v="0"/>
  </r>
  <r>
    <s v="https://x.com/Toyota/status/5022401684"/>
    <s v="Toyota USA"/>
    <s v="@Toyota"/>
    <s v="Scion Night at Knott's Halloween Haunt: details available here http://bit.ly/1xX3HV Learn more about the Caravan, RSVP &amp; invite friends. ^DM"/>
    <s v="2009-10-20T16:46:23.000Z"/>
    <x v="1"/>
    <x v="87"/>
    <s v="16:46:23"/>
    <x v="1"/>
    <m/>
    <m/>
    <n v="0"/>
    <n v="0"/>
    <n v="0"/>
    <n v="0"/>
    <s v="No engagement"/>
    <x v="0"/>
    <b v="0"/>
    <b v="1"/>
    <x v="0"/>
  </r>
  <r>
    <s v="https://x.com/Toyota/status/5026320838"/>
    <s v="Toyota USA"/>
    <s v="@Toyota"/>
    <s v="Lexus of Las Vegas Becomes First LEED EB Gold Certified Dealership for Lexus and Nevada http://bit.ly/1JLm0A ^SD"/>
    <s v="2009-10-20T20:11:29.000Z"/>
    <x v="1"/>
    <x v="87"/>
    <s v="20:11:29"/>
    <x v="0"/>
    <m/>
    <m/>
    <n v="0"/>
    <n v="0"/>
    <n v="0"/>
    <n v="0"/>
    <s v="No engagement"/>
    <x v="0"/>
    <b v="0"/>
    <b v="1"/>
    <x v="0"/>
  </r>
  <r>
    <s v="https://x.com/Toyota/status/5032466377"/>
    <s v="Toyota USA"/>
    <s v="@Toyota"/>
    <s v="Toyota First Automotive Manufacturer to Participate in SmartGridCity Project http://bit.ly/4Ex2CQ ^AT"/>
    <s v="2009-10-21T01:02:39.000Z"/>
    <x v="1"/>
    <x v="88"/>
    <s v="01:02:39"/>
    <x v="2"/>
    <m/>
    <m/>
    <n v="0"/>
    <n v="0"/>
    <n v="0"/>
    <n v="0"/>
    <s v="No engagement"/>
    <x v="0"/>
    <b v="0"/>
    <b v="1"/>
    <x v="0"/>
  </r>
  <r>
    <s v="https://x.com/Toyota/status/5034491866"/>
    <s v="Toyota USA"/>
    <s v="@Toyota"/>
    <s v="Here @Code for #PechaKucha_OC with Tom &amp; Edward—Calty designers of the #Lexus #LF-Ch. Excited to see their presentation. ^DM"/>
    <s v="2009-10-21T02:33:33.000Z"/>
    <x v="1"/>
    <x v="88"/>
    <s v="02:33:33"/>
    <x v="2"/>
    <m/>
    <m/>
    <n v="0"/>
    <n v="0"/>
    <n v="0"/>
    <n v="0"/>
    <s v="No engagement"/>
    <x v="0"/>
    <b v="0"/>
    <b v="0"/>
    <x v="1"/>
  </r>
  <r>
    <s v="https://x.com/Toyota/status/5035233400"/>
    <s v="Toyota USA"/>
    <s v="@Toyota"/>
    <s v="Matsumoto+ Lee will soon take the stage, ready to present their inspiration for design work of #Lexus #concept car, the #LF-Ch ^DM"/>
    <s v="2009-10-21T03:08:05.000Z"/>
    <x v="1"/>
    <x v="88"/>
    <s v="03:08:05"/>
    <x v="2"/>
    <m/>
    <m/>
    <n v="0"/>
    <n v="0"/>
    <n v="0"/>
    <n v="0"/>
    <s v="No engagement"/>
    <x v="0"/>
    <b v="0"/>
    <b v="0"/>
    <x v="1"/>
  </r>
  <r>
    <s v="https://x.com/Toyota/status/5035762594"/>
    <s v="Toyota USA"/>
    <s v="@Toyota"/>
    <s v="Tonight’s the night—#PKNOC w Tom Matsumoto + Edward Lee. http://bit.ly/mSTjT"/>
    <s v="2009-10-21T03:33:17.000Z"/>
    <x v="1"/>
    <x v="88"/>
    <s v="03:33:17"/>
    <x v="2"/>
    <m/>
    <m/>
    <n v="0"/>
    <n v="0"/>
    <n v="0"/>
    <n v="0"/>
    <s v="No engagement"/>
    <x v="0"/>
    <b v="0"/>
    <b v="1"/>
    <x v="0"/>
  </r>
  <r>
    <s v="https://x.com/Toyota/status/5036064749"/>
    <s v="Toyota USA"/>
    <s v="@Toyota"/>
    <s v="Calty presentation of the #Lexus #LF-Ch was amazing. Videos coming soon! ^DM"/>
    <s v="2009-10-21T03:48:15.000Z"/>
    <x v="1"/>
    <x v="88"/>
    <s v="03:48:15"/>
    <x v="2"/>
    <m/>
    <m/>
    <n v="0"/>
    <n v="0"/>
    <n v="0"/>
    <n v="0"/>
    <s v="No engagement"/>
    <x v="0"/>
    <b v="0"/>
    <b v="0"/>
    <x v="1"/>
  </r>
  <r>
    <s v="https://x.com/Toyota/status/5045721496"/>
    <s v="Toyota USA"/>
    <s v="@Toyota"/>
    <s v="Lexus LFA Supercar to Make N. American Debut at 2009 SEMA and L.A. Auto Shows http://bit.ly/3KfShM #LFA #Lexus ^SD"/>
    <s v="2009-10-21T15:08:28.000Z"/>
    <x v="1"/>
    <x v="88"/>
    <s v="15:08:28"/>
    <x v="1"/>
    <m/>
    <m/>
    <n v="0"/>
    <n v="0"/>
    <n v="0"/>
    <n v="0"/>
    <s v="No engagement"/>
    <x v="0"/>
    <b v="0"/>
    <b v="1"/>
    <x v="0"/>
  </r>
  <r>
    <s v="https://x.com/Toyota/status/5045943692"/>
    <s v="Toyota USA"/>
    <s v="@Toyota"/>
    <s v="@GeorgeAtha Just the LFA news today. Nothing else to report at this time. ^SD"/>
    <s v="2009-10-21T15:20:39.000Z"/>
    <x v="1"/>
    <x v="88"/>
    <s v="15:20:39"/>
    <x v="1"/>
    <s v="@GeorgeAtha"/>
    <m/>
    <n v="0"/>
    <n v="0"/>
    <n v="0"/>
    <n v="0"/>
    <s v="No engagement"/>
    <x v="0"/>
    <b v="0"/>
    <b v="0"/>
    <x v="1"/>
  </r>
  <r>
    <s v="https://x.com/Toyota/status/5048250328"/>
    <s v="Toyota USA"/>
    <s v="@Toyota"/>
    <s v="Tickled pink over the Lexus LFA configurator http://bit.ly/1PRsoF (via @therealautoblog ) ^SD"/>
    <s v="2009-10-21T17:30:48.000Z"/>
    <x v="1"/>
    <x v="88"/>
    <s v="17:30:48"/>
    <x v="1"/>
    <m/>
    <m/>
    <n v="1"/>
    <n v="0"/>
    <n v="0"/>
    <n v="1"/>
    <s v="Low engagement"/>
    <x v="0"/>
    <b v="0"/>
    <b v="1"/>
    <x v="0"/>
  </r>
  <r>
    <s v="https://x.com/Toyota/status/5049480060"/>
    <s v="Toyota USA"/>
    <s v="@Toyota"/>
    <s v="We're proud to support! RT @arborday: Tree planting event tom'w. Cornell, a new Tree Campus University, gets 50 trees. http://su.pr/2RCivo"/>
    <s v="2009-10-21T18:42:20.000Z"/>
    <x v="1"/>
    <x v="88"/>
    <s v="18:42:20"/>
    <x v="0"/>
    <m/>
    <s v="@arborday"/>
    <n v="0"/>
    <n v="0"/>
    <n v="0"/>
    <n v="0"/>
    <s v="No engagement"/>
    <x v="0"/>
    <b v="0"/>
    <b v="1"/>
    <x v="0"/>
  </r>
  <r>
    <s v="https://x.com/Toyota/status/5054482095"/>
    <s v="Toyota USA"/>
    <s v="@Toyota"/>
    <s v="RT @arborday Thanks to @toyota and the volunteers that make Tree Campus USA, and our tree planting events possible: http://su.pr/AqciN5"/>
    <s v="2009-10-21T22:46:16.000Z"/>
    <x v="1"/>
    <x v="88"/>
    <s v="22:46:16"/>
    <x v="0"/>
    <m/>
    <m/>
    <n v="0"/>
    <n v="0"/>
    <n v="0"/>
    <n v="0"/>
    <s v="No engagement"/>
    <x v="0"/>
    <b v="0"/>
    <b v="1"/>
    <x v="0"/>
  </r>
  <r>
    <s v="https://x.com/Toyota/status/5071665887"/>
    <s v="Toyota USA"/>
    <s v="@Toyota"/>
    <s v="Tokyo 2009: Cool As Ice: Japanese architect builds full-size transparent Lexus LFA http://bit.ly/49IZnn (via @therealautoblog) #LFA"/>
    <s v="2009-10-22T15:27:58.000Z"/>
    <x v="1"/>
    <x v="89"/>
    <s v="15:27:58"/>
    <x v="1"/>
    <m/>
    <m/>
    <n v="0"/>
    <n v="0"/>
    <n v="0"/>
    <n v="0"/>
    <s v="No engagement"/>
    <x v="0"/>
    <b v="0"/>
    <b v="1"/>
    <x v="0"/>
  </r>
  <r>
    <s v="https://x.com/Toyota/status/5082987160"/>
    <s v="Toyota USA"/>
    <s v="@Toyota"/>
    <s v="Kevin Sintumuang post on GQ blog #Lexus #LFA from the Miami press event http://bit.ly/2fsieB ^DM"/>
    <s v="2009-10-22T23:44:16.000Z"/>
    <x v="1"/>
    <x v="89"/>
    <s v="23:44:16"/>
    <x v="0"/>
    <m/>
    <m/>
    <n v="0"/>
    <n v="0"/>
    <n v="0"/>
    <n v="0"/>
    <s v="No engagement"/>
    <x v="0"/>
    <b v="0"/>
    <b v="1"/>
    <x v="0"/>
  </r>
  <r>
    <s v="https://x.com/Toyota/status/5100696369"/>
    <s v="Toyota USA"/>
    <s v="@Toyota"/>
    <s v="Great story about @arborday and the Tree Campus USA program! http://tinyurl.com/ygg6nbf"/>
    <s v="2009-10-23T16:30:49.000Z"/>
    <x v="1"/>
    <x v="90"/>
    <s v="16:30:49"/>
    <x v="1"/>
    <m/>
    <m/>
    <n v="0"/>
    <n v="0"/>
    <n v="0"/>
    <n v="0"/>
    <s v="No engagement"/>
    <x v="0"/>
    <b v="0"/>
    <b v="1"/>
    <x v="0"/>
  </r>
  <r>
    <s v="https://x.com/Toyota/status/5101869619"/>
    <s v="Toyota USA"/>
    <s v="@Toyota"/>
    <s v="@Jalopnik takes a first drive in the Lexus LFA http://bit.ly/1L5Q1 #lexuslfa #jalopnikreviews ^SD"/>
    <s v="2009-10-23T17:20:43.000Z"/>
    <x v="1"/>
    <x v="90"/>
    <s v="17:20:43"/>
    <x v="1"/>
    <m/>
    <m/>
    <n v="0"/>
    <n v="0"/>
    <n v="0"/>
    <n v="0"/>
    <s v="No engagement"/>
    <x v="0"/>
    <b v="0"/>
    <b v="1"/>
    <x v="0"/>
  </r>
  <r>
    <s v="https://x.com/Toyota/status/5106715490"/>
    <s v="Toyota USA"/>
    <s v="@Toyota"/>
    <s v="Just loaded the new #Lexus #LFA spot on the youtube channel http://bit.ly/21qm6B ^DM"/>
    <s v="2009-10-23T20:59:23.000Z"/>
    <x v="1"/>
    <x v="90"/>
    <s v="20:59:23"/>
    <x v="0"/>
    <m/>
    <m/>
    <n v="1"/>
    <n v="0"/>
    <n v="0"/>
    <n v="1"/>
    <s v="Low engagement"/>
    <x v="0"/>
    <b v="0"/>
    <b v="1"/>
    <x v="0"/>
  </r>
  <r>
    <s v="https://x.com/Toyota/status/5175694526"/>
    <s v="Toyota USA"/>
    <s v="@Toyota"/>
    <s v="@forrestgrant Hi Forrest. Please contact Toyota's Customer Experience Center for any questions you have regarding the advisory 800-331-4331"/>
    <s v="2009-10-26T15:46:05.000Z"/>
    <x v="1"/>
    <x v="91"/>
    <s v="15:46:05"/>
    <x v="1"/>
    <s v="@forrestgrant"/>
    <m/>
    <n v="0"/>
    <n v="0"/>
    <n v="0"/>
    <n v="0"/>
    <s v="No engagement"/>
    <x v="0"/>
    <b v="0"/>
    <b v="0"/>
    <x v="1"/>
  </r>
  <r>
    <s v="https://x.com/Toyota/status/5182867670"/>
    <s v="Toyota USA"/>
    <s v="@Toyota"/>
    <s v="New Prius Experience App Now Available From App Store http://bit.ly/1oEP5z Get your drawing shown in Times Square. ^SD"/>
    <s v="2009-10-26T21:07:56.000Z"/>
    <x v="1"/>
    <x v="91"/>
    <s v="21:07:56"/>
    <x v="0"/>
    <m/>
    <m/>
    <n v="0"/>
    <n v="0"/>
    <n v="0"/>
    <n v="0"/>
    <s v="No engagement"/>
    <x v="0"/>
    <b v="0"/>
    <b v="1"/>
    <x v="0"/>
  </r>
  <r>
    <s v="https://x.com/Toyota/status/5203079202"/>
    <s v="Toyota USA"/>
    <s v="@Toyota"/>
    <s v="@PatrickWorkman Thanks Patrick.  We think it's pretty fun. ^SD"/>
    <s v="2009-10-27T15:30:11.000Z"/>
    <x v="1"/>
    <x v="92"/>
    <s v="15:30:11"/>
    <x v="1"/>
    <s v="@PatrickWorkman"/>
    <m/>
    <n v="0"/>
    <n v="0"/>
    <n v="0"/>
    <n v="0"/>
    <s v="No engagement"/>
    <x v="0"/>
    <b v="0"/>
    <b v="0"/>
    <x v="1"/>
  </r>
  <r>
    <s v="https://x.com/Toyota/status/5233775471"/>
    <s v="Toyota USA"/>
    <s v="@Toyota"/>
    <s v="RT @ConsumerReports 2009 Annual Car Reliability Survey – Who’s up and who’s down http://bit.ly/1wwHZe #toyota #scion #lexus ^SD"/>
    <s v="2009-10-28T16:10:18.000Z"/>
    <x v="1"/>
    <x v="93"/>
    <s v="16:10:18"/>
    <x v="1"/>
    <m/>
    <m/>
    <n v="0"/>
    <n v="0"/>
    <n v="0"/>
    <n v="0"/>
    <s v="No engagement"/>
    <x v="0"/>
    <b v="0"/>
    <b v="1"/>
    <x v="0"/>
  </r>
  <r>
    <s v="https://x.com/Toyota/status/5233827841"/>
    <s v="Toyota USA"/>
    <s v="@Toyota"/>
    <s v="Consumer Reports' reliability rankings by brand http://bit.ly/DTxrw #toyota #scion #lexus ^SD"/>
    <s v="2009-10-28T16:12:29.000Z"/>
    <x v="1"/>
    <x v="93"/>
    <s v="16:12:29"/>
    <x v="1"/>
    <m/>
    <m/>
    <n v="0"/>
    <n v="0"/>
    <n v="0"/>
    <n v="0"/>
    <s v="No engagement"/>
    <x v="0"/>
    <b v="0"/>
    <b v="1"/>
    <x v="0"/>
  </r>
  <r>
    <s v="https://x.com/Toyota/status/5234207275"/>
    <s v="Toyota USA"/>
    <s v="@Toyota"/>
    <s v="RT @mashable See Your iPhone Drawings on a Times Square Billboard http://bit.ly/16l9TB #Prius #Toyota ^SD"/>
    <s v="2009-10-28T16:28:23.000Z"/>
    <x v="1"/>
    <x v="93"/>
    <s v="16:28:23"/>
    <x v="1"/>
    <m/>
    <m/>
    <n v="0"/>
    <n v="0"/>
    <n v="0"/>
    <n v="0"/>
    <s v="No engagement"/>
    <x v="0"/>
    <b v="0"/>
    <b v="1"/>
    <x v="0"/>
  </r>
  <r>
    <s v="https://x.com/Toyota/status/5234414753"/>
    <s v="Toyota USA"/>
    <s v="@Toyota"/>
    <s v="RT @PaughGinney @toyota I love this ad campaign - http://bit.ly/2pfgCg - You're thinking outside the box and I like that. (Thanks Ryan! ^SD)"/>
    <s v="2009-10-28T16:37:05.000Z"/>
    <x v="1"/>
    <x v="93"/>
    <s v="16:37:05"/>
    <x v="1"/>
    <m/>
    <m/>
    <n v="0"/>
    <n v="0"/>
    <n v="0"/>
    <n v="0"/>
    <s v="No engagement"/>
    <x v="0"/>
    <b v="0"/>
    <b v="1"/>
    <x v="0"/>
  </r>
  <r>
    <s v="https://x.com/Toyota/status/5241676679"/>
    <s v="Toyota USA"/>
    <s v="@Toyota"/>
    <s v="VIDEO:  New Prius iPhone App Unleashes Creativity in Times Square http://bit.ly/44O3x2 #Toyota #Prius ^SD"/>
    <s v="2009-10-28T21:56:34.000Z"/>
    <x v="1"/>
    <x v="93"/>
    <s v="21:56:34"/>
    <x v="0"/>
    <m/>
    <m/>
    <n v="0"/>
    <n v="0"/>
    <n v="0"/>
    <n v="0"/>
    <s v="No engagement"/>
    <x v="0"/>
    <b v="0"/>
    <b v="1"/>
    <x v="0"/>
  </r>
  <r>
    <s v="https://x.com/Toyota/status/5242563346"/>
    <s v="Toyota USA"/>
    <s v="@Toyota"/>
    <s v="RT @raywert Oh, @Toyota, I LOVE what you do for us. Now you better watch out! http://bit.ly/3dUZ2J ;-) (We're watchin ya ^SD)"/>
    <s v="2009-10-28T22:33:02.000Z"/>
    <x v="1"/>
    <x v="93"/>
    <s v="22:33:02"/>
    <x v="0"/>
    <m/>
    <m/>
    <n v="0"/>
    <n v="0"/>
    <n v="0"/>
    <n v="0"/>
    <s v="No engagement"/>
    <x v="0"/>
    <b v="0"/>
    <b v="1"/>
    <x v="0"/>
  </r>
  <r>
    <s v="https://x.com/Toyota/status/5243118829"/>
    <s v="Toyota USA"/>
    <s v="@Toyota"/>
    <s v="Start w/ Confidence:Toyota Financial adds more tools to help better understand car buying in tough times. http://bit.ly/3k5L71 ^DM"/>
    <s v="2009-10-28T22:55:49.000Z"/>
    <x v="1"/>
    <x v="93"/>
    <s v="22:55:49"/>
    <x v="0"/>
    <m/>
    <m/>
    <n v="2"/>
    <n v="0"/>
    <n v="0"/>
    <n v="2"/>
    <s v="Low engagement"/>
    <x v="0"/>
    <b v="0"/>
    <b v="1"/>
    <x v="0"/>
  </r>
  <r>
    <s v="https://x.com/Toyota/status/5268599281"/>
    <s v="Toyota USA"/>
    <s v="@Toyota"/>
    <s v="RT @ConsumerReports 2009 Annual Auto Reliability Survey: Where Ford really stands http://bit.ly/4ttJlD ( #toyota #lexus #scion )"/>
    <s v="2009-10-29T20:40:45.000Z"/>
    <x v="1"/>
    <x v="94"/>
    <s v="20:40:45"/>
    <x v="0"/>
    <m/>
    <m/>
    <n v="0"/>
    <n v="0"/>
    <n v="0"/>
    <n v="0"/>
    <s v="No engagement"/>
    <x v="0"/>
    <b v="0"/>
    <b v="1"/>
    <x v="0"/>
  </r>
  <r>
    <s v="https://x.com/Toyota/status/5272012155"/>
    <s v="Toyota USA"/>
    <s v="@Toyota"/>
    <s v="@FootballVegas Yep...we'll be there. ^SD"/>
    <s v="2009-10-29T23:05:42.000Z"/>
    <x v="1"/>
    <x v="94"/>
    <s v="23:05:42"/>
    <x v="0"/>
    <m/>
    <m/>
    <n v="0"/>
    <n v="0"/>
    <n v="0"/>
    <n v="0"/>
    <s v="No engagement"/>
    <x v="0"/>
    <b v="0"/>
    <b v="0"/>
    <x v="1"/>
  </r>
  <r>
    <s v="https://x.com/Toyota/status/5300763556"/>
    <s v="Toyota USA"/>
    <s v="@Toyota"/>
    <s v="10/29 #Scion #SEMA car preview party video featuring the Kogi xD mobile kitchen  http://bit.ly/4vkM55 ^DM"/>
    <s v="2009-10-30T23:22:17.000Z"/>
    <x v="1"/>
    <x v="95"/>
    <s v="23:22:17"/>
    <x v="0"/>
    <m/>
    <m/>
    <n v="0"/>
    <n v="0"/>
    <n v="0"/>
    <n v="0"/>
    <s v="No engagement"/>
    <x v="0"/>
    <b v="0"/>
    <b v="1"/>
    <x v="0"/>
  </r>
  <r>
    <s v="https://x.com/Toyota/status/5300796596"/>
    <s v="Toyota USA"/>
    <s v="@Toyota"/>
    <s v="RT @Toyota: 10/29 #Scion #SEMA car preview party video featuring the Kogi xD mobile kitchen  http://bit.ly/4vkM55 ^DM"/>
    <s v="2009-10-30T23:23:49.000Z"/>
    <x v="1"/>
    <x v="95"/>
    <s v="23:23:49"/>
    <x v="0"/>
    <m/>
    <s v="@Toyota"/>
    <n v="0"/>
    <n v="0"/>
    <n v="0"/>
    <n v="0"/>
    <s v="No engagement"/>
    <x v="0"/>
    <b v="0"/>
    <b v="1"/>
    <x v="0"/>
  </r>
  <r>
    <s v="https://x.com/Toyota/status/5325443184"/>
    <s v="Toyota USA"/>
    <s v="@Toyota"/>
    <s v="Have a safe and happy Halloween! Drive safe...lots of little ones out tonight."/>
    <s v="2009-10-31T23:35:27.000Z"/>
    <x v="1"/>
    <x v="96"/>
    <s v="23:35:27"/>
    <x v="0"/>
    <m/>
    <m/>
    <n v="0"/>
    <n v="0"/>
    <n v="0"/>
    <n v="0"/>
    <s v="No engagement"/>
    <x v="0"/>
    <b v="0"/>
    <b v="0"/>
    <x v="1"/>
  </r>
  <r>
    <s v="https://x.com/Toyota/status/5371268361"/>
    <s v="Toyota USA"/>
    <s v="@Toyota"/>
    <s v="Toyota Begins Interim Notification to Owners Regarding Future Voluntary Safety Recall Related to Floor Mats http://bit.ly/PYAwH ^AT"/>
    <s v="2009-11-02T19:54:19.000Z"/>
    <x v="1"/>
    <x v="97"/>
    <s v="19:54:19"/>
    <x v="0"/>
    <m/>
    <m/>
    <n v="0"/>
    <n v="0"/>
    <n v="0"/>
    <n v="0"/>
    <s v="No engagement"/>
    <x v="0"/>
    <b v="0"/>
    <b v="1"/>
    <x v="0"/>
  </r>
  <r>
    <s v="https://x.com/Toyota/status/5394862851"/>
    <s v="Toyota USA"/>
    <s v="@Toyota"/>
    <s v="@DearRobot What images are you referring to?"/>
    <s v="2009-11-03T16:15:05.000Z"/>
    <x v="1"/>
    <x v="98"/>
    <s v="16:15:05"/>
    <x v="1"/>
    <s v="@DearRobot"/>
    <m/>
    <n v="0"/>
    <n v="0"/>
    <n v="0"/>
    <n v="0"/>
    <s v="No engagement"/>
    <x v="0"/>
    <b v="0"/>
    <b v="0"/>
    <x v="1"/>
  </r>
  <r>
    <s v="https://x.com/Toyota/status/5394900024"/>
    <s v="Toyota USA"/>
    <s v="@Toyota"/>
    <s v="RT @JoeGibbsRacing Picture of the new @Toyota Camry to be used in #NASCAR Nationwide Series next year: http://twitpic.com/o4iuw"/>
    <s v="2009-11-03T16:16:36.000Z"/>
    <x v="1"/>
    <x v="98"/>
    <s v="16:16:36"/>
    <x v="1"/>
    <m/>
    <m/>
    <n v="1"/>
    <n v="1"/>
    <n v="1"/>
    <n v="3"/>
    <s v="Low engagement"/>
    <x v="0"/>
    <b v="0"/>
    <b v="1"/>
    <x v="0"/>
  </r>
  <r>
    <s v="https://x.com/Toyota/status/5398909319"/>
    <s v="Toyota USA"/>
    <s v="@Toyota"/>
    <s v="Just added the SEMA 2009 Toyota project vehicle set to our Flickr account: http://bit.ly/1qsvct ^SD #SEMA #toyota"/>
    <s v="2009-11-03T19:07:04.000Z"/>
    <x v="1"/>
    <x v="98"/>
    <s v="19:07:04"/>
    <x v="0"/>
    <m/>
    <m/>
    <n v="1"/>
    <n v="0"/>
    <n v="0"/>
    <n v="1"/>
    <s v="Low engagement"/>
    <x v="0"/>
    <b v="0"/>
    <b v="1"/>
    <x v="0"/>
  </r>
  <r>
    <s v="https://x.com/Toyota/status/5399075834"/>
    <s v="Toyota USA"/>
    <s v="@Toyota"/>
    <s v="Lexus like you've never seen it before. The LFA and five project cars heating it up at SEMA http://bit.ly/1u51IZ #SEMA ^SD"/>
    <s v="2009-11-03T19:14:16.000Z"/>
    <x v="1"/>
    <x v="98"/>
    <s v="19:14:16"/>
    <x v="0"/>
    <m/>
    <m/>
    <n v="0"/>
    <n v="0"/>
    <n v="0"/>
    <n v="0"/>
    <s v="No engagement"/>
    <x v="0"/>
    <b v="0"/>
    <b v="1"/>
    <x v="0"/>
  </r>
  <r>
    <s v="https://x.com/Toyota/status/5399128111"/>
    <s v="Toyota USA"/>
    <s v="@Toyota"/>
    <s v="Toyota USA posts October sales http://bit.ly/3hh4wh ^DM"/>
    <s v="2009-11-03T19:16:30.000Z"/>
    <x v="1"/>
    <x v="98"/>
    <s v="19:16:30"/>
    <x v="0"/>
    <m/>
    <m/>
    <n v="0"/>
    <n v="0"/>
    <n v="0"/>
    <n v="0"/>
    <s v="No engagement"/>
    <x v="0"/>
    <b v="0"/>
    <b v="1"/>
    <x v="0"/>
  </r>
  <r>
    <s v="https://x.com/Toyota/status/5399403845"/>
    <s v="Toyota USA"/>
    <s v="@Toyota"/>
    <s v="Just uploaded 2009 Lexus SEMA showcase video to YouTube channel http://bit.ly/2Do34C ^DM #SEMA"/>
    <s v="2009-11-03T19:28:41.000Z"/>
    <x v="1"/>
    <x v="98"/>
    <s v="19:28:41"/>
    <x v="0"/>
    <m/>
    <m/>
    <n v="0"/>
    <n v="0"/>
    <n v="0"/>
    <n v="0"/>
    <s v="No engagement"/>
    <x v="0"/>
    <b v="0"/>
    <b v="1"/>
    <x v="0"/>
  </r>
  <r>
    <s v="https://x.com/Toyota/status/5405188685"/>
    <s v="Toyota USA"/>
    <s v="@Toyota"/>
    <s v="VIDEO: Update to voluntary safety recall related to floormats in Toyota &amp; Lexus vehicles http://bit.ly/NrZVg #toyota #lexus"/>
    <s v="2009-11-03T23:33:01.000Z"/>
    <x v="1"/>
    <x v="98"/>
    <s v="23:33:01"/>
    <x v="0"/>
    <m/>
    <m/>
    <n v="2"/>
    <n v="0"/>
    <n v="0"/>
    <n v="2"/>
    <s v="Low engagement"/>
    <x v="0"/>
    <b v="0"/>
    <b v="1"/>
    <x v="0"/>
  </r>
  <r>
    <s v="https://x.com/Toyota/status/5424392180"/>
    <s v="Toyota USA"/>
    <s v="@Toyota"/>
    <s v="@calanan @Photo_John @stuartzero We're currently pulling the photos and will be in contact with each photography who was represented."/>
    <s v="2009-11-04T16:46:37.000Z"/>
    <x v="1"/>
    <x v="99"/>
    <s v="16:46:37"/>
    <x v="1"/>
    <m/>
    <m/>
    <n v="1"/>
    <n v="0"/>
    <n v="0"/>
    <n v="1"/>
    <s v="Low engagement"/>
    <x v="0"/>
    <b v="0"/>
    <b v="0"/>
    <x v="1"/>
  </r>
  <r>
    <s v="https://x.com/Toyota/status/5480480546"/>
    <s v="Toyota USA"/>
    <s v="@Toyota"/>
    <s v="Have you read our NA Enviro Report?  We'd love feedback: http://tinyurl.com/lluc6f  Haven't read it?  It's at: http://tinyurl.com/md4su8 ^DS"/>
    <s v="2009-11-06T15:10:33.000Z"/>
    <x v="1"/>
    <x v="100"/>
    <s v="15:10:33"/>
    <x v="1"/>
    <m/>
    <m/>
    <n v="0"/>
    <n v="0"/>
    <n v="2"/>
    <n v="2"/>
    <s v="Low engagement"/>
    <x v="0"/>
    <b v="0"/>
    <b v="1"/>
    <x v="0"/>
  </r>
  <r>
    <s v="https://x.com/Toyota/status/5485582595"/>
    <s v="Toyota USA"/>
    <s v="@Toyota"/>
    <s v="VIDEO: Toyota NHRA Teams in the Countdown to One http://bit.ly/398X1V #toyotaracing #NHRA"/>
    <s v="2009-11-06T18:38:50.000Z"/>
    <x v="1"/>
    <x v="100"/>
    <s v="18:38:50"/>
    <x v="0"/>
    <m/>
    <m/>
    <n v="0"/>
    <n v="0"/>
    <n v="0"/>
    <n v="0"/>
    <s v="No engagement"/>
    <x v="0"/>
    <b v="0"/>
    <b v="1"/>
    <x v="0"/>
  </r>
  <r>
    <s v="https://x.com/Toyota/status/5489067520"/>
    <s v="Toyota USA"/>
    <s v="@Toyota"/>
    <s v="Youthmobile 2030: 6 Crazy Cars for the Next Generation http://bit.ly/28datS #Toyota #LAAutoShow ( via @fastcompany )"/>
    <s v="2009-11-06T21:10:37.000Z"/>
    <x v="1"/>
    <x v="100"/>
    <s v="21:10:37"/>
    <x v="0"/>
    <m/>
    <m/>
    <n v="1"/>
    <n v="0"/>
    <n v="0"/>
    <n v="1"/>
    <s v="Low engagement"/>
    <x v="0"/>
    <b v="0"/>
    <b v="1"/>
    <x v="0"/>
  </r>
  <r>
    <s v="https://x.com/Toyota/status/5537133371"/>
    <s v="Toyota USA"/>
    <s v="@Toyota"/>
    <s v="RT @JoeGibbsRacing: http://twitpic.com/ory36 - Kyle Busch's @mmsracing @Toyota is on the grid in Texas. #nascar"/>
    <s v="2009-11-08T18:19:16.000Z"/>
    <x v="1"/>
    <x v="101"/>
    <s v="18:19:16"/>
    <x v="0"/>
    <m/>
    <s v="@JoeGibbsRacing"/>
    <n v="1"/>
    <n v="0"/>
    <n v="1"/>
    <n v="2"/>
    <s v="Low engagement"/>
    <x v="0"/>
    <b v="0"/>
    <b v="1"/>
    <x v="0"/>
  </r>
  <r>
    <s v="https://x.com/Toyota/status/5566836885"/>
    <s v="Toyota USA"/>
    <s v="@Toyota"/>
    <s v="All-New Third-Generation Toyota Sienna to Make World Debut at 2009 Los Angeles Auto Show. http://bit.ly/p6i8k #laautoshow ^SD"/>
    <s v="2009-11-09T19:37:34.000Z"/>
    <x v="1"/>
    <x v="102"/>
    <s v="19:37:34"/>
    <x v="0"/>
    <m/>
    <m/>
    <n v="0"/>
    <n v="0"/>
    <n v="0"/>
    <n v="0"/>
    <s v="No engagement"/>
    <x v="0"/>
    <b v="0"/>
    <b v="1"/>
    <x v="0"/>
  </r>
  <r>
    <s v="https://x.com/Toyota/status/5596523762"/>
    <s v="Toyota USA"/>
    <s v="@Toyota"/>
    <s v="Video: The Lexus LFA in action -- V10 engine at work http://bit.ly/1QcuPw #LFA ^SD"/>
    <s v="2009-11-10T19:11:30.000Z"/>
    <x v="1"/>
    <x v="103"/>
    <s v="19:11:30"/>
    <x v="0"/>
    <m/>
    <m/>
    <n v="0"/>
    <n v="0"/>
    <n v="0"/>
    <n v="0"/>
    <s v="No engagement"/>
    <x v="0"/>
    <b v="0"/>
    <b v="1"/>
    <x v="0"/>
  </r>
  <r>
    <s v="https://x.com/Toyota/status/5596635609"/>
    <s v="Toyota USA"/>
    <s v="@Toyota"/>
    <s v="Video: Designers married creative vision and tech advances to develop Lexus' latest concept car, the LF-Ch http://bit.ly/3BJUmP ^SD"/>
    <s v="2009-11-10T19:16:11.000Z"/>
    <x v="1"/>
    <x v="103"/>
    <s v="19:16:11"/>
    <x v="0"/>
    <m/>
    <m/>
    <n v="1"/>
    <n v="0"/>
    <n v="0"/>
    <n v="1"/>
    <s v="Low engagement"/>
    <x v="0"/>
    <b v="0"/>
    <b v="1"/>
    <x v="0"/>
  </r>
  <r>
    <s v="https://x.com/Toyota/status/5622287974"/>
    <s v="Toyota USA"/>
    <s v="@Toyota"/>
    <s v="Toyota Motor Sales, USA, Inc. Joins U.S. Environmental Protection Agency WasteWise Program http://bit.ly/30K2j7 ^AT"/>
    <s v="2009-11-11T16:11:10.000Z"/>
    <x v="1"/>
    <x v="104"/>
    <s v="16:11:10"/>
    <x v="1"/>
    <m/>
    <m/>
    <n v="0"/>
    <n v="0"/>
    <n v="0"/>
    <n v="0"/>
    <s v="No engagement"/>
    <x v="0"/>
    <b v="0"/>
    <b v="1"/>
    <x v="0"/>
  </r>
  <r>
    <s v="https://x.com/Toyota/status/5626207005"/>
    <s v="Toyota USA"/>
    <s v="@Toyota"/>
    <s v="@olgayefimova Hi there. The Lexus augmented reality ads are only for the U.S. edition of Esquire. ^SD"/>
    <s v="2009-11-11T18:50:20.000Z"/>
    <x v="1"/>
    <x v="104"/>
    <s v="18:50:20"/>
    <x v="0"/>
    <s v="@olgayefimova"/>
    <m/>
    <n v="0"/>
    <n v="0"/>
    <n v="0"/>
    <n v="0"/>
    <s v="No engagement"/>
    <x v="0"/>
    <b v="0"/>
    <b v="0"/>
    <x v="1"/>
  </r>
  <r>
    <s v="https://x.com/Toyota/status/5656327184"/>
    <s v="Toyota USA"/>
    <s v="@Toyota"/>
    <s v="Just loaded Lexus vid featuring pro driver &amp; cancer survivor Joe Bacal:he competes in the Baja 1000 on Nov.19-22. http://bit.ly/1l8MiY ^DM"/>
    <s v="2009-11-12T18:48:18.000Z"/>
    <x v="1"/>
    <x v="105"/>
    <s v="18:48:18"/>
    <x v="0"/>
    <m/>
    <m/>
    <n v="0"/>
    <n v="0"/>
    <n v="0"/>
    <n v="0"/>
    <s v="No engagement"/>
    <x v="0"/>
    <b v="0"/>
    <b v="1"/>
    <x v="0"/>
  </r>
  <r>
    <s v="https://x.com/Toyota/status/5657429044"/>
    <s v="Toyota USA"/>
    <s v="@Toyota"/>
    <s v="@Bourbons3 Hi. Prius will never be a manual because it is an infinitely variable transmission - more efficient than manual. ^SD"/>
    <s v="2009-11-12T19:35:04.000Z"/>
    <x v="1"/>
    <x v="105"/>
    <s v="19:35:04"/>
    <x v="0"/>
    <s v="@Bourbons3"/>
    <m/>
    <n v="0"/>
    <n v="0"/>
    <n v="0"/>
    <n v="0"/>
    <s v="No engagement"/>
    <x v="0"/>
    <b v="0"/>
    <b v="0"/>
    <x v="1"/>
  </r>
  <r>
    <s v="https://x.com/Toyota/status/5660789442"/>
    <s v="Toyota USA"/>
    <s v="@Toyota"/>
    <s v="Just loaded the new 2010 Lexus ES TV commercial to the YouTube channel. Check it out here http://bit.ly/36Yhse ^DM"/>
    <s v="2009-11-12T21:51:23.000Z"/>
    <x v="1"/>
    <x v="105"/>
    <s v="21:51:23"/>
    <x v="0"/>
    <m/>
    <m/>
    <n v="0"/>
    <n v="0"/>
    <n v="0"/>
    <n v="0"/>
    <s v="No engagement"/>
    <x v="0"/>
    <b v="0"/>
    <b v="1"/>
    <x v="0"/>
  </r>
  <r>
    <s v="https://x.com/Toyota/status/5685641361"/>
    <s v="Toyota USA"/>
    <s v="@Toyota"/>
    <s v="Prius named &quot;Best Mileage in America&quot; in @PopSci &quot;Best of What's New 2009&quot; awards http://bit.ly/25yPhn #toyota @3genprius ^SD"/>
    <s v="2009-11-13T17:41:25.000Z"/>
    <x v="1"/>
    <x v="106"/>
    <s v="17:41:25"/>
    <x v="1"/>
    <m/>
    <m/>
    <n v="0"/>
    <n v="0"/>
    <n v="0"/>
    <n v="0"/>
    <s v="No engagement"/>
    <x v="0"/>
    <b v="0"/>
    <b v="1"/>
    <x v="0"/>
  </r>
  <r>
    <s v="https://x.com/Toyota/status/5830431730"/>
    <s v="Toyota USA"/>
    <s v="@Toyota"/>
    <s v="2010 IIHS Top Safety Pick Awards Tells Just Part of the Story http://bit.ly/1TZ8ks ^AT"/>
    <s v="2009-11-18T16:33:44.000Z"/>
    <x v="1"/>
    <x v="107"/>
    <s v="16:33:44"/>
    <x v="1"/>
    <m/>
    <m/>
    <n v="0"/>
    <n v="0"/>
    <n v="0"/>
    <n v="0"/>
    <s v="No engagement"/>
    <x v="0"/>
    <b v="0"/>
    <b v="1"/>
    <x v="0"/>
  </r>
  <r>
    <s v="https://x.com/Toyota/status/5832796764"/>
    <s v="Toyota USA"/>
    <s v="@Toyota"/>
    <s v="Toyota TAPESTRY grant recipient McDowell named Ky. Science Teacher of the Year http://bit.ly/3YVnWL"/>
    <s v="2009-11-18T18:07:33.000Z"/>
    <x v="1"/>
    <x v="107"/>
    <s v="18:07:33"/>
    <x v="0"/>
    <m/>
    <m/>
    <n v="0"/>
    <n v="0"/>
    <n v="0"/>
    <n v="0"/>
    <s v="No engagement"/>
    <x v="0"/>
    <b v="0"/>
    <b v="1"/>
    <x v="0"/>
  </r>
  <r>
    <s v="https://x.com/Toyota/status/5841539672"/>
    <s v="Toyota USA"/>
    <s v="@Toyota"/>
    <s v="Jim Lentz presented Cars: Enriching Our Lives, Our Economy and Our Future at the Commonwealth Club in San Fran on 11/17 http://bit.ly/W4Olz"/>
    <s v="2009-11-18T23:48:37.000Z"/>
    <x v="1"/>
    <x v="107"/>
    <s v="23:48:37"/>
    <x v="0"/>
    <m/>
    <m/>
    <n v="0"/>
    <n v="0"/>
    <n v="0"/>
    <n v="0"/>
    <s v="No engagement"/>
    <x v="0"/>
    <b v="0"/>
    <b v="1"/>
    <x v="0"/>
  </r>
  <r>
    <s v="https://x.com/Toyota/status/5871349429"/>
    <s v="Toyota USA"/>
    <s v="@Toyota"/>
    <s v="Try out some fun Facebook games inspired by #Prius http://bit.ly/PKT7D ^SD"/>
    <s v="2009-11-19T22:43:23.000Z"/>
    <x v="1"/>
    <x v="108"/>
    <s v="22:43:23"/>
    <x v="0"/>
    <m/>
    <m/>
    <n v="0"/>
    <n v="0"/>
    <n v="0"/>
    <n v="0"/>
    <s v="No engagement"/>
    <x v="0"/>
    <b v="0"/>
    <b v="1"/>
    <x v="0"/>
  </r>
  <r>
    <s v="https://x.com/Toyota/status/5873951266"/>
    <s v="Toyota USA"/>
    <s v="@Toyota"/>
    <s v="We're in Ensenada MX w/ offroad legend Ivan Stewart &amp; the #778 2010 Toyota 4Runner.  We cleared tech inspection. ^TM #baja1000"/>
    <s v="2009-11-20T00:21:10.000Z"/>
    <x v="1"/>
    <x v="109"/>
    <s v="00:21:10"/>
    <x v="2"/>
    <m/>
    <m/>
    <n v="0"/>
    <n v="0"/>
    <n v="0"/>
    <n v="0"/>
    <s v="No engagement"/>
    <x v="0"/>
    <b v="0"/>
    <b v="0"/>
    <x v="1"/>
  </r>
  <r>
    <s v="https://x.com/Toyota/status/5874570441"/>
    <s v="Toyota USA"/>
    <s v="@Toyota"/>
    <s v="The line to tech inspection goes thru a boulevard with half-a-million fans of desert racing. All of them recognize Ivan. ^PW #baja1000"/>
    <s v="2009-11-20T00:45:08.000Z"/>
    <x v="1"/>
    <x v="109"/>
    <s v="00:45:08"/>
    <x v="2"/>
    <m/>
    <m/>
    <n v="0"/>
    <n v="0"/>
    <n v="0"/>
    <n v="0"/>
    <s v="No engagement"/>
    <x v="0"/>
    <b v="0"/>
    <b v="0"/>
    <x v="1"/>
  </r>
  <r>
    <s v="https://x.com/Toyota/status/5876681936"/>
    <s v="Toyota USA"/>
    <s v="@Toyota"/>
    <s v="Toyota's Paul Williamsen (^PW) is tweeting from the Baja 1000 w/ the 2010 4Runner and Ivan Stewart. ^SD #baja1000"/>
    <s v="2009-11-20T02:05:56.000Z"/>
    <x v="1"/>
    <x v="109"/>
    <s v="02:05:56"/>
    <x v="2"/>
    <m/>
    <m/>
    <n v="0"/>
    <n v="0"/>
    <n v="0"/>
    <n v="0"/>
    <s v="No engagement"/>
    <x v="0"/>
    <b v="0"/>
    <b v="0"/>
    <x v="1"/>
  </r>
  <r>
    <s v="https://x.com/Toyota/status/5877186277"/>
    <s v="Toyota USA"/>
    <s v="@Toyota"/>
    <s v="Our crew has &gt; dozen FJ Cruisers, 4Runners, Tundras &amp; Tacomas.  There are only 4 gas stations in all of northern Baja. ^TM #baja1000"/>
    <s v="2009-11-20T02:25:28.000Z"/>
    <x v="1"/>
    <x v="109"/>
    <s v="02:25:28"/>
    <x v="2"/>
    <m/>
    <m/>
    <n v="0"/>
    <n v="0"/>
    <n v="0"/>
    <n v="0"/>
    <s v="No engagement"/>
    <x v="0"/>
    <b v="0"/>
    <b v="0"/>
    <x v="1"/>
  </r>
  <r>
    <s v="https://x.com/Toyota/status/5881232893"/>
    <s v="Toyota USA"/>
    <s v="@Toyota"/>
    <s v="Here's a foto of the crowd you drive thru to get to tech inspection for the #baja1000. ^PW http://pic.gd/472372"/>
    <s v="2009-11-20T05:21:17.000Z"/>
    <x v="1"/>
    <x v="109"/>
    <s v="05:21:17"/>
    <x v="2"/>
    <m/>
    <m/>
    <n v="0"/>
    <n v="0"/>
    <n v="1"/>
    <n v="1"/>
    <s v="Low engagement"/>
    <x v="0"/>
    <b v="0"/>
    <b v="1"/>
    <x v="0"/>
  </r>
  <r>
    <s v="https://x.com/Toyota/status/5890060501"/>
    <s v="Toyota USA"/>
    <s v="@Toyota"/>
    <s v="Motorcycles begin to cross the start ramp @ 6AM, so everyone in Ensenada is awake. The 4Runner will start @ 11:05. ^PW #baja1000"/>
    <s v="2009-11-20T14:20:35.000Z"/>
    <x v="1"/>
    <x v="109"/>
    <s v="14:20:35"/>
    <x v="1"/>
    <m/>
    <m/>
    <n v="0"/>
    <n v="0"/>
    <n v="1"/>
    <n v="1"/>
    <s v="Low engagement"/>
    <x v="0"/>
    <b v="0"/>
    <b v="0"/>
    <x v="1"/>
  </r>
  <r>
    <s v="https://x.com/Toyota/status/5891199203"/>
    <s v="Toyota USA"/>
    <s v="@Toyota"/>
    <s v="Beautiful sunny morning in Ensenada, motorcycle classes are running now; trucks start 3 hrs later. ^PW #baja1000 http://pic.gd/ec1cdc"/>
    <s v="2009-11-20T15:03:11.000Z"/>
    <x v="1"/>
    <x v="109"/>
    <s v="15:03:11"/>
    <x v="1"/>
    <m/>
    <m/>
    <n v="1"/>
    <n v="1"/>
    <n v="1"/>
    <n v="3"/>
    <s v="Low engagement"/>
    <x v="0"/>
    <b v="0"/>
    <b v="1"/>
    <x v="0"/>
  </r>
  <r>
    <s v="https://x.com/Toyota/status/5893904227"/>
    <s v="Toyota USA"/>
    <s v="@Toyota"/>
    <s v="completing final system checks, preparing to start at 11am #Baja1000 ^TM"/>
    <s v="2009-11-20T16:44:28.000Z"/>
    <x v="1"/>
    <x v="109"/>
    <s v="16:44:28"/>
    <x v="1"/>
    <m/>
    <m/>
    <n v="0"/>
    <n v="0"/>
    <n v="0"/>
    <n v="0"/>
    <s v="No engagement"/>
    <x v="0"/>
    <b v="0"/>
    <b v="0"/>
    <x v="1"/>
  </r>
  <r>
    <s v="https://x.com/Toyota/status/5894557732"/>
    <s v="Toyota USA"/>
    <s v="@Toyota"/>
    <s v="Ivan Stewart &amp; Bob Ditner @ the 4Runner doing interviews before the start of the #Baja1000. ^PW  http://pic.gd/2940ac"/>
    <s v="2009-11-20T17:08:49.000Z"/>
    <x v="1"/>
    <x v="109"/>
    <s v="17:08:49"/>
    <x v="1"/>
    <m/>
    <m/>
    <n v="0"/>
    <n v="0"/>
    <n v="0"/>
    <n v="0"/>
    <s v="No engagement"/>
    <x v="0"/>
    <b v="0"/>
    <b v="1"/>
    <x v="0"/>
  </r>
  <r>
    <s v="https://x.com/Toyota/status/5898828934"/>
    <s v="Toyota USA"/>
    <s v="@Toyota"/>
    <s v="4Runner took the green flag, aired it out over the big jump in Ensenada wash. Bob Ditner driving, Zach Zwillinger is co-pilot. #Baja1000 ^TM"/>
    <s v="2009-11-20T20:01:41.000Z"/>
    <x v="1"/>
    <x v="109"/>
    <s v="20:01:41"/>
    <x v="0"/>
    <m/>
    <m/>
    <n v="0"/>
    <n v="0"/>
    <n v="0"/>
    <n v="0"/>
    <s v="No engagement"/>
    <x v="0"/>
    <b v="0"/>
    <b v="0"/>
    <x v="1"/>
  </r>
  <r>
    <s v="https://x.com/Toyota/status/5900751268"/>
    <s v="Toyota USA"/>
    <s v="@Toyota"/>
    <s v="Here are some pics of the Baja 1000 Toyota 4Runner prototype build.  Good luck guys! http://bit.ly/7SdvG9 #Baja1000 ^SD"/>
    <s v="2009-11-20T21:21:08.000Z"/>
    <x v="1"/>
    <x v="109"/>
    <s v="21:21:08"/>
    <x v="0"/>
    <m/>
    <m/>
    <n v="0"/>
    <n v="0"/>
    <n v="0"/>
    <n v="0"/>
    <s v="No engagement"/>
    <x v="0"/>
    <b v="0"/>
    <b v="1"/>
    <x v="0"/>
  </r>
  <r>
    <s v="https://x.com/Toyota/status/5904042121"/>
    <s v="Toyota USA"/>
    <s v="@Toyota"/>
    <s v="4Runner just passed us at Race Mile 102, Running strong.#Baja1000 ^TM"/>
    <s v="2009-11-20T23:35:39.000Z"/>
    <x v="1"/>
    <x v="109"/>
    <s v="23:35:39"/>
    <x v="0"/>
    <m/>
    <m/>
    <n v="0"/>
    <n v="0"/>
    <n v="0"/>
    <n v="0"/>
    <s v="No engagement"/>
    <x v="0"/>
    <b v="0"/>
    <b v="0"/>
    <x v="1"/>
  </r>
  <r>
    <s v="https://x.com/Toyota/status/5909051052"/>
    <s v="Toyota USA"/>
    <s v="@Toyota"/>
    <s v="The 2010 4Runner climbed the 5500' Cerro Grande summit just before sunset:  they're hitting the hi-speed. dry lake in the dark ^PW #baja1000"/>
    <s v="2009-11-21T03:08:42.000Z"/>
    <x v="1"/>
    <x v="110"/>
    <s v="03:08:42"/>
    <x v="2"/>
    <m/>
    <m/>
    <n v="0"/>
    <n v="0"/>
    <n v="1"/>
    <n v="1"/>
    <s v="Low engagement"/>
    <x v="0"/>
    <b v="0"/>
    <b v="0"/>
    <x v="1"/>
  </r>
  <r>
    <s v="https://x.com/Toyota/status/5911803667"/>
    <s v="Toyota USA"/>
    <s v="@Toyota"/>
    <s v="4runner cleared pit 2 Running strong.  Bob/Zach got out and said silt beds are crazy.  Ken/Mark got in.  Next is Matomi wash. #baja1000 ^TM"/>
    <s v="2009-11-21T05:23:33.000Z"/>
    <x v="1"/>
    <x v="110"/>
    <s v="05:23:33"/>
    <x v="2"/>
    <m/>
    <m/>
    <n v="0"/>
    <n v="0"/>
    <n v="0"/>
    <n v="0"/>
    <s v="No engagement"/>
    <x v="0"/>
    <b v="0"/>
    <b v="0"/>
    <x v="1"/>
  </r>
  <r>
    <s v="https://x.com/Toyota/status/5913495873"/>
    <s v="Toyota USA"/>
    <s v="@Toyota"/>
    <s v="See the 4Runner's course (#778). Go to the &quot;Class 7&quot; button and see where they are on the map: http://bit.ly/4tKHb6 #Baja1000 ^SD"/>
    <s v="2009-11-21T07:10:58.000Z"/>
    <x v="1"/>
    <x v="110"/>
    <s v="07:10:58"/>
    <x v="3"/>
    <m/>
    <m/>
    <n v="0"/>
    <n v="0"/>
    <n v="0"/>
    <n v="0"/>
    <s v="No engagement"/>
    <x v="0"/>
    <b v="0"/>
    <b v="1"/>
    <x v="0"/>
  </r>
  <r>
    <s v="https://x.com/Toyota/status/5914316301"/>
    <s v="Toyota USA"/>
    <s v="@Toyota"/>
    <s v="The 4Runner is back moving at Race Mile 260. They got stuck in a deep rut in a silt bed but got themselves free.  #Baja1000 ^TM"/>
    <s v="2009-11-21T08:13:22.000Z"/>
    <x v="1"/>
    <x v="110"/>
    <s v="08:13:22"/>
    <x v="3"/>
    <m/>
    <m/>
    <n v="0"/>
    <n v="0"/>
    <n v="0"/>
    <n v="0"/>
    <s v="No engagement"/>
    <x v="0"/>
    <b v="0"/>
    <b v="0"/>
    <x v="1"/>
  </r>
  <r>
    <s v="https://x.com/Toyota/status/5914915987"/>
    <s v="Toyota USA"/>
    <s v="@Toyota"/>
    <s v="#778 was stuck in silt at race mile 260 for 2 hrs:  Ted Moncure drove in to help, and they're rolling now  ^PW #baja1000"/>
    <s v="2009-11-21T09:02:31.000Z"/>
    <x v="1"/>
    <x v="110"/>
    <s v="09:02:31"/>
    <x v="3"/>
    <m/>
    <m/>
    <n v="0"/>
    <n v="0"/>
    <n v="0"/>
    <n v="0"/>
    <s v="No engagement"/>
    <x v="0"/>
    <b v="0"/>
    <b v="0"/>
    <x v="1"/>
  </r>
  <r>
    <s v="https://x.com/Toyota/status/5915773851"/>
    <s v="Toyota USA"/>
    <s v="@Toyota"/>
    <s v="4Runner made it through Matomi wash and is getting gas at r"/>
    <s v="2009-11-21T10:16:27.000Z"/>
    <x v="1"/>
    <x v="110"/>
    <s v="10:16:27"/>
    <x v="3"/>
    <m/>
    <m/>
    <n v="0"/>
    <n v="0"/>
    <n v="0"/>
    <n v="0"/>
    <s v="No engagement"/>
    <x v="0"/>
    <b v="0"/>
    <b v="0"/>
    <x v="1"/>
  </r>
  <r>
    <s v="https://x.com/Toyota/status/5915852056"/>
    <s v="Toyota USA"/>
    <s v="@Toyota"/>
    <s v="4Runner made it through Matomi wash and now getting RM307.  #baja1000 ^TM"/>
    <s v="2009-11-21T10:23:19.000Z"/>
    <x v="1"/>
    <x v="110"/>
    <s v="10:23:19"/>
    <x v="3"/>
    <m/>
    <m/>
    <n v="0"/>
    <n v="0"/>
    <n v="1"/>
    <n v="1"/>
    <s v="Low engagement"/>
    <x v="0"/>
    <b v="0"/>
    <b v="0"/>
    <x v="1"/>
  </r>
  <r>
    <s v="https://x.com/Toyota/status/5917610022"/>
    <s v="Toyota USA"/>
    <s v="@Toyota"/>
    <s v="Ken &amp; Mark have had a long night in the #778 4Runner, but it's still running strong and looking good @ RM365.^PW #baja1000"/>
    <s v="2009-11-21T12:41:20.000Z"/>
    <x v="1"/>
    <x v="110"/>
    <s v="12:41:20"/>
    <x v="4"/>
    <m/>
    <m/>
    <n v="0"/>
    <n v="0"/>
    <n v="0"/>
    <n v="0"/>
    <s v="No engagement"/>
    <x v="0"/>
    <b v="0"/>
    <b v="0"/>
    <x v="1"/>
  </r>
  <r>
    <s v="https://x.com/Toyota/status/5918910486"/>
    <s v="Toyota USA"/>
    <s v="@Toyota"/>
    <s v="Check out the Lexus LFA on display at Cars &amp; Coffee this morning #LFA http://ow.ly/EfPt  ^SD"/>
    <s v="2009-11-21T14:01:25.000Z"/>
    <x v="1"/>
    <x v="110"/>
    <s v="14:01:25"/>
    <x v="1"/>
    <m/>
    <m/>
    <n v="0"/>
    <n v="0"/>
    <n v="0"/>
    <n v="0"/>
    <s v="No engagement"/>
    <x v="0"/>
    <b v="0"/>
    <b v="1"/>
    <x v="0"/>
  </r>
  <r>
    <s v="https://x.com/Toyota/status/5919249815"/>
    <s v="Toyota USA"/>
    <s v="@Toyota"/>
    <s v="Baja Pits is welding the front suspension on #778. ^PW #baja1000"/>
    <s v="2009-11-21T14:19:45.000Z"/>
    <x v="1"/>
    <x v="110"/>
    <s v="14:19:45"/>
    <x v="1"/>
    <m/>
    <m/>
    <n v="0"/>
    <n v="0"/>
    <n v="0"/>
    <n v="0"/>
    <s v="No engagement"/>
    <x v="0"/>
    <b v="0"/>
    <b v="0"/>
    <x v="1"/>
  </r>
  <r>
    <s v="https://x.com/Toyota/status/5919878069"/>
    <s v="Toyota USA"/>
    <s v="@Toyota"/>
    <s v="4Runner just left Baja pit @ RM395. Welded up roll cage tube near upper shock mount, and changed a low tire. Joe and PW got in #Baja1000 ^TM"/>
    <s v="2009-11-21T14:50:50.000Z"/>
    <x v="1"/>
    <x v="110"/>
    <s v="14:50:50"/>
    <x v="1"/>
    <m/>
    <m/>
    <n v="0"/>
    <n v="0"/>
    <n v="1"/>
    <n v="1"/>
    <s v="Low engagement"/>
    <x v="0"/>
    <b v="0"/>
    <b v="0"/>
    <x v="1"/>
  </r>
  <r>
    <s v="https://x.com/Toyota/status/5926830166"/>
    <s v="Toyota USA"/>
    <s v="@Toyota"/>
    <s v="At 11:23 we handed the 4Runne over to Ivan Stewart to bring it home to the finish in Ensenada. r ^PW #BAJA1000"/>
    <s v="2009-11-21T20:06:31.000Z"/>
    <x v="1"/>
    <x v="110"/>
    <s v="20:06:31"/>
    <x v="0"/>
    <m/>
    <m/>
    <n v="0"/>
    <n v="0"/>
    <n v="0"/>
    <n v="0"/>
    <s v="No engagement"/>
    <x v="0"/>
    <b v="0"/>
    <b v="0"/>
    <x v="1"/>
  </r>
  <r>
    <s v="https://x.com/Toyota/status/5932359629"/>
    <s v="Toyota USA"/>
    <s v="@Toyota"/>
    <s v="Ivan is &lt; 30 mi from the finish, having made up many positions:  he is just 2 mi behind the class leader. ^PW #baja1000"/>
    <s v="2009-11-22T00:22:58.000Z"/>
    <x v="1"/>
    <x v="111"/>
    <s v="00:22:58"/>
    <x v="2"/>
    <m/>
    <m/>
    <n v="0"/>
    <n v="0"/>
    <n v="1"/>
    <n v="1"/>
    <s v="Low engagement"/>
    <x v="0"/>
    <b v="0"/>
    <b v="0"/>
    <x v="1"/>
  </r>
  <r>
    <s v="https://x.com/Toyota/status/5932569990"/>
    <s v="Toyota USA"/>
    <s v="@Toyota"/>
    <s v="Chased Ivan from the Pacific to Ojos Negros. ROUGH section! 4Runner is 23 miles from the finish line, running strong. #Baja1000 ^TM"/>
    <s v="2009-11-22T00:32:26.000Z"/>
    <x v="1"/>
    <x v="111"/>
    <s v="00:32:26"/>
    <x v="2"/>
    <m/>
    <m/>
    <n v="0"/>
    <n v="0"/>
    <n v="0"/>
    <n v="0"/>
    <s v="No engagement"/>
    <x v="0"/>
    <b v="0"/>
    <b v="0"/>
    <x v="1"/>
  </r>
  <r>
    <s v="https://x.com/Toyota/status/5932662172"/>
    <s v="Toyota USA"/>
    <s v="@Toyota"/>
    <s v="The 4Runner's headed for fuel &amp; driver change @ RM397: Joe Nolan &amp; I will drive to RM502 to hand off to Ivan. ^PW http://pic.gd/8539cd"/>
    <s v="2009-11-22T00:36:33.000Z"/>
    <x v="1"/>
    <x v="111"/>
    <s v="00:36:33"/>
    <x v="2"/>
    <m/>
    <m/>
    <n v="0"/>
    <n v="0"/>
    <n v="0"/>
    <n v="0"/>
    <s v="No engagement"/>
    <x v="0"/>
    <b v="0"/>
    <b v="1"/>
    <x v="0"/>
  </r>
  <r>
    <s v="https://x.com/Toyota/status/5933272349"/>
    <s v="Toyota USA"/>
    <s v="@Toyota"/>
    <s v="Ivan Stewart finishes the Baja 1000 in 29 hours, his 1st Baja since 2000. ^PW #baja1000 http://pic.gd/196be5"/>
    <s v="2009-11-22T01:03:46.000Z"/>
    <x v="1"/>
    <x v="111"/>
    <s v="01:03:46"/>
    <x v="2"/>
    <m/>
    <m/>
    <n v="0"/>
    <n v="0"/>
    <n v="1"/>
    <n v="1"/>
    <s v="Low engagement"/>
    <x v="0"/>
    <b v="0"/>
    <b v="1"/>
    <x v="0"/>
  </r>
  <r>
    <s v="https://x.com/Toyota/status/5933399611"/>
    <s v="Toyota USA"/>
    <s v="@Toyota"/>
    <s v="Ivan Stewart brings the 2010 4Runner in 2nd at the 2000 #Baja1000. ^PW http://pic.gd/f5cfc9"/>
    <s v="2009-11-22T01:09:22.000Z"/>
    <x v="1"/>
    <x v="111"/>
    <s v="01:09:22"/>
    <x v="2"/>
    <m/>
    <m/>
    <n v="0"/>
    <n v="0"/>
    <n v="1"/>
    <n v="1"/>
    <s v="Low engagement"/>
    <x v="0"/>
    <b v="0"/>
    <b v="1"/>
    <x v="0"/>
  </r>
  <r>
    <s v="https://x.com/Toyota/status/5935480061"/>
    <s v="Toyota USA"/>
    <s v="@Toyota"/>
    <s v="@LKMaxwell The 2010 4Runner is a great SUV...an off-road beast! Thanks for the tweet! ^SD"/>
    <s v="2009-11-22T02:42:33.000Z"/>
    <x v="1"/>
    <x v="111"/>
    <s v="02:42:33"/>
    <x v="2"/>
    <m/>
    <m/>
    <n v="0"/>
    <n v="0"/>
    <n v="0"/>
    <n v="0"/>
    <s v="No engagement"/>
    <x v="0"/>
    <b v="0"/>
    <b v="0"/>
    <x v="1"/>
  </r>
  <r>
    <s v="https://x.com/Toyota/status/5947660036"/>
    <s v="Toyota USA"/>
    <s v="@Toyota"/>
    <s v="4 Runner's headed for fuel &amp; driver change @ RM397: Joe &amp; I will drive to RM502 to hand off to Ivan. ^PW #baja1000 http://pic.gd/ea6446"/>
    <s v="2009-11-22T15:20:22.000Z"/>
    <x v="1"/>
    <x v="111"/>
    <s v="15:20:22"/>
    <x v="1"/>
    <m/>
    <m/>
    <n v="0"/>
    <n v="0"/>
    <n v="0"/>
    <n v="0"/>
    <s v="No engagement"/>
    <x v="0"/>
    <b v="0"/>
    <b v="1"/>
    <x v="0"/>
  </r>
  <r>
    <s v="https://x.com/Toyota/status/5947663823"/>
    <s v="Toyota USA"/>
    <s v="@Toyota"/>
    <s v="4Runner #778 passed race-mile 105 @ 28MPH avg speed. Next they will climb to the 5500 ft summit of Cerro Grande. ^PW #baja1000"/>
    <s v="2009-11-22T15:20:33.000Z"/>
    <x v="1"/>
    <x v="111"/>
    <s v="15:20:33"/>
    <x v="1"/>
    <m/>
    <m/>
    <n v="0"/>
    <n v="0"/>
    <n v="1"/>
    <n v="1"/>
    <s v="Low engagement"/>
    <x v="0"/>
    <b v="0"/>
    <b v="0"/>
    <x v="1"/>
  </r>
  <r>
    <s v="https://x.com/Toyota/status/5952481954"/>
    <s v="Toyota USA"/>
    <s v="@Toyota"/>
    <s v="Ivan Stewart at the awards ceremony for the 2009 Baja 1000. He placed the 4Runner 2nd in Stock Midsize. ^PW #baja1000 http://pic.gd/003ec3"/>
    <s v="2009-11-22T19:02:15.000Z"/>
    <x v="1"/>
    <x v="111"/>
    <s v="19:02:15"/>
    <x v="0"/>
    <m/>
    <m/>
    <n v="0"/>
    <n v="0"/>
    <n v="2"/>
    <n v="2"/>
    <s v="Low engagement"/>
    <x v="0"/>
    <b v="0"/>
    <b v="1"/>
    <x v="0"/>
  </r>
  <r>
    <s v="https://x.com/Toyota/status/5959066759"/>
    <s v="Toyota USA"/>
    <s v="@Toyota"/>
    <s v="RT: Cars &amp; Coffee: Lexus LFA shows up ahead of LA Auto Show — Autoblog: http://bit.ly/8eyyn5 (via @therealautoblog)"/>
    <s v="2009-11-22T23:28:21.000Z"/>
    <x v="1"/>
    <x v="111"/>
    <s v="23:28:21"/>
    <x v="0"/>
    <m/>
    <m/>
    <n v="0"/>
    <n v="0"/>
    <n v="1"/>
    <n v="1"/>
    <s v="Low engagement"/>
    <x v="0"/>
    <b v="0"/>
    <b v="1"/>
    <x v="0"/>
  </r>
  <r>
    <s v="https://x.com/Toyota/status/5990114110"/>
    <s v="Toyota USA"/>
    <s v="@Toyota"/>
    <s v="Audubon-Toyota alliance picks 40 promising environmentalists for TogetherGreen Fellowships: http://tinyurl.com/ykpnqm7 ^DS"/>
    <s v="2009-11-23T22:43:43.000Z"/>
    <x v="1"/>
    <x v="112"/>
    <s v="22:43:43"/>
    <x v="0"/>
    <m/>
    <m/>
    <n v="0"/>
    <n v="0"/>
    <n v="1"/>
    <n v="1"/>
    <s v="Low engagement"/>
    <x v="0"/>
    <b v="0"/>
    <b v="1"/>
    <x v="0"/>
  </r>
  <r>
    <s v="https://x.com/Toyota/status/6017376474"/>
    <s v="Toyota USA"/>
    <s v="@Toyota"/>
    <s v="Contrary to some news reports, Toyota is not planning a major restructure or relocation in North America: http://bit.ly/8ASlYU ^SM"/>
    <s v="2009-11-24T19:55:18.000Z"/>
    <x v="1"/>
    <x v="113"/>
    <s v="19:55:18"/>
    <x v="0"/>
    <m/>
    <m/>
    <n v="0"/>
    <n v="0"/>
    <n v="4"/>
    <n v="4"/>
    <s v="Low engagement"/>
    <x v="0"/>
    <b v="0"/>
    <b v="1"/>
    <x v="0"/>
  </r>
  <r>
    <s v="https://x.com/Toyota/status/6020534748"/>
    <s v="Toyota USA"/>
    <s v="@Toyota"/>
    <s v="Toyota Announces Safety Recall on 2000 through 2003 Tundra Frame Rear Cross-Member http://bit.ly/5SqvT5 ^AT"/>
    <s v="2009-11-24T21:57:22.000Z"/>
    <x v="1"/>
    <x v="113"/>
    <s v="21:57:22"/>
    <x v="0"/>
    <m/>
    <m/>
    <n v="0"/>
    <n v="0"/>
    <n v="6"/>
    <n v="6"/>
    <s v="Moderate engagement"/>
    <x v="0"/>
    <b v="0"/>
    <b v="1"/>
    <x v="0"/>
  </r>
  <r>
    <s v="https://x.com/Toyota/status/6048856049"/>
    <s v="Toyota USA"/>
    <s v="@Toyota"/>
    <s v="Toyota Announces Details of Remedy to Address Potential Accelerator Pedal Entrapment http://bit.ly/PYAwH ^AT"/>
    <s v="2009-11-25T13:02:35.000Z"/>
    <x v="2"/>
    <x v="114"/>
    <s v="13:02:35"/>
    <x v="4"/>
    <m/>
    <m/>
    <n v="1"/>
    <n v="0"/>
    <n v="3"/>
    <n v="4"/>
    <s v="Low engagement"/>
    <x v="0"/>
    <b v="0"/>
    <b v="1"/>
    <x v="0"/>
  </r>
  <r>
    <s v="https://x.com/Toyota/status/6054686342"/>
    <s v="Toyota USA"/>
    <s v="@Toyota"/>
    <s v="Toyota Announces Details of Remedy to Address Potential Accelerator Pedal Entrapment http://bit.ly/PYAwH ^SM"/>
    <s v="2009-11-25T16:55:56.000Z"/>
    <x v="2"/>
    <x v="114"/>
    <s v="16:55:56"/>
    <x v="1"/>
    <m/>
    <m/>
    <n v="0"/>
    <n v="0"/>
    <n v="2"/>
    <n v="2"/>
    <s v="Low engagement"/>
    <x v="0"/>
    <b v="0"/>
    <b v="1"/>
    <x v="0"/>
  </r>
  <r>
    <s v="https://x.com/Toyota/status/6220164535"/>
    <s v="Toyota USA"/>
    <s v="@Toyota"/>
    <s v="Scion will show the 2010 xB Release Series 7.0 at the LA Auto Show. For more info http://bit.ly/4Ng3Gy ^DM"/>
    <s v="2009-12-01T01:31:36.000Z"/>
    <x v="2"/>
    <x v="115"/>
    <s v="01:31:36"/>
    <x v="2"/>
    <m/>
    <m/>
    <n v="1"/>
    <n v="0"/>
    <n v="2"/>
    <n v="3"/>
    <s v="Low engagement"/>
    <x v="0"/>
    <b v="0"/>
    <b v="1"/>
    <x v="0"/>
  </r>
  <r>
    <s v="https://x.com/Toyota/status/6241625962"/>
    <s v="Toyota USA"/>
    <s v="@Toyota"/>
    <s v="DuPont Announces World's Most Popular Car Colors http://bit.ly/6906nN Silver really is the new black. What's your favorite? ^SD"/>
    <s v="2009-12-01T17:46:47.000Z"/>
    <x v="2"/>
    <x v="115"/>
    <s v="17:46:47"/>
    <x v="1"/>
    <m/>
    <m/>
    <n v="0"/>
    <n v="0"/>
    <n v="3"/>
    <n v="3"/>
    <s v="Low engagement"/>
    <x v="0"/>
    <b v="0"/>
    <b v="1"/>
    <x v="0"/>
  </r>
  <r>
    <s v="https://x.com/Toyota/status/6242908293"/>
    <s v="Toyota USA"/>
    <s v="@Toyota"/>
    <s v="Toyota Reports November Sales: http://bit.ly/7Aa4yx   ^SM"/>
    <s v="2009-12-01T18:35:37.000Z"/>
    <x v="2"/>
    <x v="115"/>
    <s v="18:35:37"/>
    <x v="0"/>
    <m/>
    <m/>
    <n v="0"/>
    <n v="0"/>
    <n v="4"/>
    <n v="4"/>
    <s v="Low engagement"/>
    <x v="0"/>
    <b v="0"/>
    <b v="1"/>
    <x v="0"/>
  </r>
  <r>
    <s v="https://x.com/Toyota/status/6273468351"/>
    <s v="Toyota USA"/>
    <s v="@Toyota"/>
    <s v="Check out www.priusphv.com for the latest info on the Toyota Prius Plug-In Hybrid Demonstration Program. ^AT"/>
    <s v="2009-12-02T16:19:40.000Z"/>
    <x v="2"/>
    <x v="116"/>
    <s v="16:19:40"/>
    <x v="1"/>
    <m/>
    <m/>
    <n v="0"/>
    <n v="0"/>
    <n v="2"/>
    <n v="2"/>
    <s v="Low engagement"/>
    <x v="0"/>
    <b v="0"/>
    <b v="1"/>
    <x v="0"/>
  </r>
  <r>
    <s v="https://x.com/Toyota/status/6273822955"/>
    <s v="Toyota USA"/>
    <s v="@Toyota"/>
    <s v="2010 Prius Plug-in Hybrid Makes North American Debut at Los Angeles Auto Show http://bit.ly/59zLIb #Toyota #laautoshow ^AT"/>
    <s v="2009-12-02T16:32:45.000Z"/>
    <x v="2"/>
    <x v="116"/>
    <s v="16:32:45"/>
    <x v="1"/>
    <m/>
    <m/>
    <n v="0"/>
    <n v="0"/>
    <n v="5"/>
    <n v="5"/>
    <s v="Moderate engagement"/>
    <x v="0"/>
    <b v="0"/>
    <b v="1"/>
    <x v="0"/>
  </r>
  <r>
    <s v="https://x.com/Toyota/status/6274748640"/>
    <s v="Toyota USA"/>
    <s v="@Toyota"/>
    <s v="Kelley Blue Book Announces Winners of 2010 Best Resale Value Awards http://bit.ly/5RXN29 #toyota #lexus ^SM"/>
    <s v="2009-12-02T17:07:05.000Z"/>
    <x v="2"/>
    <x v="116"/>
    <s v="17:07:05"/>
    <x v="1"/>
    <m/>
    <m/>
    <n v="0"/>
    <n v="0"/>
    <n v="0"/>
    <n v="0"/>
    <s v="No engagement"/>
    <x v="0"/>
    <b v="0"/>
    <b v="1"/>
    <x v="0"/>
  </r>
  <r>
    <s v="https://x.com/Toyota/status/6277963441"/>
    <s v="Toyota USA"/>
    <s v="@Toyota"/>
    <s v="All-New Third-Generation Toyota Sienna Makes World Debut at #laautoshow http://bit.ly/6x2NLn Photos: http://bit.ly/4wfKVm ^SD"/>
    <s v="2009-12-02T19:10:04.000Z"/>
    <x v="2"/>
    <x v="116"/>
    <s v="19:10:04"/>
    <x v="0"/>
    <m/>
    <m/>
    <n v="1"/>
    <n v="0"/>
    <n v="3"/>
    <n v="4"/>
    <s v="Low engagement"/>
    <x v="0"/>
    <b v="0"/>
    <b v="1"/>
    <x v="0"/>
  </r>
  <r>
    <s v="https://x.com/Toyota/status/6343190647"/>
    <s v="Toyota USA"/>
    <s v="@Toyota"/>
    <s v="congrats to our friends at Audubon! RT @audubonsociety: Green design at new Audubon Center See video http://tinyurl.com/yg7k886"/>
    <s v="2009-12-04T17:27:14.000Z"/>
    <x v="2"/>
    <x v="117"/>
    <s v="17:27:14"/>
    <x v="1"/>
    <m/>
    <s v="@audubonsociety"/>
    <n v="0"/>
    <n v="0"/>
    <n v="0"/>
    <n v="0"/>
    <s v="No engagement"/>
    <x v="0"/>
    <b v="0"/>
    <b v="1"/>
    <x v="0"/>
  </r>
  <r>
    <s v="https://x.com/Toyota/status/6345310000"/>
    <s v="Toyota USA"/>
    <s v="@Toyota"/>
    <s v="@TheToyotaBlog @tswei_chen We're working with our Toyota Racing peeps to develop a presence on this channel. Thanks for the ideas! ^SD"/>
    <s v="2009-12-04T18:37:18.000Z"/>
    <x v="2"/>
    <x v="117"/>
    <s v="18:37:18"/>
    <x v="0"/>
    <s v="@TheToyotaBlog"/>
    <m/>
    <n v="0"/>
    <n v="0"/>
    <n v="1"/>
    <n v="1"/>
    <s v="Low engagement"/>
    <x v="0"/>
    <b v="0"/>
    <b v="0"/>
    <x v="1"/>
  </r>
  <r>
    <s v="https://x.com/Toyota/status/6436319761"/>
    <s v="Toyota USA"/>
    <s v="@Toyota"/>
    <s v="Toyota's 2009 North America Environmental Report is out today - view or download at http://tinyurl.com/yg3zvys ^DS"/>
    <s v="2009-12-07T17:22:12.000Z"/>
    <x v="2"/>
    <x v="118"/>
    <s v="17:22:12"/>
    <x v="1"/>
    <m/>
    <m/>
    <n v="0"/>
    <n v="0"/>
    <n v="1"/>
    <n v="1"/>
    <s v="Low engagement"/>
    <x v="0"/>
    <b v="0"/>
    <b v="1"/>
    <x v="0"/>
  </r>
  <r>
    <s v="https://x.com/Toyota/status/6473248319"/>
    <s v="Toyota USA"/>
    <s v="@Toyota"/>
    <s v="A look into the design of the new Sienna @toyota US design studio in Southern California: http://bit.ly/8GJyeD (via @therealautoblog) ^SM"/>
    <s v="2009-12-08T20:00:32.000Z"/>
    <x v="2"/>
    <x v="119"/>
    <s v="20:00:32"/>
    <x v="0"/>
    <m/>
    <m/>
    <n v="0"/>
    <n v="0"/>
    <n v="3"/>
    <n v="3"/>
    <s v="Low engagement"/>
    <x v="0"/>
    <b v="0"/>
    <b v="1"/>
    <x v="0"/>
  </r>
  <r>
    <s v="https://x.com/Toyota/status/6476807696"/>
    <s v="Toyota USA"/>
    <s v="@Toyota"/>
    <s v="Approx 30% of the interior and luggage areas of the Lexus HS 250h are covered w/Ecological Plastics: http://tinyurl.com/yc7d5df ^DS"/>
    <s v="2009-12-08T22:17:33.000Z"/>
    <x v="2"/>
    <x v="119"/>
    <s v="22:17:33"/>
    <x v="0"/>
    <m/>
    <m/>
    <n v="0"/>
    <n v="0"/>
    <n v="3"/>
    <n v="3"/>
    <s v="Low engagement"/>
    <x v="0"/>
    <b v="0"/>
    <b v="1"/>
    <x v="0"/>
  </r>
  <r>
    <s v="https://x.com/Toyota/status/6480071166"/>
    <s v="Toyota USA"/>
    <s v="@Toyota"/>
    <s v="Toyota Prius has been named to @WardsAuto 2010 10 Best Engines list. http://bit.ly/8ikwAJ #hybrid ^SD"/>
    <s v="2009-12-09T00:24:55.000Z"/>
    <x v="2"/>
    <x v="120"/>
    <s v="00:24:55"/>
    <x v="2"/>
    <m/>
    <m/>
    <n v="1"/>
    <n v="0"/>
    <n v="4"/>
    <n v="5"/>
    <s v="Moderate engagement"/>
    <x v="0"/>
    <b v="0"/>
    <b v="1"/>
    <x v="0"/>
  </r>
  <r>
    <s v="https://x.com/Toyota/status/6505841355"/>
    <s v="Toyota USA"/>
    <s v="@Toyota"/>
    <s v="And The Top Gear Lexus LFA Track Time Is...? http://jalopnik.com/5422583/ #topgear #lexuslfa"/>
    <s v="2009-12-09T19:25:54.000Z"/>
    <x v="2"/>
    <x v="120"/>
    <s v="19:25:54"/>
    <x v="0"/>
    <m/>
    <m/>
    <n v="0"/>
    <n v="0"/>
    <n v="2"/>
    <n v="2"/>
    <s v="Low engagement"/>
    <x v="0"/>
    <b v="0"/>
    <b v="1"/>
    <x v="0"/>
  </r>
  <r>
    <s v="https://x.com/Toyota/status/6514905608"/>
    <s v="Toyota USA"/>
    <s v="@Toyota"/>
    <s v="Laker fans: Shannon Brown will sign autographs in the Toyota space (South Hall) @ #LAAutoshow, tomorrow 12/10 from 7-8 pm Pacific ^DM"/>
    <s v="2009-12-10T00:50:52.000Z"/>
    <x v="2"/>
    <x v="121"/>
    <s v="00:50:52"/>
    <x v="2"/>
    <m/>
    <m/>
    <n v="0"/>
    <n v="0"/>
    <n v="1"/>
    <n v="1"/>
    <s v="Low engagement"/>
    <x v="0"/>
    <b v="0"/>
    <b v="0"/>
    <x v="1"/>
  </r>
  <r>
    <s v="https://x.com/Toyota/status/6535382867"/>
    <s v="Toyota USA"/>
    <s v="@Toyota"/>
    <s v="RT @PriusChat: Come to &quot;Toyota NA Enviro Report Chat&quot; Today from 3:00 pm to 4:00 pm. Join us this afternoon for... http://bit.ly/5BeuY3"/>
    <s v="2009-12-10T16:08:09.000Z"/>
    <x v="2"/>
    <x v="121"/>
    <s v="16:08:09"/>
    <x v="1"/>
    <m/>
    <s v="@PriusChat"/>
    <n v="0"/>
    <n v="0"/>
    <n v="0"/>
    <n v="0"/>
    <s v="No engagement"/>
    <x v="0"/>
    <b v="0"/>
    <b v="1"/>
    <x v="0"/>
  </r>
  <r>
    <s v="https://x.com/Toyota/status/6541056760"/>
    <s v="Toyota USA"/>
    <s v="@Toyota"/>
    <s v="Getting ready for our online chat with enviro execs Kevin Butt and Irv Miller in 30 minutes! http://tinyurl.com/y8ah5xp"/>
    <s v="2009-12-10T19:28:08.000Z"/>
    <x v="2"/>
    <x v="121"/>
    <s v="19:28:08"/>
    <x v="0"/>
    <m/>
    <m/>
    <n v="0"/>
    <n v="0"/>
    <n v="2"/>
    <n v="2"/>
    <s v="Low engagement"/>
    <x v="0"/>
    <b v="0"/>
    <b v="1"/>
    <x v="0"/>
  </r>
  <r>
    <s v="https://x.com/Toyota/status/6541445911"/>
    <s v="Toyota USA"/>
    <s v="@Toyota"/>
    <s v="Join us in 20 mins for a live chat with Toyota execs discussing Toyota's N. American Environmental Report http://bit.ly/5kzyMF ^SD"/>
    <s v="2009-12-10T19:42:33.000Z"/>
    <x v="2"/>
    <x v="121"/>
    <s v="19:42:33"/>
    <x v="0"/>
    <m/>
    <m/>
    <n v="0"/>
    <n v="0"/>
    <n v="0"/>
    <n v="0"/>
    <s v="No engagement"/>
    <x v="0"/>
    <b v="0"/>
    <b v="1"/>
    <x v="0"/>
  </r>
  <r>
    <s v="https://x.com/Toyota/status/6547984957"/>
    <s v="Toyota USA"/>
    <s v="@Toyota"/>
    <s v="@MarlonMartinez Hi Marlon. The FT-86 concept is not at the #laautoshow."/>
    <s v="2009-12-10T23:42:42.000Z"/>
    <x v="2"/>
    <x v="121"/>
    <s v="23:42:42"/>
    <x v="0"/>
    <m/>
    <m/>
    <n v="0"/>
    <n v="0"/>
    <n v="0"/>
    <n v="0"/>
    <s v="No engagement"/>
    <x v="0"/>
    <b v="0"/>
    <b v="0"/>
    <x v="1"/>
  </r>
  <r>
    <s v="https://x.com/Toyota/status/6665748331"/>
    <s v="Toyota USA"/>
    <s v="@Toyota"/>
    <s v="@TheToyotaBlog Median age is 38. tC brings in youngest median age buyer of 25 over the past 12 months. ^SD"/>
    <s v="2009-12-14T16:16:55.000Z"/>
    <x v="2"/>
    <x v="122"/>
    <s v="16:16:55"/>
    <x v="1"/>
    <s v="@TheToyotaBlog"/>
    <m/>
    <n v="0"/>
    <n v="0"/>
    <n v="0"/>
    <n v="0"/>
    <s v="No engagement"/>
    <x v="0"/>
    <b v="0"/>
    <b v="0"/>
    <x v="1"/>
  </r>
  <r>
    <s v="https://x.com/Toyota/status/6665844578"/>
    <s v="Toyota USA"/>
    <s v="@Toyota"/>
    <s v="@jimjfletcher Hi. Could you please contact the Toyota Customer Experience Center at 800-331-4331. That'd be the best place to start. ^SD"/>
    <s v="2009-12-14T16:20:23.000Z"/>
    <x v="2"/>
    <x v="122"/>
    <s v="16:20:23"/>
    <x v="1"/>
    <s v="@jimjfletcher"/>
    <m/>
    <n v="0"/>
    <n v="0"/>
    <n v="0"/>
    <n v="0"/>
    <s v="No engagement"/>
    <x v="0"/>
    <b v="0"/>
    <b v="0"/>
    <x v="1"/>
  </r>
  <r>
    <s v="https://x.com/Toyota/status/6666765185"/>
    <s v="Toyota USA"/>
    <s v="@Toyota"/>
    <s v="Toyota to Debut Dedicated Hybrid Concept at 2010 North American International Auto Show http://bit.ly/4JP2eQ #NAIAS ^SD"/>
    <s v="2009-12-14T16:54:10.000Z"/>
    <x v="2"/>
    <x v="122"/>
    <s v="16:54:10"/>
    <x v="1"/>
    <m/>
    <m/>
    <n v="0"/>
    <n v="0"/>
    <n v="7"/>
    <n v="7"/>
    <s v="Moderate engagement"/>
    <x v="0"/>
    <b v="0"/>
    <b v="1"/>
    <x v="0"/>
  </r>
  <r>
    <s v="https://x.com/Toyota/status/6700197187"/>
    <s v="Toyota USA"/>
    <s v="@Toyota"/>
    <s v="Check out the latest issue of the Toyota Environmental Update http://bit.ly/647gll ^AT"/>
    <s v="2009-12-15T16:16:14.000Z"/>
    <x v="2"/>
    <x v="123"/>
    <s v="16:16:14"/>
    <x v="1"/>
    <m/>
    <m/>
    <n v="0"/>
    <n v="0"/>
    <n v="3"/>
    <n v="3"/>
    <s v="Low engagement"/>
    <x v="0"/>
    <b v="0"/>
    <b v="1"/>
    <x v="0"/>
  </r>
  <r>
    <s v="https://x.com/Toyota/status/6783233113"/>
    <s v="Toyota USA"/>
    <s v="@Toyota"/>
    <s v="The #Lexus #LF-Ch is appearing (in public!) at an “undisclosed” location for a photo shoot on Sat.12/19. Stay tuned for the 411! ^DM"/>
    <s v="2009-12-18T02:24:46.000Z"/>
    <x v="2"/>
    <x v="124"/>
    <s v="02:24:46"/>
    <x v="2"/>
    <m/>
    <m/>
    <n v="0"/>
    <n v="0"/>
    <n v="2"/>
    <n v="2"/>
    <s v="Low engagement"/>
    <x v="0"/>
    <b v="0"/>
    <b v="0"/>
    <x v="1"/>
  </r>
  <r>
    <s v="https://x.com/Toyota/status/6803132984"/>
    <s v="Toyota USA"/>
    <s v="@Toyota"/>
    <s v="@gtariff Very nice ride! Love it. ^SD"/>
    <s v="2009-12-18T17:48:06.000Z"/>
    <x v="2"/>
    <x v="124"/>
    <s v="17:48:06"/>
    <x v="1"/>
    <s v="@gtariff"/>
    <m/>
    <n v="0"/>
    <n v="0"/>
    <n v="0"/>
    <n v="0"/>
    <s v="No engagement"/>
    <x v="0"/>
    <b v="0"/>
    <b v="0"/>
    <x v="1"/>
  </r>
  <r>
    <s v="https://x.com/Toyota/status/6803393866"/>
    <s v="Toyota USA"/>
    <s v="@Toyota"/>
    <s v="Reading @therealautoblog's First Drive: 2011 Toyota Sienna http://bit.ly/4GImIo ^SD"/>
    <s v="2009-12-18T17:57:29.000Z"/>
    <x v="2"/>
    <x v="124"/>
    <s v="17:57:29"/>
    <x v="1"/>
    <m/>
    <m/>
    <n v="0"/>
    <n v="0"/>
    <n v="3"/>
    <n v="3"/>
    <s v="Low engagement"/>
    <x v="0"/>
    <b v="0"/>
    <b v="1"/>
    <x v="0"/>
  </r>
  <r>
    <s v="https://x.com/Toyota/status/6812352837"/>
    <s v="Toyota USA"/>
    <s v="@Toyota"/>
    <s v="Come and check-out the #Lexus #LF-Ch for its first public appearance outside of the #laautoshow on 12/19. Stay tuned for location! ^DM"/>
    <s v="2009-12-18T23:40:09.000Z"/>
    <x v="2"/>
    <x v="124"/>
    <s v="23:40:09"/>
    <x v="0"/>
    <m/>
    <m/>
    <n v="0"/>
    <n v="0"/>
    <n v="0"/>
    <n v="0"/>
    <s v="No engagement"/>
    <x v="0"/>
    <b v="0"/>
    <b v="0"/>
    <x v="1"/>
  </r>
  <r>
    <s v="https://x.com/Toyota/status/6838790193"/>
    <s v="Toyota USA"/>
    <s v="@Toyota"/>
    <s v="It’s finally here! Tonight. The #Lexus #LF-Ch arrives for a photo shoot @HandHCenter http://www.hollywoodandhighland.com ^DM"/>
    <s v="2009-12-19T20:31:28.000Z"/>
    <x v="2"/>
    <x v="125"/>
    <s v="20:31:28"/>
    <x v="0"/>
    <m/>
    <m/>
    <n v="0"/>
    <n v="0"/>
    <n v="2"/>
    <n v="2"/>
    <s v="Low engagement"/>
    <x v="0"/>
    <b v="0"/>
    <b v="1"/>
    <x v="0"/>
  </r>
  <r>
    <s v="https://x.com/Toyota/status/6899873497"/>
    <s v="Toyota USA"/>
    <s v="@Toyota"/>
    <s v="New photos of the #Lexus #LF-Ch from 12/19 photo shoot @HandHCenter. Check ‘em out on this Flickr acct: http://tinyurl.com/y9ff54y ^DM"/>
    <s v="2009-12-21T17:38:54.000Z"/>
    <x v="2"/>
    <x v="126"/>
    <s v="17:38:54"/>
    <x v="1"/>
    <m/>
    <m/>
    <n v="0"/>
    <n v="0"/>
    <n v="1"/>
    <n v="1"/>
    <s v="Low engagement"/>
    <x v="0"/>
    <b v="0"/>
    <b v="1"/>
    <x v="0"/>
  </r>
  <r>
    <s v="https://x.com/Toyota/status/6907658705"/>
    <s v="Toyota USA"/>
    <s v="@Toyota"/>
    <s v="Updated Autoweek story on the all-new 2011 Toyota Sienna http://bit.ly/7lX5L2  ^DM"/>
    <s v="2009-12-21T22:35:20.000Z"/>
    <x v="2"/>
    <x v="126"/>
    <s v="22:35:20"/>
    <x v="0"/>
    <m/>
    <m/>
    <n v="0"/>
    <n v="0"/>
    <n v="1"/>
    <n v="1"/>
    <s v="Low engagement"/>
    <x v="0"/>
    <b v="0"/>
    <b v="1"/>
    <x v="0"/>
  </r>
  <r>
    <s v="https://x.com/Toyota/status/6910227880"/>
    <s v="Toyota USA"/>
    <s v="@Toyota"/>
    <s v="Check out the #Lexus #LF-Ch photo shoot video at Hollywood &amp; Highland http://bit.ly/7U1Kyk  ^DM"/>
    <s v="2009-12-22T00:04:35.000Z"/>
    <x v="2"/>
    <x v="127"/>
    <s v="00:04:35"/>
    <x v="2"/>
    <m/>
    <m/>
    <n v="0"/>
    <n v="0"/>
    <n v="2"/>
    <n v="2"/>
    <s v="Low engagement"/>
    <x v="0"/>
    <b v="0"/>
    <b v="1"/>
    <x v="0"/>
  </r>
  <r>
    <s v="https://x.com/Toyota/status/6948169213"/>
    <s v="Toyota USA"/>
    <s v="@Toyota"/>
    <s v="Watching the Toyota 4Runner surf video again http://bit.ly/4Dr5nX ^DM"/>
    <s v="2009-12-23T01:06:33.000Z"/>
    <x v="2"/>
    <x v="128"/>
    <s v="01:06:33"/>
    <x v="2"/>
    <m/>
    <m/>
    <n v="0"/>
    <n v="0"/>
    <n v="0"/>
    <n v="0"/>
    <s v="No engagement"/>
    <x v="0"/>
    <b v="0"/>
    <b v="1"/>
    <x v="0"/>
  </r>
  <r>
    <s v="https://x.com/Toyota/status/6976559127"/>
    <s v="Toyota USA"/>
    <s v="@Toyota"/>
    <s v="Setting the record straight:Toyota answers LA Times’ questions here http://bit.ly/6aRRGc"/>
    <s v="2009-12-23T21:04:39.000Z"/>
    <x v="2"/>
    <x v="128"/>
    <s v="21:04:39"/>
    <x v="0"/>
    <m/>
    <m/>
    <n v="1"/>
    <n v="0"/>
    <n v="2"/>
    <n v="3"/>
    <s v="Low engagement"/>
    <x v="0"/>
    <b v="0"/>
    <b v="1"/>
    <x v="0"/>
  </r>
  <r>
    <s v="https://x.com/Toyota/status/6982594216"/>
    <s v="Toyota USA"/>
    <s v="@Toyota"/>
    <s v="Hi there @Rschoenb - I checked the link and it seems to be working. Can you try it again? http://bit.ly/6aRRGc"/>
    <s v="2009-12-24T00:55:38.000Z"/>
    <x v="2"/>
    <x v="129"/>
    <s v="00:55:38"/>
    <x v="2"/>
    <m/>
    <m/>
    <n v="0"/>
    <n v="0"/>
    <n v="0"/>
    <n v="0"/>
    <s v="No engagement"/>
    <x v="0"/>
    <b v="0"/>
    <b v="1"/>
    <x v="0"/>
  </r>
  <r>
    <s v="https://x.com/Toyota/status/6982631883"/>
    <s v="Toyota USA"/>
    <s v="@Toyota"/>
    <s v="RT@RyanTronovitch:My @Toyota Camry is finally down and out. It was a 1998 and was a great 12 years.Will never buy anything other thn Toyota"/>
    <s v="2009-12-24T00:57:04.000Z"/>
    <x v="2"/>
    <x v="129"/>
    <s v="00:57:04"/>
    <x v="2"/>
    <m/>
    <m/>
    <n v="0"/>
    <n v="0"/>
    <n v="0"/>
    <n v="0"/>
    <s v="No engagement"/>
    <x v="0"/>
    <b v="0"/>
    <b v="0"/>
    <x v="1"/>
  </r>
  <r>
    <s v="https://x.com/Toyota/status/6983745895"/>
    <s v="Toyota USA"/>
    <s v="@Toyota"/>
    <s v="Hi @RyanTronovitch - thanks for the tweet &amp; glad to hear about the good experience. : ) Denise"/>
    <s v="2009-12-24T01:39:18.000Z"/>
    <x v="2"/>
    <x v="129"/>
    <s v="01:39:18"/>
    <x v="2"/>
    <m/>
    <m/>
    <n v="0"/>
    <n v="0"/>
    <n v="0"/>
    <n v="0"/>
    <s v="No engagement"/>
    <x v="0"/>
    <b v="0"/>
    <b v="0"/>
    <x v="1"/>
  </r>
  <r>
    <s v="https://x.com/Toyota/status/7383650920"/>
    <s v="Toyota USA"/>
    <s v="@Toyota"/>
    <s v="@akadaf Checkin on the website... For account holders, they can call 800-874-8822, M-F, 8am to 8pm ^SD"/>
    <s v="2010-01-04T23:50:26.000Z"/>
    <x v="2"/>
    <x v="130"/>
    <s v="23:50:26"/>
    <x v="0"/>
    <s v="@akadaf"/>
    <m/>
    <n v="0"/>
    <n v="0"/>
    <n v="0"/>
    <n v="0"/>
    <s v="No engagement"/>
    <x v="0"/>
    <b v="0"/>
    <b v="0"/>
    <x v="1"/>
  </r>
  <r>
    <s v="https://x.com/Toyota/status/7412082841"/>
    <s v="Toyota USA"/>
    <s v="@Toyota"/>
    <s v="@trackwrex Hi Rex. No news to report on Avalon at this time. Stay tuned. ^SD"/>
    <s v="2010-01-05T19:08:31.000Z"/>
    <x v="2"/>
    <x v="131"/>
    <s v="19:08:31"/>
    <x v="0"/>
    <s v="@trackwrex"/>
    <m/>
    <n v="0"/>
    <n v="0"/>
    <n v="0"/>
    <n v="0"/>
    <s v="No engagement"/>
    <x v="0"/>
    <b v="0"/>
    <b v="0"/>
    <x v="1"/>
  </r>
  <r>
    <s v="https://x.com/Toyota/status/7412485323"/>
    <s v="Toyota USA"/>
    <s v="@Toyota"/>
    <s v="Hi April. I don't have any info. regarding this service. Please contact our Customer Experience Center (Phone: 800-331-4331) ^SD"/>
    <s v="2010-01-05T19:23:03.000Z"/>
    <x v="2"/>
    <x v="131"/>
    <s v="19:23:03"/>
    <x v="0"/>
    <m/>
    <m/>
    <n v="0"/>
    <n v="0"/>
    <n v="0"/>
    <n v="0"/>
    <s v="No engagement"/>
    <x v="0"/>
    <b v="0"/>
    <b v="0"/>
    <x v="1"/>
  </r>
  <r>
    <s v="https://x.com/Toyota/status/7413307949"/>
    <s v="Toyota USA"/>
    <s v="@Toyota"/>
    <s v="Toyota Reports December and 2009 Sales: http://bit.ly/592knF ^SM"/>
    <s v="2010-01-05T19:52:43.000Z"/>
    <x v="2"/>
    <x v="131"/>
    <s v="19:52:43"/>
    <x v="0"/>
    <m/>
    <m/>
    <n v="0"/>
    <n v="0"/>
    <n v="8"/>
    <n v="8"/>
    <s v="Moderate engagement"/>
    <x v="0"/>
    <b v="0"/>
    <b v="1"/>
    <x v="0"/>
  </r>
  <r>
    <s v="https://x.com/Toyota/status/7540916652"/>
    <s v="Toyota USA"/>
    <s v="@Toyota"/>
    <s v="Watch @toyota on Monday morning for news from #NAIAS including the debut of a dedicated hybrid concept. ^AT"/>
    <s v="2010-01-09T01:44:27.000Z"/>
    <x v="2"/>
    <x v="132"/>
    <s v="01:44:27"/>
    <x v="2"/>
    <m/>
    <m/>
    <n v="0"/>
    <n v="0"/>
    <n v="1"/>
    <n v="1"/>
    <s v="Low engagement"/>
    <x v="0"/>
    <b v="0"/>
    <b v="0"/>
    <x v="1"/>
  </r>
  <r>
    <s v="https://x.com/Toyota/status/7632159889"/>
    <s v="Toyota USA"/>
    <s v="@Toyota"/>
    <s v="Early this decade, Toyota will launch 8 all-new hybrid models that will not include next-gen versions of current hybrids. #NAIAS"/>
    <s v="2010-01-11T15:08:48.000Z"/>
    <x v="2"/>
    <x v="133"/>
    <s v="15:08:48"/>
    <x v="1"/>
    <m/>
    <m/>
    <n v="1"/>
    <n v="0"/>
    <n v="5"/>
    <n v="6"/>
    <s v="Moderate engagement"/>
    <x v="0"/>
    <b v="0"/>
    <b v="0"/>
    <x v="1"/>
  </r>
  <r>
    <s v="https://x.com/Toyota/status/7632428923"/>
    <s v="Toyota USA"/>
    <s v="@Toyota"/>
    <s v="Check out the Toyota FT-CH compact hybrid concept. http://www.twitpic.com/xo31t http://www.twitpic.com/xo358 #NAIAS"/>
    <s v="2010-01-11T15:17:26.000Z"/>
    <x v="2"/>
    <x v="133"/>
    <s v="15:17:26"/>
    <x v="1"/>
    <m/>
    <m/>
    <n v="0"/>
    <n v="0"/>
    <n v="4"/>
    <n v="4"/>
    <s v="Low engagement"/>
    <x v="0"/>
    <b v="0"/>
    <b v="1"/>
    <x v="0"/>
  </r>
  <r>
    <s v="https://x.com/Toyota/status/7632551378"/>
    <s v="Toyota USA"/>
    <s v="@Toyota"/>
    <s v="Toyota developing “Prius family” marketing strategy for N. America. It’s still taking shape &amp; will require additional models. #NAIAS"/>
    <s v="2010-01-11T15:21:22.000Z"/>
    <x v="2"/>
    <x v="133"/>
    <s v="15:21:22"/>
    <x v="1"/>
    <m/>
    <m/>
    <n v="0"/>
    <n v="0"/>
    <n v="3"/>
    <n v="3"/>
    <s v="Low engagement"/>
    <x v="0"/>
    <b v="0"/>
    <b v="0"/>
    <x v="1"/>
  </r>
  <r>
    <s v="https://x.com/Toyota/status/7632563055"/>
    <s v="Toyota USA"/>
    <s v="@Toyota"/>
    <s v="The FT-CH compact hybrid concept, among others, is a vehicle Toyota is considering for the Prius Family strategy. #NAIAS"/>
    <s v="2010-01-11T15:21:45.000Z"/>
    <x v="2"/>
    <x v="133"/>
    <s v="15:21:45"/>
    <x v="1"/>
    <m/>
    <m/>
    <n v="0"/>
    <n v="0"/>
    <n v="2"/>
    <n v="2"/>
    <s v="Low engagement"/>
    <x v="0"/>
    <b v="0"/>
    <b v="0"/>
    <x v="1"/>
  </r>
  <r>
    <s v="https://x.com/Toyota/status/7632595668"/>
    <s v="Toyota USA"/>
    <s v="@Toyota"/>
    <s v="Visit www.SustainableMobility.com for info on adv technology vehicles including today’s speech, releases, images &amp; video. #NAIAS"/>
    <s v="2010-01-11T15:22:50.000Z"/>
    <x v="2"/>
    <x v="133"/>
    <s v="15:22:50"/>
    <x v="1"/>
    <m/>
    <m/>
    <n v="0"/>
    <n v="0"/>
    <n v="4"/>
    <n v="4"/>
    <s v="Low engagement"/>
    <x v="0"/>
    <b v="0"/>
    <b v="1"/>
    <x v="0"/>
  </r>
  <r>
    <s v="https://x.com/Toyota/status/7632792392"/>
    <s v="Toyota USA"/>
    <s v="@Toyota"/>
    <s v="Toyota Debuts New Auto Access Seat for Third-Gen 2011 Sienna #NAIAS http://bit.ly/4JDvOA"/>
    <s v="2010-01-11T15:29:13.000Z"/>
    <x v="2"/>
    <x v="133"/>
    <s v="15:29:13"/>
    <x v="1"/>
    <m/>
    <m/>
    <n v="0"/>
    <n v="0"/>
    <n v="3"/>
    <n v="3"/>
    <s v="Low engagement"/>
    <x v="0"/>
    <b v="0"/>
    <b v="1"/>
    <x v="0"/>
  </r>
  <r>
    <s v="https://x.com/Toyota/status/7633217726"/>
    <s v="Toyota USA"/>
    <s v="@Toyota"/>
    <s v="For other news/info. coming out of the 2010 Detroit Auto Show...visit www.toyotanewsroom.com #NAIAS ^SD"/>
    <s v="2010-01-11T15:42:52.000Z"/>
    <x v="2"/>
    <x v="133"/>
    <s v="15:42:52"/>
    <x v="1"/>
    <m/>
    <m/>
    <n v="0"/>
    <n v="0"/>
    <n v="4"/>
    <n v="4"/>
    <s v="Low engagement"/>
    <x v="0"/>
    <b v="0"/>
    <b v="1"/>
    <x v="0"/>
  </r>
  <r>
    <s v="https://x.com/Toyota/status/7635600503"/>
    <s v="Toyota USA"/>
    <s v="@Toyota"/>
    <s v="FT-CH Compact Hybrid Concept video from 2010 #NAIAS. http://bit.ly/8W6nVr  Visit http://www.SustainableMobility.com ^DM"/>
    <s v="2010-01-11T17:00:18.000Z"/>
    <x v="2"/>
    <x v="133"/>
    <s v="17:00:18"/>
    <x v="1"/>
    <m/>
    <m/>
    <n v="0"/>
    <n v="0"/>
    <n v="3"/>
    <n v="3"/>
    <s v="Low engagement"/>
    <x v="0"/>
    <b v="0"/>
    <b v="1"/>
    <x v="0"/>
  </r>
  <r>
    <s v="https://x.com/Toyota/status/7645656399"/>
    <s v="Toyota USA"/>
    <s v="@Toyota"/>
    <s v="Vid: Toyota reveals FT-CH hybrid concept at 2010 Detroit Auto Show - Highlights now on YouTube http://bit.ly/8iSU4A #NAIAS ^DM"/>
    <s v="2010-01-11T22:35:01.000Z"/>
    <x v="2"/>
    <x v="133"/>
    <s v="22:35:01"/>
    <x v="0"/>
    <m/>
    <m/>
    <n v="1"/>
    <n v="0"/>
    <n v="8"/>
    <n v="9"/>
    <s v="Moderate engagement"/>
    <x v="0"/>
    <b v="0"/>
    <b v="1"/>
    <x v="0"/>
  </r>
  <r>
    <s v="https://x.com/Toyota/status/7645883581"/>
    <s v="Toyota USA"/>
    <s v="@Toyota"/>
    <s v="@TheToyotaBlog Hi there: great question - we're talking about doing an online q&amp;a w/ FT-CH designers. Stay tuned! ^DM"/>
    <s v="2010-01-11T22:42:04.000Z"/>
    <x v="2"/>
    <x v="133"/>
    <s v="22:42:04"/>
    <x v="0"/>
    <s v="@TheToyotaBlog"/>
    <m/>
    <n v="0"/>
    <n v="0"/>
    <n v="1"/>
    <n v="1"/>
    <s v="Low engagement"/>
    <x v="0"/>
    <b v="0"/>
    <b v="0"/>
    <x v="1"/>
  </r>
  <r>
    <s v="https://x.com/Toyota/status/7690886164"/>
    <s v="Toyota USA"/>
    <s v="@Toyota"/>
    <s v="TMS Chairman and CEO gives outlook for Toyota in 2010 and beyond at Automotive News World Congress http://bit.ly/6obY9k ^SD"/>
    <s v="2010-01-13T01:09:11.000Z"/>
    <x v="2"/>
    <x v="134"/>
    <s v="01:09:11"/>
    <x v="2"/>
    <m/>
    <m/>
    <n v="2"/>
    <n v="0"/>
    <n v="5"/>
    <n v="7"/>
    <s v="Moderate engagement"/>
    <x v="0"/>
    <b v="0"/>
    <b v="1"/>
    <x v="0"/>
  </r>
  <r>
    <s v="https://x.com/Toyota/status/7728545998"/>
    <s v="Toyota USA"/>
    <s v="@Toyota"/>
    <s v="Vid:Toyota 4Runner-From Rubicon to Baja: Ivan Stewart #Baja1000 Journal  http://bit.ly/6sfKR4 ^DM"/>
    <s v="2010-01-14T00:36:59.000Z"/>
    <x v="2"/>
    <x v="135"/>
    <s v="00:36:59"/>
    <x v="2"/>
    <m/>
    <m/>
    <n v="1"/>
    <n v="0"/>
    <n v="3"/>
    <n v="4"/>
    <s v="Low engagement"/>
    <x v="0"/>
    <b v="0"/>
    <b v="1"/>
    <x v="0"/>
  </r>
  <r>
    <s v="https://x.com/Toyota/status/7758903928"/>
    <s v="Toyota USA"/>
    <s v="@Toyota"/>
    <s v="Video: Take a look at a recap of what Kyle Busch was able to accomplish in 2009.  http://bit.ly/5iCmn0 #toyotaracing #toyota"/>
    <s v="2010-01-14T19:41:55.000Z"/>
    <x v="2"/>
    <x v="135"/>
    <s v="19:41:55"/>
    <x v="0"/>
    <m/>
    <m/>
    <n v="0"/>
    <n v="0"/>
    <n v="5"/>
    <n v="5"/>
    <s v="Moderate engagement"/>
    <x v="0"/>
    <b v="0"/>
    <b v="1"/>
    <x v="0"/>
  </r>
  <r>
    <s v="https://x.com/Toyota/status/7796151748"/>
    <s v="Toyota USA"/>
    <s v="@Toyota"/>
    <s v="Polk Announces 2009 Model Year Automotive Loyalty Award Winners http://bit.ly/7UB8l4 #Toyota #Lexus"/>
    <s v="2010-01-15T18:03:07.000Z"/>
    <x v="2"/>
    <x v="136"/>
    <s v="18:03:07"/>
    <x v="0"/>
    <m/>
    <m/>
    <n v="0"/>
    <n v="0"/>
    <n v="4"/>
    <n v="4"/>
    <s v="Low engagement"/>
    <x v="0"/>
    <b v="0"/>
    <b v="1"/>
    <x v="0"/>
  </r>
  <r>
    <s v="https://x.com/Toyota/status/7806565001"/>
    <s v="Toyota USA"/>
    <s v="@Toyota"/>
    <s v="RT @danieljackson8 I never thought I would say this but I love my wife's @Toyota Sienna! Pretty cool #MINIVAN ! (I won't tell anyone! ^SD)"/>
    <s v="2010-01-15T23:41:03.000Z"/>
    <x v="2"/>
    <x v="136"/>
    <s v="23:41:03"/>
    <x v="0"/>
    <m/>
    <m/>
    <n v="0"/>
    <n v="0"/>
    <n v="0"/>
    <n v="0"/>
    <s v="No engagement"/>
    <x v="0"/>
    <b v="0"/>
    <b v="0"/>
    <x v="1"/>
  </r>
  <r>
    <s v="https://x.com/Toyota/status/7809677255"/>
    <s v="Toyota USA"/>
    <s v="@Toyota"/>
    <s v="Detroit News Reader's Choice Awards: Grooviest Car goes to Customized Scion xBs http://bit.ly/92Fyk6"/>
    <s v="2010-01-16T01:23:32.000Z"/>
    <x v="2"/>
    <x v="137"/>
    <s v="01:23:32"/>
    <x v="2"/>
    <m/>
    <m/>
    <n v="0"/>
    <n v="0"/>
    <n v="1"/>
    <n v="1"/>
    <s v="Low engagement"/>
    <x v="0"/>
    <b v="0"/>
    <b v="1"/>
    <x v="0"/>
  </r>
  <r>
    <s v="https://x.com/Toyota/status/7964427094"/>
    <s v="Toyota USA"/>
    <s v="@Toyota"/>
    <s v="@Pistachio @concern Toyota is ready to donate vehicles to help w/ relief in Haiti.  Working w/ Red Cross to determine needs and logistics."/>
    <s v="2010-01-19T23:34:37.000Z"/>
    <x v="2"/>
    <x v="138"/>
    <s v="23:34:37"/>
    <x v="0"/>
    <s v="@Pistachio"/>
    <m/>
    <n v="0"/>
    <n v="0"/>
    <n v="0"/>
    <n v="0"/>
    <s v="No engagement"/>
    <x v="0"/>
    <b v="0"/>
    <b v="0"/>
    <x v="1"/>
  </r>
  <r>
    <s v="https://x.com/Toyota/status/7990550592"/>
    <s v="Toyota USA"/>
    <s v="@Toyota"/>
    <s v="@kulpreetsingh Hi there.  Here's the official info. from Toyota Canada: http://bit.ly/6b6kWN ^SD"/>
    <s v="2010-01-20T16:12:50.000Z"/>
    <x v="2"/>
    <x v="139"/>
    <s v="16:12:50"/>
    <x v="1"/>
    <s v="@kulpreetsingh"/>
    <m/>
    <n v="0"/>
    <n v="0"/>
    <n v="0"/>
    <n v="0"/>
    <s v="No engagement"/>
    <x v="0"/>
    <b v="0"/>
    <b v="1"/>
    <x v="0"/>
  </r>
  <r>
    <s v="https://x.com/Toyota/status/7990902208"/>
    <s v="Toyota USA"/>
    <s v="@Toyota"/>
    <s v="@MyanRoser Hi Ryan. No. Prius' electronically controlled continuously variable transmission (ECVT) is standard = better mpg. ^SD"/>
    <s v="2010-01-20T16:23:30.000Z"/>
    <x v="2"/>
    <x v="139"/>
    <s v="16:23:30"/>
    <x v="1"/>
    <s v="@ryanmoser"/>
    <m/>
    <n v="0"/>
    <n v="0"/>
    <n v="0"/>
    <n v="0"/>
    <s v="No engagement"/>
    <x v="0"/>
    <b v="0"/>
    <b v="0"/>
    <x v="1"/>
  </r>
  <r>
    <s v="https://x.com/Toyota/status/7991133836"/>
    <s v="Toyota USA"/>
    <s v="@Toyota"/>
    <s v="@blondedawn Hi Dawn.  Here's a link to more background info. and demos for the FJ Cruiser: http://bit.ly/4MzNGb ^SD"/>
    <s v="2010-01-20T16:30:30.000Z"/>
    <x v="2"/>
    <x v="139"/>
    <s v="16:30:30"/>
    <x v="1"/>
    <s v="@blondedawn"/>
    <m/>
    <n v="0"/>
    <n v="0"/>
    <n v="0"/>
    <n v="0"/>
    <s v="No engagement"/>
    <x v="0"/>
    <b v="0"/>
    <b v="1"/>
    <x v="0"/>
  </r>
  <r>
    <s v="https://x.com/Toyota/status/8041963012"/>
    <s v="Toyota USA"/>
    <s v="@Toyota"/>
    <s v="NEWS: Toyota files voluntary safety recall on select Toyota Division vehicles for sticking accelerator pedal http://bit.ly/7uRDv6"/>
    <s v="2010-01-21T21:19:39.000Z"/>
    <x v="3"/>
    <x v="140"/>
    <s v="21:19:39"/>
    <x v="0"/>
    <m/>
    <m/>
    <n v="0"/>
    <n v="0"/>
    <n v="16"/>
    <n v="16"/>
    <s v="High engagement"/>
    <x v="0"/>
    <b v="0"/>
    <b v="1"/>
    <x v="0"/>
  </r>
  <r>
    <s v="https://x.com/Toyota/status/8076072377"/>
    <s v="Toyota USA"/>
    <s v="@Toyota"/>
    <s v="@momwifewoman Please see the news release for that information: http://bit.ly/7uRDv6 Thanks."/>
    <s v="2010-01-22T16:52:45.000Z"/>
    <x v="3"/>
    <x v="141"/>
    <s v="16:52:45"/>
    <x v="1"/>
    <s v="@txfreedomchick"/>
    <m/>
    <n v="0"/>
    <n v="0"/>
    <n v="0"/>
    <n v="0"/>
    <s v="No engagement"/>
    <x v="0"/>
    <b v="0"/>
    <b v="1"/>
    <x v="0"/>
  </r>
  <r>
    <s v="https://x.com/Toyota/status/8079013905"/>
    <s v="Toyota USA"/>
    <s v="@Toyota"/>
    <s v="@armrivas77 It's for North America. Thanks."/>
    <s v="2010-01-22T18:17:54.000Z"/>
    <x v="3"/>
    <x v="141"/>
    <s v="18:17:54"/>
    <x v="0"/>
    <s v="@El_Rivas"/>
    <m/>
    <n v="0"/>
    <n v="0"/>
    <n v="0"/>
    <n v="0"/>
    <s v="No engagement"/>
    <x v="0"/>
    <b v="0"/>
    <b v="0"/>
    <x v="1"/>
  </r>
  <r>
    <s v="https://x.com/Toyota/status/8089141226"/>
    <s v="Toyota USA"/>
    <s v="@Toyota"/>
    <s v="We realize and apologize that our phone lines are very busy. We've just posted a FAQ page here: http://bit.ly/5mMT7c ^SD"/>
    <s v="2010-01-22T23:33:34.000Z"/>
    <x v="3"/>
    <x v="141"/>
    <s v="23:33:34"/>
    <x v="0"/>
    <m/>
    <m/>
    <n v="0"/>
    <n v="0"/>
    <n v="4"/>
    <n v="4"/>
    <s v="Low engagement"/>
    <x v="0"/>
    <b v="0"/>
    <b v="1"/>
    <x v="0"/>
  </r>
  <r>
    <s v="https://x.com/Toyota/status/8197257884"/>
    <s v="Toyota USA"/>
    <s v="@Toyota"/>
    <s v="@Eileenabeana Camry hybrids not affected by this. http://bit.ly/7uRDv6 ^SD"/>
    <s v="2010-01-25T16:19:26.000Z"/>
    <x v="3"/>
    <x v="142"/>
    <s v="16:19:26"/>
    <x v="1"/>
    <s v="@EMG612"/>
    <m/>
    <n v="0"/>
    <n v="0"/>
    <n v="0"/>
    <n v="0"/>
    <s v="No engagement"/>
    <x v="0"/>
    <b v="0"/>
    <b v="1"/>
    <x v="0"/>
  </r>
  <r>
    <s v="https://x.com/Toyota/status/8200390448"/>
    <s v="Toyota USA"/>
    <s v="@Toyota"/>
    <s v="@travisdj Hey Travis...go here to view pricing: http://bit.ly/7rufIs ^SD"/>
    <s v="2010-01-25T17:49:38.000Z"/>
    <x v="3"/>
    <x v="142"/>
    <s v="17:49:38"/>
    <x v="1"/>
    <m/>
    <m/>
    <n v="0"/>
    <n v="0"/>
    <n v="0"/>
    <n v="0"/>
    <s v="No engagement"/>
    <x v="0"/>
    <b v="0"/>
    <b v="1"/>
    <x v="0"/>
  </r>
  <r>
    <s v="https://x.com/Toyota/status/8247041723"/>
    <s v="Toyota USA"/>
    <s v="@Toyota"/>
    <s v="@vmcmurch What building are you at? ^SD"/>
    <s v="2010-01-26T19:21:47.000Z"/>
    <x v="3"/>
    <x v="143"/>
    <s v="19:21:47"/>
    <x v="0"/>
    <m/>
    <m/>
    <n v="0"/>
    <n v="0"/>
    <n v="0"/>
    <n v="0"/>
    <s v="No engagement"/>
    <x v="0"/>
    <b v="0"/>
    <b v="0"/>
    <x v="1"/>
  </r>
  <r>
    <s v="https://x.com/Toyota/status/8253598478"/>
    <s v="Toyota USA"/>
    <s v="@Toyota"/>
    <s v="Toyota Temporarily Suspends Sales of Selected Vehicles http://bit.ly/PYAwH ^AT"/>
    <s v="2010-01-26T22:36:21.000Z"/>
    <x v="3"/>
    <x v="143"/>
    <s v="22:36:21"/>
    <x v="0"/>
    <m/>
    <m/>
    <n v="0"/>
    <n v="0"/>
    <n v="19"/>
    <n v="19"/>
    <s v="High engagement"/>
    <x v="0"/>
    <b v="0"/>
    <b v="1"/>
    <x v="0"/>
  </r>
  <r>
    <s v="https://x.com/Toyota/status/8265394198"/>
    <s v="Toyota USA"/>
    <s v="@Toyota"/>
    <s v="@caramelbeauty2 Please take a look at the FAQ's about the Sticking Pedal Recall for the answers to your questions http://bit.ly/8Bcp5e ^AT"/>
    <s v="2010-01-27T04:03:12.000Z"/>
    <x v="3"/>
    <x v="144"/>
    <s v="04:03:12"/>
    <x v="2"/>
    <s v="@MsMontreall"/>
    <m/>
    <n v="1"/>
    <n v="0"/>
    <n v="0"/>
    <n v="1"/>
    <s v="Low engagement"/>
    <x v="0"/>
    <b v="0"/>
    <b v="1"/>
    <x v="0"/>
  </r>
  <r>
    <s v="https://x.com/Toyota/status/8286222125"/>
    <s v="Toyota USA"/>
    <s v="@Toyota"/>
    <s v="If you are an owner of an affected vehicles, please take a look at the FAQ's about Sticking Pedal Recall http://bit.ly/8Bcp5e"/>
    <s v="2010-01-27T17:09:12.000Z"/>
    <x v="3"/>
    <x v="144"/>
    <s v="17:09:12"/>
    <x v="1"/>
    <m/>
    <m/>
    <n v="1"/>
    <n v="0"/>
    <n v="8"/>
    <n v="9"/>
    <s v="Moderate engagement"/>
    <x v="0"/>
    <b v="0"/>
    <b v="1"/>
    <x v="0"/>
  </r>
  <r>
    <s v="https://x.com/Toyota/status/8294793203"/>
    <s v="Toyota USA"/>
    <s v="@Toyota"/>
    <s v="In an effort to keep our customers updated, we've posted an updated FAQ about Sticking Pedal Recall http://bit.ly/7uRDv6"/>
    <s v="2010-01-27T21:18:09.000Z"/>
    <x v="3"/>
    <x v="144"/>
    <s v="21:18:09"/>
    <x v="0"/>
    <m/>
    <m/>
    <n v="2"/>
    <n v="0"/>
    <n v="25"/>
    <n v="27"/>
    <s v="High engagement"/>
    <x v="0"/>
    <b v="0"/>
    <b v="1"/>
    <x v="0"/>
  </r>
  <r>
    <s v="https://x.com/Toyota/status/8346883104"/>
    <s v="Toyota USA"/>
    <s v="@Toyota"/>
    <s v="Latest Update: Toyota testing remedies http://bit.ly/9yZUt1"/>
    <s v="2010-01-29T01:12:13.000Z"/>
    <x v="3"/>
    <x v="145"/>
    <s v="01:12:13"/>
    <x v="2"/>
    <m/>
    <m/>
    <n v="0"/>
    <n v="0"/>
    <n v="12"/>
    <n v="12"/>
    <s v="High engagement"/>
    <x v="0"/>
    <b v="0"/>
    <b v="1"/>
    <x v="0"/>
  </r>
  <r>
    <s v="https://x.com/Toyota/status/8347780372"/>
    <s v="Toyota USA"/>
    <s v="@Toyota"/>
    <s v="@Thirteen11 Here's the latest statement http://bit.ly/9yZUt1"/>
    <s v="2010-01-29T01:36:45.000Z"/>
    <x v="3"/>
    <x v="145"/>
    <s v="01:36:45"/>
    <x v="2"/>
    <s v="@AliCollette"/>
    <m/>
    <n v="0"/>
    <n v="0"/>
    <n v="2"/>
    <n v="2"/>
    <s v="Low engagement"/>
    <x v="0"/>
    <b v="0"/>
    <b v="1"/>
    <x v="0"/>
  </r>
  <r>
    <s v="https://x.com/Toyota/status/8349512149"/>
    <s v="Toyota USA"/>
    <s v="@Toyota"/>
    <s v="Hi @bkpatt check out the updated FAQ - 3 graphs down from the headline. http://bit.ly/a4pgqG  ^DM"/>
    <s v="2010-01-29T02:23:37.000Z"/>
    <x v="3"/>
    <x v="145"/>
    <s v="02:23:37"/>
    <x v="2"/>
    <m/>
    <m/>
    <n v="1"/>
    <n v="0"/>
    <n v="1"/>
    <n v="2"/>
    <s v="Low engagement"/>
    <x v="0"/>
    <b v="0"/>
    <b v="1"/>
    <x v="0"/>
  </r>
  <r>
    <s v="https://x.com/Toyota/status/8349536959"/>
    <s v="Toyota USA"/>
    <s v="@Toyota"/>
    <s v="@JapanFlorist Thanks! Nice to hear. : ) ^DM"/>
    <s v="2010-01-29T02:24:18.000Z"/>
    <x v="3"/>
    <x v="145"/>
    <s v="02:24:18"/>
    <x v="2"/>
    <s v="@JapanFlorist"/>
    <m/>
    <n v="0"/>
    <n v="0"/>
    <n v="0"/>
    <n v="0"/>
    <s v="No engagement"/>
    <x v="0"/>
    <b v="0"/>
    <b v="0"/>
    <x v="1"/>
  </r>
  <r>
    <s v="https://x.com/Toyota/status/8349621981"/>
    <s v="Toyota USA"/>
    <s v="@Toyota"/>
    <s v="Hi @caramelbeauty2 Check out the newly updated FAQ - it may answer some questions http://bit.ly/a4pgqG ^DM"/>
    <s v="2010-01-29T02:26:36.000Z"/>
    <x v="3"/>
    <x v="145"/>
    <s v="02:26:36"/>
    <x v="2"/>
    <m/>
    <m/>
    <n v="2"/>
    <n v="0"/>
    <n v="3"/>
    <n v="5"/>
    <s v="Moderate engagement"/>
    <x v="0"/>
    <b v="0"/>
    <b v="1"/>
    <x v="0"/>
  </r>
  <r>
    <s v="https://x.com/Toyota/status/8385776870"/>
    <s v="Toyota USA"/>
    <s v="@Toyota"/>
    <s v="We answer some questions that we see you're asking about the sticking accelerator pedal recall. http://bit.ly/aNrCwF"/>
    <s v="2010-01-29T22:00:37.000Z"/>
    <x v="3"/>
    <x v="145"/>
    <s v="22:00:37"/>
    <x v="0"/>
    <m/>
    <m/>
    <n v="2"/>
    <n v="0"/>
    <n v="8"/>
    <n v="10"/>
    <s v="High engagement"/>
    <x v="0"/>
    <b v="0"/>
    <b v="1"/>
    <x v="0"/>
  </r>
  <r>
    <s v="https://x.com/Toyota/status/8387130518"/>
    <s v="Toyota USA"/>
    <s v="@Toyota"/>
    <s v="@Rich_Wall Camry, RAV 4, Corolla and Highlander vehicles w/ VINs that begin with &quot;J&quot; aren't affected by the sticking pedal recall."/>
    <s v="2010-01-29T22:39:32.000Z"/>
    <x v="3"/>
    <x v="145"/>
    <s v="22:39:32"/>
    <x v="0"/>
    <s v="@Rich_Wall"/>
    <m/>
    <n v="0"/>
    <n v="0"/>
    <n v="0"/>
    <n v="0"/>
    <s v="No engagement"/>
    <x v="0"/>
    <b v="0"/>
    <b v="0"/>
    <x v="1"/>
  </r>
  <r>
    <s v="https://x.com/Toyota/status/8388555633"/>
    <s v="Toyota USA"/>
    <s v="@Toyota"/>
    <s v="Toyota response to AP story: statement on Toyota fix http://bit.ly/9yZUt1 ^DM"/>
    <s v="2010-01-29T23:21:12.000Z"/>
    <x v="3"/>
    <x v="145"/>
    <s v="23:21:12"/>
    <x v="0"/>
    <m/>
    <m/>
    <n v="1"/>
    <n v="0"/>
    <n v="5"/>
    <n v="6"/>
    <s v="Moderate engagement"/>
    <x v="0"/>
    <b v="0"/>
    <b v="1"/>
    <x v="0"/>
  </r>
  <r>
    <s v="https://x.com/Toyota/status/8391980792"/>
    <s v="Toyota USA"/>
    <s v="@Toyota"/>
    <s v="@MickiMaynard &amp; @nickbunkley Thanks ; )"/>
    <s v="2010-01-30T01:01:02.000Z"/>
    <x v="3"/>
    <x v="146"/>
    <s v="01:01:02"/>
    <x v="2"/>
    <m/>
    <m/>
    <n v="0"/>
    <n v="0"/>
    <n v="1"/>
    <n v="1"/>
    <s v="Low engagement"/>
    <x v="0"/>
    <b v="0"/>
    <b v="0"/>
    <x v="1"/>
  </r>
  <r>
    <s v="https://x.com/Toyota/status/8427702373"/>
    <s v="Toyota USA"/>
    <s v="@Toyota"/>
    <s v="See up-to-date list of affected vehicles &amp; more recall info on Toyota's website. www.toyota.com/recall  ^DM"/>
    <s v="2010-01-30T22:37:17.000Z"/>
    <x v="3"/>
    <x v="146"/>
    <s v="22:37:17"/>
    <x v="0"/>
    <m/>
    <m/>
    <n v="1"/>
    <n v="0"/>
    <n v="9"/>
    <n v="10"/>
    <s v="High engagement"/>
    <x v="0"/>
    <b v="0"/>
    <b v="1"/>
    <x v="0"/>
  </r>
  <r>
    <s v="https://x.com/Toyota/status/8427851466"/>
    <s v="Toyota USA"/>
    <s v="@Toyota"/>
    <s v="@quickwit21 pls go to the website to see a list of affected vehicles www.toyota.com/recall ^DM"/>
    <s v="2010-01-30T22:42:08.000Z"/>
    <x v="3"/>
    <x v="146"/>
    <s v="22:42:08"/>
    <x v="0"/>
    <m/>
    <m/>
    <n v="0"/>
    <n v="0"/>
    <n v="0"/>
    <n v="0"/>
    <s v="No engagement"/>
    <x v="0"/>
    <b v="0"/>
    <b v="1"/>
    <x v="0"/>
  </r>
  <r>
    <s v="https://x.com/Toyota/status/8427966910"/>
    <s v="Toyota USA"/>
    <s v="@Toyota"/>
    <s v="@renzoferrer @pairaces @andsolifebegins @mrshmrsh Thanks y gracias for the RT, kind words! Trying to get message out ^DM"/>
    <s v="2010-01-30T22:45:53.000Z"/>
    <x v="3"/>
    <x v="146"/>
    <s v="22:45:53"/>
    <x v="0"/>
    <s v="@renzoferrer"/>
    <m/>
    <n v="0"/>
    <n v="0"/>
    <n v="0"/>
    <n v="0"/>
    <s v="No engagement"/>
    <x v="0"/>
    <b v="0"/>
    <b v="0"/>
    <x v="1"/>
  </r>
  <r>
    <s v="https://x.com/Toyota/status/8428030255"/>
    <s v="Toyota USA"/>
    <s v="@Toyota"/>
    <s v="To all our friends &amp; customers on twitter: Pls RT www.toyota.com/recall for info on affected vehicles. Don't give up on us.We hear you! ^DM"/>
    <s v="2010-01-30T22:47:57.000Z"/>
    <x v="3"/>
    <x v="146"/>
    <s v="22:47:57"/>
    <x v="0"/>
    <m/>
    <m/>
    <n v="5"/>
    <n v="0"/>
    <n v="43"/>
    <n v="48"/>
    <s v="High engagement"/>
    <x v="0"/>
    <b v="0"/>
    <b v="1"/>
    <x v="0"/>
  </r>
  <r>
    <s v="https://x.com/Toyota/status/8428486692"/>
    <s v="Toyota USA"/>
    <s v="@Toyota"/>
    <s v="@adamwohl Thanks!"/>
    <s v="2010-01-30T23:02:37.000Z"/>
    <x v="3"/>
    <x v="146"/>
    <s v="23:02:37"/>
    <x v="0"/>
    <s v="@adamwohl"/>
    <m/>
    <n v="0"/>
    <n v="0"/>
    <n v="0"/>
    <n v="0"/>
    <s v="No engagement"/>
    <x v="0"/>
    <b v="0"/>
    <b v="0"/>
    <x v="1"/>
  </r>
  <r>
    <s v="https://x.com/Toyota/status/8428494979"/>
    <s v="Toyota USA"/>
    <s v="@Toyota"/>
    <s v="@photar not funny"/>
    <s v="2010-01-30T23:02:54.000Z"/>
    <x v="3"/>
    <x v="146"/>
    <s v="23:02:54"/>
    <x v="0"/>
    <s v="@photar"/>
    <m/>
    <n v="1"/>
    <n v="0"/>
    <n v="0"/>
    <n v="1"/>
    <s v="Low engagement"/>
    <x v="0"/>
    <b v="0"/>
    <b v="0"/>
    <x v="1"/>
  </r>
  <r>
    <s v="https://x.com/Toyota/status/8428528742"/>
    <s v="Toyota USA"/>
    <s v="@Toyota"/>
    <s v="@CharleyTerrito @kiki2574 @auto_alliance @goonth @judi0321 @DaveTheStalker Thanks for the RTs! ^DM"/>
    <s v="2010-01-30T23:04:00.000Z"/>
    <x v="3"/>
    <x v="146"/>
    <s v="23:04:00"/>
    <x v="0"/>
    <s v="@CharleyTerrito"/>
    <m/>
    <n v="1"/>
    <n v="0"/>
    <n v="0"/>
    <n v="1"/>
    <s v="Low engagement"/>
    <x v="0"/>
    <b v="0"/>
    <b v="0"/>
    <x v="1"/>
  </r>
  <r>
    <s v="https://x.com/Toyota/status/8428595384"/>
    <s v="Toyota USA"/>
    <s v="@Toyota"/>
    <s v="@photar @DaveTheStalker @JangoBear thx!"/>
    <s v="2010-01-30T23:06:10.000Z"/>
    <x v="3"/>
    <x v="146"/>
    <s v="23:06:10"/>
    <x v="0"/>
    <s v="@photar"/>
    <m/>
    <n v="0"/>
    <n v="0"/>
    <n v="0"/>
    <n v="0"/>
    <s v="No engagement"/>
    <x v="0"/>
    <b v="0"/>
    <b v="0"/>
    <x v="1"/>
  </r>
  <r>
    <s v="https://x.com/Toyota/status/8428767576"/>
    <s v="Toyota USA"/>
    <s v="@Toyota"/>
    <s v="Camry, RAV4, Corolla and Highlander vehicles with VINs that begin with &quot;J&quot; are not affected by the sticking accelerator pedal recall.  ^DM"/>
    <s v="2010-01-30T23:11:48.000Z"/>
    <x v="3"/>
    <x v="146"/>
    <s v="23:11:48"/>
    <x v="0"/>
    <m/>
    <m/>
    <n v="3"/>
    <n v="0"/>
    <n v="7"/>
    <n v="10"/>
    <s v="High engagement"/>
    <x v="0"/>
    <b v="0"/>
    <b v="0"/>
    <x v="1"/>
  </r>
  <r>
    <s v="https://x.com/Toyota/status/8428794836"/>
    <s v="Toyota USA"/>
    <s v="@Toyota"/>
    <s v="Need to find your vehicle VIN? Here's one easy location: twitpic http://bit.ly/ak4k0E ^DM"/>
    <s v="2010-01-30T23:12:41.000Z"/>
    <x v="3"/>
    <x v="146"/>
    <s v="23:12:41"/>
    <x v="0"/>
    <m/>
    <m/>
    <n v="1"/>
    <n v="0"/>
    <n v="3"/>
    <n v="4"/>
    <s v="Low engagement"/>
    <x v="0"/>
    <b v="0"/>
    <b v="1"/>
    <x v="0"/>
  </r>
  <r>
    <s v="https://x.com/Toyota/status/8428954973"/>
    <s v="Toyota USA"/>
    <s v="@Toyota"/>
    <s v="2 recalls - get info here www.toyota.com/recall spread the word. ^DM"/>
    <s v="2010-01-30T23:17:43.000Z"/>
    <x v="3"/>
    <x v="146"/>
    <s v="23:17:43"/>
    <x v="0"/>
    <m/>
    <m/>
    <n v="1"/>
    <n v="0"/>
    <n v="13"/>
    <n v="14"/>
    <s v="High engagement"/>
    <x v="0"/>
    <b v="0"/>
    <b v="1"/>
    <x v="0"/>
  </r>
  <r>
    <s v="https://x.com/Toyota/status/8429000981"/>
    <s v="Toyota USA"/>
    <s v="@Toyota"/>
    <s v="@Chicken_TV @airgates2k @andsolifebegins @goonth thanks"/>
    <s v="2010-01-30T23:19:10.000Z"/>
    <x v="3"/>
    <x v="146"/>
    <s v="23:19:10"/>
    <x v="0"/>
    <s v="@B_5ive"/>
    <m/>
    <n v="0"/>
    <n v="0"/>
    <n v="0"/>
    <n v="0"/>
    <s v="No engagement"/>
    <x v="0"/>
    <b v="0"/>
    <b v="0"/>
    <x v="1"/>
  </r>
  <r>
    <s v="https://x.com/Toyota/status/8429054623"/>
    <s v="Toyota USA"/>
    <s v="@Toyota"/>
    <s v="@andsolifebegins See floormat pg for instructions: http://bit.ly/aQ13Hs ^DM"/>
    <s v="2010-01-30T23:20:53.000Z"/>
    <x v="3"/>
    <x v="146"/>
    <s v="23:20:53"/>
    <x v="0"/>
    <s v="@katlacmah"/>
    <m/>
    <n v="0"/>
    <n v="0"/>
    <n v="0"/>
    <n v="0"/>
    <s v="No engagement"/>
    <x v="0"/>
    <b v="0"/>
    <b v="1"/>
    <x v="0"/>
  </r>
  <r>
    <s v="https://x.com/Toyota/status/8429078330"/>
    <s v="Toyota USA"/>
    <s v="@Toyota"/>
    <s v="@ack154 another good source of VIN info - thanks! ^DM"/>
    <s v="2010-01-30T23:21:36.000Z"/>
    <x v="3"/>
    <x v="146"/>
    <s v="23:21:36"/>
    <x v="0"/>
    <s v="@ack154"/>
    <m/>
    <n v="0"/>
    <n v="0"/>
    <n v="0"/>
    <n v="0"/>
    <s v="No engagement"/>
    <x v="0"/>
    <b v="0"/>
    <b v="0"/>
    <x v="1"/>
  </r>
  <r>
    <s v="https://x.com/Toyota/status/8429178734"/>
    <s v="Toyota USA"/>
    <s v="@Toyota"/>
    <s v="2 recalls: floormat recall? see http://bit.ly/aQ13Hs For recall overview see www.toyota.com/recall"/>
    <s v="2010-01-30T23:24:51.000Z"/>
    <x v="3"/>
    <x v="146"/>
    <s v="23:24:51"/>
    <x v="0"/>
    <m/>
    <m/>
    <n v="2"/>
    <n v="0"/>
    <n v="6"/>
    <n v="8"/>
    <s v="Moderate engagement"/>
    <x v="0"/>
    <b v="0"/>
    <b v="1"/>
    <x v="0"/>
  </r>
  <r>
    <s v="https://x.com/Toyota/status/8429505655"/>
    <s v="Toyota USA"/>
    <s v="@Toyota"/>
    <s v="@andsolifebegins Just to be sure - see the link I sent http://www.toyota.com/recall/floormat.html"/>
    <s v="2010-01-30T23:35:26.000Z"/>
    <x v="3"/>
    <x v="146"/>
    <s v="23:35:26"/>
    <x v="0"/>
    <s v="@katlacmah"/>
    <m/>
    <n v="1"/>
    <n v="0"/>
    <n v="0"/>
    <n v="1"/>
    <s v="Low engagement"/>
    <x v="0"/>
    <b v="0"/>
    <b v="1"/>
    <x v="0"/>
  </r>
  <r>
    <s v="https://x.com/Toyota/status/8434665841"/>
    <s v="Toyota USA"/>
    <s v="@Toyota"/>
    <s v="@kiki2574 Thanks for the retweets!  Much appreciated!"/>
    <s v="2010-01-31T02:12:50.000Z"/>
    <x v="3"/>
    <x v="147"/>
    <s v="02:12:50"/>
    <x v="2"/>
    <s v="@bewellinmotion"/>
    <m/>
    <n v="0"/>
    <n v="0"/>
    <n v="0"/>
    <n v="0"/>
    <s v="No engagement"/>
    <x v="0"/>
    <b v="0"/>
    <b v="0"/>
    <x v="1"/>
  </r>
  <r>
    <s v="https://x.com/Toyota/status/8494908279"/>
    <s v="Toyota USA"/>
    <s v="@Toyota"/>
    <s v="New Toyota vid: President &amp; COO Lentz explains solution for sticking pedal. Watch it here http://bit.ly/a5BBsm ^DM"/>
    <s v="2010-02-01T11:26:04.000Z"/>
    <x v="3"/>
    <x v="148"/>
    <s v="11:26:04"/>
    <x v="4"/>
    <m/>
    <m/>
    <n v="0"/>
    <n v="0"/>
    <n v="12"/>
    <n v="12"/>
    <s v="High engagement"/>
    <x v="0"/>
    <b v="0"/>
    <b v="1"/>
    <x v="0"/>
  </r>
  <r>
    <s v="https://x.com/Toyota/status/8495156823"/>
    <s v="Toyota USA"/>
    <s v="@Toyota"/>
    <s v="Toyota Announces Comprehensive Plan to Fix Accelerator Pedals on Recalled Vehicles http://bit.ly/9yZUt1 ^DM"/>
    <s v="2010-02-01T11:36:23.000Z"/>
    <x v="3"/>
    <x v="148"/>
    <s v="11:36:23"/>
    <x v="4"/>
    <m/>
    <m/>
    <n v="0"/>
    <n v="0"/>
    <n v="13"/>
    <n v="13"/>
    <s v="High engagement"/>
    <x v="0"/>
    <b v="0"/>
    <b v="1"/>
    <x v="0"/>
  </r>
  <r>
    <s v="https://x.com/Toyota/status/8495998279"/>
    <s v="Toyota USA"/>
    <s v="@Toyota"/>
    <s v="Toyota FAQ: solution for sticking accelerator pedals. Read it here:  http://bit.ly/ddRzhk  ^DM"/>
    <s v="2010-02-01T12:10:39.000Z"/>
    <x v="3"/>
    <x v="148"/>
    <s v="12:10:39"/>
    <x v="4"/>
    <m/>
    <m/>
    <n v="0"/>
    <n v="0"/>
    <n v="8"/>
    <n v="8"/>
    <s v="Moderate engagement"/>
    <x v="0"/>
    <b v="0"/>
    <b v="1"/>
    <x v="0"/>
  </r>
  <r>
    <s v="https://x.com/Toyota/status/8498395103"/>
    <s v="Toyota USA"/>
    <s v="@Toyota"/>
    <s v="@misterp67 Camry, RAV4, Corolla and Highlander vehicles with VINs that begin with &quot;J&quot; are not affected by sticking accelerator pedal recall"/>
    <s v="2010-02-01T13:34:07.000Z"/>
    <x v="3"/>
    <x v="148"/>
    <s v="13:34:07"/>
    <x v="4"/>
    <s v="@misterp67"/>
    <m/>
    <n v="0"/>
    <n v="0"/>
    <n v="0"/>
    <n v="0"/>
    <s v="No engagement"/>
    <x v="0"/>
    <b v="0"/>
    <b v="0"/>
    <x v="1"/>
  </r>
  <r>
    <s v="https://x.com/Toyota/status/8498422128"/>
    <s v="Toyota USA"/>
    <s v="@Toyota"/>
    <s v="@misterp67 also check the site: www.toyota.com/recall  ^DM"/>
    <s v="2010-02-01T13:35:00.000Z"/>
    <x v="3"/>
    <x v="148"/>
    <s v="13:35:00"/>
    <x v="4"/>
    <s v="@misterp67"/>
    <m/>
    <n v="0"/>
    <n v="0"/>
    <n v="0"/>
    <n v="0"/>
    <s v="No engagement"/>
    <x v="0"/>
    <b v="0"/>
    <b v="1"/>
    <x v="0"/>
  </r>
  <r>
    <s v="https://x.com/Toyota/status/8500132712"/>
    <s v="Toyota USA"/>
    <s v="@Toyota"/>
    <s v="Thanks @kerel_cooper : ) ^DM"/>
    <s v="2010-02-01T14:27:09.000Z"/>
    <x v="3"/>
    <x v="148"/>
    <s v="14:27:09"/>
    <x v="1"/>
    <m/>
    <m/>
    <n v="0"/>
    <n v="0"/>
    <n v="1"/>
    <n v="1"/>
    <s v="Low engagement"/>
    <x v="0"/>
    <b v="0"/>
    <b v="0"/>
    <x v="1"/>
  </r>
  <r>
    <s v="https://x.com/Toyota/status/8500466209"/>
    <s v="Toyota USA"/>
    <s v="@Toyota"/>
    <s v="RT@todayshow: &quot;This will be under control.&quot; - @Toyota president Jim Lentz spoke to Matt about the recall.Video: http://bit.ly/awU01P"/>
    <s v="2010-02-01T14:36:44.000Z"/>
    <x v="3"/>
    <x v="148"/>
    <s v="14:36:44"/>
    <x v="1"/>
    <m/>
    <m/>
    <n v="0"/>
    <n v="0"/>
    <n v="6"/>
    <n v="6"/>
    <s v="Moderate engagement"/>
    <x v="0"/>
    <b v="0"/>
    <b v="1"/>
    <x v="0"/>
  </r>
  <r>
    <s v="https://x.com/Toyota/status/8502609746"/>
    <s v="Toyota USA"/>
    <s v="@Toyota"/>
    <s v="Toyota FAQ for sticking accelerator pedal recall. Read it here:  http://bit.ly/ddRzhk  ^DM"/>
    <s v="2010-02-01T15:36:29.000Z"/>
    <x v="3"/>
    <x v="148"/>
    <s v="15:36:29"/>
    <x v="1"/>
    <m/>
    <m/>
    <n v="0"/>
    <n v="0"/>
    <n v="8"/>
    <n v="8"/>
    <s v="Moderate engagement"/>
    <x v="0"/>
    <b v="0"/>
    <b v="1"/>
    <x v="0"/>
  </r>
  <r>
    <s v="https://x.com/Toyota/status/8503456239"/>
    <s v="Toyota USA"/>
    <s v="@Toyota"/>
    <s v="@hokie15102 @toledonews @MSUScottW @RyanBolz Thnx for the RT's"/>
    <s v="2010-02-01T16:00:07.000Z"/>
    <x v="3"/>
    <x v="148"/>
    <s v="16:00:07"/>
    <x v="1"/>
    <s v="@hokie15102"/>
    <m/>
    <n v="0"/>
    <n v="0"/>
    <n v="1"/>
    <n v="1"/>
    <s v="Low engagement"/>
    <x v="0"/>
    <b v="0"/>
    <b v="0"/>
    <x v="1"/>
  </r>
  <r>
    <s v="https://x.com/Toyota/status/8509067921"/>
    <s v="Toyota USA"/>
    <s v="@Toyota"/>
    <s v="Toyota announces comprehensive plan to fix accelerator pedals http://bit.ly/9yZUt1 ^DM"/>
    <s v="2010-02-01T18:43:57.000Z"/>
    <x v="3"/>
    <x v="148"/>
    <s v="18:43:57"/>
    <x v="0"/>
    <m/>
    <m/>
    <n v="0"/>
    <n v="0"/>
    <n v="6"/>
    <n v="6"/>
    <s v="Moderate engagement"/>
    <x v="0"/>
    <b v="0"/>
    <b v="1"/>
    <x v="0"/>
  </r>
  <r>
    <s v="https://x.com/Toyota/status/8509584080"/>
    <s v="Toyota USA"/>
    <s v="@Toyota"/>
    <s v="Toyota President &amp; COO Jim Lentz will be taking questions on @Toyota today at 3:00 pm EST for 20 minutes. Use #Lentz"/>
    <s v="2010-02-01T18:59:44.000Z"/>
    <x v="3"/>
    <x v="148"/>
    <s v="18:59:44"/>
    <x v="0"/>
    <m/>
    <m/>
    <n v="1"/>
    <n v="0"/>
    <n v="26"/>
    <n v="27"/>
    <s v="High engagement"/>
    <x v="0"/>
    <b v="0"/>
    <b v="0"/>
    <x v="1"/>
  </r>
  <r>
    <s v="https://x.com/Toyota/status/8510123276"/>
    <s v="Toyota USA"/>
    <s v="@Toyota"/>
    <s v="@renzoferrer President &amp; COO of Toyota USA"/>
    <s v="2010-02-01T19:15:51.000Z"/>
    <x v="3"/>
    <x v="148"/>
    <s v="19:15:51"/>
    <x v="0"/>
    <s v="@renzoferrer"/>
    <m/>
    <n v="0"/>
    <n v="0"/>
    <n v="0"/>
    <n v="0"/>
    <s v="No engagement"/>
    <x v="0"/>
    <b v="0"/>
    <b v="0"/>
    <x v="1"/>
  </r>
  <r>
    <s v="https://x.com/Toyota/status/8510758780"/>
    <s v="Toyota USA"/>
    <s v="@Toyota"/>
    <s v="@Beezernovrdrv just @toyota will work."/>
    <s v="2010-02-01T19:35:13.000Z"/>
    <x v="3"/>
    <x v="148"/>
    <s v="19:35:13"/>
    <x v="0"/>
    <m/>
    <m/>
    <n v="0"/>
    <n v="0"/>
    <n v="0"/>
    <n v="0"/>
    <s v="No engagement"/>
    <x v="0"/>
    <b v="0"/>
    <b v="0"/>
    <x v="1"/>
  </r>
  <r>
    <s v="https://x.com/Toyota/status/8510987388"/>
    <s v="Toyota USA"/>
    <s v="@Toyota"/>
    <s v="Toyota President &amp; COO Jim Lentz will be taking questions on @Toyota today at 3:00 pm EST for 20 minutes. hashtag #Lentz"/>
    <s v="2010-02-01T19:42:17.000Z"/>
    <x v="3"/>
    <x v="148"/>
    <s v="19:42:17"/>
    <x v="0"/>
    <m/>
    <m/>
    <n v="2"/>
    <n v="0"/>
    <n v="6"/>
    <n v="8"/>
    <s v="Moderate engagement"/>
    <x v="0"/>
    <b v="0"/>
    <b v="0"/>
    <x v="1"/>
  </r>
  <r>
    <s v="https://x.com/Toyota/status/8511272210"/>
    <s v="Toyota USA"/>
    <s v="@Toyota"/>
    <s v="@Beezernovrdrv use this hashtag #Lentz"/>
    <s v="2010-02-01T19:51:14.000Z"/>
    <x v="3"/>
    <x v="148"/>
    <s v="19:51:14"/>
    <x v="0"/>
    <m/>
    <m/>
    <n v="1"/>
    <n v="0"/>
    <n v="0"/>
    <n v="1"/>
    <s v="Low engagement"/>
    <x v="0"/>
    <b v="0"/>
    <b v="0"/>
    <x v="1"/>
  </r>
  <r>
    <s v="https://x.com/Toyota/status/8511404819"/>
    <s v="Toyota USA"/>
    <s v="@Toyota"/>
    <s v="Jim Lentz is with us on the channel right now. We'll try to get through as many questions as possible in the 20-min time frame. #lentz"/>
    <s v="2010-02-01T19:55:25.000Z"/>
    <x v="3"/>
    <x v="148"/>
    <s v="19:55:25"/>
    <x v="0"/>
    <m/>
    <m/>
    <n v="2"/>
    <n v="0"/>
    <n v="7"/>
    <n v="9"/>
    <s v="Moderate engagement"/>
    <x v="0"/>
    <b v="0"/>
    <b v="0"/>
    <x v="1"/>
  </r>
  <r>
    <s v="https://x.com/Toyota/status/8511442734"/>
    <s v="Toyota USA"/>
    <s v="@Toyota"/>
    <s v="Does anybody have a question for Jim Lentz? #lentz"/>
    <s v="2010-02-01T19:56:37.000Z"/>
    <x v="3"/>
    <x v="148"/>
    <s v="19:56:37"/>
    <x v="0"/>
    <m/>
    <m/>
    <n v="3"/>
    <n v="0"/>
    <n v="6"/>
    <n v="9"/>
    <s v="Moderate engagement"/>
    <x v="0"/>
    <b v="0"/>
    <b v="0"/>
    <x v="1"/>
  </r>
  <r>
    <s v="https://x.com/Toyota/status/8511540606"/>
    <s v="Toyota USA"/>
    <s v="@Toyota"/>
    <s v="@wileyccoyote because it's complex, please visit www.toyota.com/recall. Does not included Scion or Lexus  #lentz"/>
    <s v="2010-02-01T19:59:41.000Z"/>
    <x v="3"/>
    <x v="148"/>
    <s v="19:59:41"/>
    <x v="0"/>
    <s v="@ShearShareCEO"/>
    <m/>
    <n v="0"/>
    <n v="0"/>
    <n v="0"/>
    <n v="0"/>
    <s v="No engagement"/>
    <x v="0"/>
    <b v="0"/>
    <b v="1"/>
    <x v="0"/>
  </r>
  <r>
    <s v="https://x.com/Toyota/status/8511586174"/>
    <s v="Toyota USA"/>
    <s v="@Toyota"/>
    <s v="@dealerist we have a closed dealer network that we use to communicate directly to our dealers.  #lentz"/>
    <s v="2010-02-01T20:00:58.000Z"/>
    <x v="3"/>
    <x v="148"/>
    <s v="20:00:58"/>
    <x v="0"/>
    <s v="@dealerist"/>
    <m/>
    <n v="0"/>
    <n v="0"/>
    <n v="0"/>
    <n v="0"/>
    <s v="No engagement"/>
    <x v="0"/>
    <b v="0"/>
    <b v="0"/>
    <x v="1"/>
  </r>
  <r>
    <s v="https://x.com/Toyota/status/8511653912"/>
    <s v="Toyota USA"/>
    <s v="@Toyota"/>
    <s v="@raywert starts with taking care of customers first on the current recall efforts &amp; we've built a lot of good will with customers.  #lentz"/>
    <s v="2010-02-01T20:02:58.000Z"/>
    <x v="3"/>
    <x v="148"/>
    <s v="20:02:58"/>
    <x v="0"/>
    <s v="@raywert"/>
    <m/>
    <n v="0"/>
    <n v="0"/>
    <n v="0"/>
    <n v="0"/>
    <s v="No engagement"/>
    <x v="0"/>
    <b v="0"/>
    <b v="0"/>
    <x v="1"/>
  </r>
  <r>
    <s v="https://x.com/Toyota/status/8511673700"/>
    <s v="Toyota USA"/>
    <s v="@Toyota"/>
    <s v="@raywert we believe if we do this right, customers will come back #lentz"/>
    <s v="2010-02-01T20:03:33.000Z"/>
    <x v="3"/>
    <x v="148"/>
    <s v="20:03:33"/>
    <x v="0"/>
    <s v="@raywert"/>
    <m/>
    <n v="0"/>
    <n v="0"/>
    <n v="1"/>
    <n v="1"/>
    <s v="Low engagement"/>
    <x v="0"/>
    <b v="0"/>
    <b v="0"/>
    <x v="1"/>
  </r>
  <r>
    <s v="https://x.com/Toyota/status/8511729014"/>
    <s v="Toyota USA"/>
    <s v="@Toyota"/>
    <s v="@HannahElliott difficult to answer now. It wll be measured in months not weeks. We begin repairs this week &amp; have a better idea then #lentz"/>
    <s v="2010-02-01T20:05:13.000Z"/>
    <x v="3"/>
    <x v="148"/>
    <s v="20:05:13"/>
    <x v="0"/>
    <s v="@HannahElliott"/>
    <m/>
    <n v="0"/>
    <n v="0"/>
    <n v="0"/>
    <n v="0"/>
    <s v="No engagement"/>
    <x v="0"/>
    <b v="0"/>
    <b v="0"/>
    <x v="1"/>
  </r>
  <r>
    <s v="https://x.com/Toyota/status/8511790794"/>
    <s v="Toyota USA"/>
    <s v="@Toyota"/>
    <s v="@dealerist We're in the process of providing dealers more info. Some dealers are using effectively already. #lentz"/>
    <s v="2010-02-01T20:07:06.000Z"/>
    <x v="3"/>
    <x v="148"/>
    <s v="20:07:06"/>
    <x v="0"/>
    <s v="@dealerist"/>
    <m/>
    <n v="0"/>
    <n v="0"/>
    <n v="0"/>
    <n v="0"/>
    <s v="No engagement"/>
    <x v="0"/>
    <b v="0"/>
    <b v="0"/>
    <x v="1"/>
  </r>
  <r>
    <s v="https://x.com/Toyota/status/8511903337"/>
    <s v="Toyota USA"/>
    <s v="@Toyota"/>
    <s v="@singlespeed there have not been any incidences of electronic problems. The electronics have multiple fail-safe mechanisms built in. #lentz"/>
    <s v="2010-02-01T20:10:37.000Z"/>
    <x v="3"/>
    <x v="148"/>
    <s v="20:10:37"/>
    <x v="0"/>
    <s v="@singlespeed"/>
    <m/>
    <n v="0"/>
    <n v="0"/>
    <n v="0"/>
    <n v="0"/>
    <s v="No engagement"/>
    <x v="0"/>
    <b v="0"/>
    <b v="0"/>
    <x v="1"/>
  </r>
  <r>
    <s v="https://x.com/Toyota/status/8511945177"/>
    <s v="Toyota USA"/>
    <s v="@Toyota"/>
    <s v="@HannahElliott I'm driving an RX Hybrid or my wife's recalled Prius #lentz"/>
    <s v="2010-02-01T20:11:56.000Z"/>
    <x v="3"/>
    <x v="148"/>
    <s v="20:11:56"/>
    <x v="0"/>
    <s v="@HannahElliott"/>
    <m/>
    <n v="0"/>
    <n v="0"/>
    <n v="0"/>
    <n v="0"/>
    <s v="No engagement"/>
    <x v="0"/>
    <b v="0"/>
    <b v="0"/>
    <x v="1"/>
  </r>
  <r>
    <s v="https://x.com/Toyota/status/8512038080"/>
    <s v="Toyota USA"/>
    <s v="@Toyota"/>
    <s v="@MT_Floyd Yes. We are confident that the Denso pedals are ok #lentz"/>
    <s v="2010-02-01T20:14:50.000Z"/>
    <x v="3"/>
    <x v="148"/>
    <s v="20:14:50"/>
    <x v="0"/>
    <s v="@AM_MikeFloyd"/>
    <m/>
    <n v="0"/>
    <n v="0"/>
    <n v="0"/>
    <n v="0"/>
    <s v="No engagement"/>
    <x v="0"/>
    <b v="0"/>
    <b v="0"/>
    <x v="1"/>
  </r>
  <r>
    <s v="https://x.com/Toyota/status/8512066237"/>
    <s v="Toyota USA"/>
    <s v="@Toyota"/>
    <s v="@DOUGBONCZEK 2004 - 2009 is part of the floormat recall. #lentz"/>
    <s v="2010-02-01T20:15:40.000Z"/>
    <x v="3"/>
    <x v="148"/>
    <s v="20:15:40"/>
    <x v="0"/>
    <s v="@DOUGBONCZEK"/>
    <m/>
    <n v="0"/>
    <n v="0"/>
    <n v="0"/>
    <n v="0"/>
    <s v="No engagement"/>
    <x v="0"/>
    <b v="0"/>
    <b v="0"/>
    <x v="1"/>
  </r>
  <r>
    <s v="https://x.com/Toyota/status/8512161338"/>
    <s v="Toyota USA"/>
    <s v="@Toyota"/>
    <s v="@Mark_Kleis I have no knowledge of Denso pedals being recalled. #lentz"/>
    <s v="2010-02-01T20:18:37.000Z"/>
    <x v="3"/>
    <x v="148"/>
    <s v="20:18:37"/>
    <x v="0"/>
    <s v="@Mark_Kleis"/>
    <m/>
    <n v="0"/>
    <n v="0"/>
    <n v="0"/>
    <n v="0"/>
    <s v="No engagement"/>
    <x v="0"/>
    <b v="0"/>
    <b v="0"/>
    <x v="1"/>
  </r>
  <r>
    <s v="https://x.com/Toyota/status/8512213237"/>
    <s v="Toyota USA"/>
    <s v="@Toyota"/>
    <s v="@RobertKoesti No - and they're available for sale at dealerships today ; ) #lentz"/>
    <s v="2010-02-01T20:20:13.000Z"/>
    <x v="3"/>
    <x v="148"/>
    <s v="20:20:13"/>
    <x v="0"/>
    <m/>
    <m/>
    <n v="0"/>
    <n v="0"/>
    <n v="0"/>
    <n v="0"/>
    <s v="No engagement"/>
    <x v="0"/>
    <b v="0"/>
    <b v="0"/>
    <x v="1"/>
  </r>
  <r>
    <s v="https://x.com/Toyota/status/8512269431"/>
    <s v="Toyota USA"/>
    <s v="@Toyota"/>
    <s v="@BerryLowman since 2004, we have had a teen driving education program in select markets for free. #lentz"/>
    <s v="2010-02-01T20:21:57.000Z"/>
    <x v="3"/>
    <x v="148"/>
    <s v="20:21:57"/>
    <x v="0"/>
    <s v="@BerryLowman"/>
    <m/>
    <n v="0"/>
    <n v="0"/>
    <n v="0"/>
    <n v="0"/>
    <s v="No engagement"/>
    <x v="0"/>
    <b v="0"/>
    <b v="0"/>
    <x v="1"/>
  </r>
  <r>
    <s v="https://x.com/Toyota/status/8512299341"/>
    <s v="Toyota USA"/>
    <s v="@Toyota"/>
    <s v="Thanks for joining us today. For more information about the recalls, visit www.toyota.com/recall. #lentz"/>
    <s v="2010-02-01T20:22:52.000Z"/>
    <x v="3"/>
    <x v="148"/>
    <s v="20:22:52"/>
    <x v="0"/>
    <m/>
    <m/>
    <n v="1"/>
    <n v="0"/>
    <n v="6"/>
    <n v="7"/>
    <s v="Moderate engagement"/>
    <x v="0"/>
    <b v="0"/>
    <b v="1"/>
    <x v="0"/>
  </r>
  <r>
    <s v="https://x.com/Toyota/status/8512432876"/>
    <s v="Toyota USA"/>
    <s v="@Toyota"/>
    <s v="Thanks to all who had questions for TMS President Jim Lentz today! We appreciate the interaction. ^SD"/>
    <s v="2010-02-01T20:26:59.000Z"/>
    <x v="3"/>
    <x v="148"/>
    <s v="20:26:59"/>
    <x v="0"/>
    <m/>
    <m/>
    <n v="0"/>
    <n v="0"/>
    <n v="3"/>
    <n v="3"/>
    <s v="Low engagement"/>
    <x v="0"/>
    <b v="0"/>
    <b v="0"/>
    <x v="1"/>
  </r>
  <r>
    <s v="https://x.com/Toyota/status/8512486516"/>
    <s v="Toyota USA"/>
    <s v="@Toyota"/>
    <s v="Thanks everyone for the great questions! ^DM"/>
    <s v="2010-02-01T20:28:38.000Z"/>
    <x v="3"/>
    <x v="148"/>
    <s v="20:28:38"/>
    <x v="0"/>
    <m/>
    <m/>
    <n v="0"/>
    <n v="0"/>
    <n v="3"/>
    <n v="3"/>
    <s v="Low engagement"/>
    <x v="0"/>
    <b v="0"/>
    <b v="0"/>
    <x v="1"/>
  </r>
  <r>
    <s v="https://x.com/Toyota/status/8552624404"/>
    <s v="Toyota USA"/>
    <s v="@Toyota"/>
    <s v="Thanks for the support Michael! RT@mw55 http://bit.ly/dbuzsY"/>
    <s v="2010-02-02T18:28:51.000Z"/>
    <x v="3"/>
    <x v="149"/>
    <s v="18:28:51"/>
    <x v="0"/>
    <m/>
    <m/>
    <n v="0"/>
    <n v="0"/>
    <n v="2"/>
    <n v="2"/>
    <s v="Low engagement"/>
    <x v="0"/>
    <b v="0"/>
    <b v="1"/>
    <x v="0"/>
  </r>
  <r>
    <s v="https://x.com/Toyota/status/8568559909"/>
    <s v="Toyota USA"/>
    <s v="@Toyota"/>
    <s v="“I believe they found the right solution.  If Toyota says it’s not electrical….” @stevewoz on CNN’s Situation Room http://bit.ly/cXuDYv"/>
    <s v="2010-02-03T01:52:18.000Z"/>
    <x v="3"/>
    <x v="150"/>
    <s v="01:52:18"/>
    <x v="2"/>
    <m/>
    <m/>
    <n v="0"/>
    <n v="0"/>
    <n v="2"/>
    <n v="2"/>
    <s v="Low engagement"/>
    <x v="0"/>
    <b v="0"/>
    <b v="1"/>
    <x v="0"/>
  </r>
  <r>
    <s v="https://x.com/Toyota/status/8568706643"/>
    <s v="Toyota USA"/>
    <s v="@Toyota"/>
    <s v="&quot;I have a lot of prestigious cars but I prefer since ‘04 to drive my Priuses. I mean I luv this car.&quot; @stevewoz on CNN http://bit.ly/cXuDYv"/>
    <s v="2010-02-03T01:56:05.000Z"/>
    <x v="3"/>
    <x v="150"/>
    <s v="01:56:05"/>
    <x v="2"/>
    <m/>
    <m/>
    <n v="0"/>
    <n v="0"/>
    <n v="3"/>
    <n v="3"/>
    <s v="Low engagement"/>
    <x v="0"/>
    <b v="0"/>
    <b v="1"/>
    <x v="0"/>
  </r>
  <r>
    <s v="https://x.com/Toyota/status/8596057366"/>
    <s v="Toyota USA"/>
    <s v="@Toyota"/>
    <s v="Ray LaHood says he misspoke when he said owners of recalled Toyota vehicles stop driving them. http://bit.ly/aCniq1"/>
    <s v="2010-02-03T17:33:43.000Z"/>
    <x v="3"/>
    <x v="150"/>
    <s v="17:33:43"/>
    <x v="1"/>
    <m/>
    <m/>
    <n v="0"/>
    <n v="0"/>
    <n v="14"/>
    <n v="14"/>
    <s v="High engagement"/>
    <x v="0"/>
    <b v="0"/>
    <b v="1"/>
    <x v="0"/>
  </r>
  <r>
    <s v="https://x.com/Toyota/status/8596402075"/>
    <s v="Toyota USA"/>
    <s v="@Toyota"/>
    <s v="Bloomberg: Lahood Says Earlier Comment on Toyota Was ‘Misstatement’ http://bit.ly/9zhHj2"/>
    <s v="2010-02-03T17:43:54.000Z"/>
    <x v="3"/>
    <x v="150"/>
    <s v="17:43:54"/>
    <x v="1"/>
    <m/>
    <m/>
    <n v="0"/>
    <n v="0"/>
    <n v="2"/>
    <n v="2"/>
    <s v="Low engagement"/>
    <x v="0"/>
    <b v="0"/>
    <b v="1"/>
    <x v="0"/>
  </r>
  <r>
    <s v="https://x.com/Toyota/status/8596503936"/>
    <s v="Toyota USA"/>
    <s v="@Toyota"/>
    <s v="Fox News: LaHood Says Stop Driving Toyotas, DOT Says He Didn't Mean It http://bit.ly/9JoaQi"/>
    <s v="2010-02-03T17:46:54.000Z"/>
    <x v="3"/>
    <x v="150"/>
    <s v="17:46:54"/>
    <x v="1"/>
    <m/>
    <m/>
    <n v="0"/>
    <n v="0"/>
    <n v="6"/>
    <n v="6"/>
    <s v="Moderate engagement"/>
    <x v="0"/>
    <b v="0"/>
    <b v="1"/>
    <x v="0"/>
  </r>
  <r>
    <s v="https://x.com/Toyota/status/8596589409"/>
    <s v="Toyota USA"/>
    <s v="@Toyota"/>
    <s v="@tbirdtiff thanks!"/>
    <s v="2010-02-03T17:49:27.000Z"/>
    <x v="3"/>
    <x v="150"/>
    <s v="17:49:27"/>
    <x v="1"/>
    <s v="@tbirdtiff"/>
    <m/>
    <n v="0"/>
    <n v="0"/>
    <n v="0"/>
    <n v="0"/>
    <s v="No engagement"/>
    <x v="0"/>
    <b v="0"/>
    <b v="0"/>
    <x v="1"/>
  </r>
  <r>
    <s v="https://x.com/Toyota/status/8596639138"/>
    <s v="Toyota USA"/>
    <s v="@Toyota"/>
    <s v="@annrafalko Read the info on the site www.toyota.com/recall. It advises owners."/>
    <s v="2010-02-03T17:50:55.000Z"/>
    <x v="3"/>
    <x v="150"/>
    <s v="17:50:55"/>
    <x v="1"/>
    <m/>
    <m/>
    <n v="0"/>
    <n v="0"/>
    <n v="2"/>
    <n v="2"/>
    <s v="Low engagement"/>
    <x v="0"/>
    <b v="0"/>
    <b v="1"/>
    <x v="0"/>
  </r>
  <r>
    <s v="https://x.com/Toyota/status/8596943832"/>
    <s v="Toyota USA"/>
    <s v="@Toyota"/>
    <s v="Toyota Statement on comments by Trans Secretary LaHood on Feb. 3, 2010 http://bit.ly/9WBwrY #toyotas"/>
    <s v="2010-02-03T18:00:04.000Z"/>
    <x v="3"/>
    <x v="150"/>
    <s v="18:00:04"/>
    <x v="0"/>
    <m/>
    <m/>
    <n v="1"/>
    <n v="0"/>
    <n v="24"/>
    <n v="25"/>
    <s v="High engagement"/>
    <x v="0"/>
    <b v="0"/>
    <b v="1"/>
    <x v="0"/>
  </r>
  <r>
    <s v="https://x.com/Toyota/status/8613713171"/>
    <s v="Toyota USA"/>
    <s v="@Toyota"/>
    <s v="Updated Customer FAQs Regarding the Sticking Accelerator Pedal and Floor Mat Pedal Entrapment Recalls http://bit.ly/aNxWLB"/>
    <s v="2010-02-04T01:59:15.000Z"/>
    <x v="3"/>
    <x v="151"/>
    <s v="01:59:15"/>
    <x v="2"/>
    <m/>
    <m/>
    <n v="3"/>
    <n v="0"/>
    <n v="11"/>
    <n v="14"/>
    <s v="High engagement"/>
    <x v="0"/>
    <b v="0"/>
    <b v="1"/>
    <x v="0"/>
  </r>
  <r>
    <s v="https://x.com/Toyota/status/8640147246"/>
    <s v="Toyota USA"/>
    <s v="@Toyota"/>
    <s v="Statement From Toyota Regarding Prius Brake Issue http://bit.ly/bVcAH3"/>
    <s v="2010-02-04T17:19:34.000Z"/>
    <x v="3"/>
    <x v="151"/>
    <s v="17:19:34"/>
    <x v="1"/>
    <m/>
    <m/>
    <n v="1"/>
    <n v="0"/>
    <n v="9"/>
    <n v="10"/>
    <s v="High engagement"/>
    <x v="0"/>
    <b v="0"/>
    <b v="1"/>
    <x v="0"/>
  </r>
  <r>
    <s v="https://x.com/Toyota/status/8644529123"/>
    <s v="Toyota USA"/>
    <s v="@Toyota"/>
    <s v="Updated Statement From Toyota Regarding Prius Brake Issue http://bit.ly/bZEmWd"/>
    <s v="2010-02-04T19:30:23.000Z"/>
    <x v="3"/>
    <x v="151"/>
    <s v="19:30:23"/>
    <x v="0"/>
    <m/>
    <m/>
    <n v="2"/>
    <n v="0"/>
    <n v="13"/>
    <n v="15"/>
    <s v="High engagement"/>
    <x v="0"/>
    <b v="0"/>
    <b v="1"/>
    <x v="0"/>
  </r>
  <r>
    <s v="https://x.com/Toyota/status/8645240961"/>
    <s v="Toyota USA"/>
    <s v="@Toyota"/>
    <s v="@BreakingNews Toyota hasn't announced a Prius brake issue recall at this time. But Toyota is aware NHTSA has opened a prelim eval."/>
    <s v="2010-02-04T19:52:12.000Z"/>
    <x v="3"/>
    <x v="151"/>
    <s v="19:52:12"/>
    <x v="0"/>
    <s v="@BreakingNews"/>
    <m/>
    <n v="2"/>
    <n v="0"/>
    <n v="9"/>
    <n v="11"/>
    <s v="High engagement"/>
    <x v="0"/>
    <b v="0"/>
    <b v="0"/>
    <x v="1"/>
  </r>
  <r>
    <s v="https://x.com/Toyota/status/8671827029"/>
    <s v="Toyota USA"/>
    <s v="@Toyota"/>
    <s v="Toyota USA President J.Lentz talks about the sticking accelerator pedal recall. See demo of the fix here: http://bit.ly/dq5P45"/>
    <s v="2010-02-05T10:24:11.000Z"/>
    <x v="3"/>
    <x v="152"/>
    <s v="10:24:11"/>
    <x v="3"/>
    <m/>
    <m/>
    <n v="3"/>
    <n v="0"/>
    <n v="10"/>
    <n v="13"/>
    <s v="High engagement"/>
    <x v="0"/>
    <b v="0"/>
    <b v="1"/>
    <x v="0"/>
  </r>
  <r>
    <s v="https://x.com/Toyota/status/8682931006"/>
    <s v="Toyota USA"/>
    <s v="@Toyota"/>
    <s v="Video: See a demo of the Toyota accelerator pedal fix: http://bit.ly/dq5P45"/>
    <s v="2010-02-05T16:11:30.000Z"/>
    <x v="3"/>
    <x v="152"/>
    <s v="16:11:30"/>
    <x v="1"/>
    <m/>
    <m/>
    <n v="2"/>
    <n v="0"/>
    <n v="9"/>
    <n v="11"/>
    <s v="High engagement"/>
    <x v="0"/>
    <b v="0"/>
    <b v="1"/>
    <x v="0"/>
  </r>
  <r>
    <s v="https://x.com/Toyota/status/8683734507"/>
    <s v="Toyota USA"/>
    <s v="@Toyota"/>
    <s v="Toyota Motor Corporation President Akio Toyoda Announces Global Quality Task Force http://bit.ly/bAUdA5"/>
    <s v="2010-02-05T16:32:08.000Z"/>
    <x v="3"/>
    <x v="152"/>
    <s v="16:32:08"/>
    <x v="1"/>
    <m/>
    <m/>
    <n v="1"/>
    <n v="0"/>
    <n v="7"/>
    <n v="8"/>
    <s v="Moderate engagement"/>
    <x v="0"/>
    <b v="0"/>
    <b v="1"/>
    <x v="0"/>
  </r>
  <r>
    <s v="https://x.com/Toyota/status/8683806348"/>
    <s v="Toyota USA"/>
    <s v="@Toyota"/>
    <s v="Toyota dealers nationwide have begun fixing accelerator pedals on recalled vehicles http://bit.ly/a7CJnM"/>
    <s v="2010-02-05T16:34:03.000Z"/>
    <x v="3"/>
    <x v="152"/>
    <s v="16:34:03"/>
    <x v="1"/>
    <m/>
    <m/>
    <n v="1"/>
    <n v="0"/>
    <n v="9"/>
    <n v="10"/>
    <s v="High engagement"/>
    <x v="0"/>
    <b v="0"/>
    <b v="1"/>
    <x v="0"/>
  </r>
  <r>
    <s v="https://x.com/Toyota/status/8686968353"/>
    <s v="Toyota USA"/>
    <s v="@Toyota"/>
    <s v="Jim Lentz, President and COO of Toyota Motor Sales, USA, will answer @Digg community’s top questions: http://bit.ly/bQw7Al"/>
    <s v="2010-02-05T17:58:41.000Z"/>
    <x v="3"/>
    <x v="152"/>
    <s v="17:58:41"/>
    <x v="1"/>
    <m/>
    <m/>
    <n v="3"/>
    <n v="0"/>
    <n v="14"/>
    <n v="17"/>
    <s v="High engagement"/>
    <x v="0"/>
    <b v="0"/>
    <b v="1"/>
    <x v="0"/>
  </r>
  <r>
    <s v="https://x.com/Toyota/status/8818850947"/>
    <s v="Toyota USA"/>
    <s v="@Toyota"/>
    <s v="Go to @Digg Dialogg today at 2pm PST to watch Toyota U.S. Pres Jim Lentz answer Digg's questions http://bit.ly/bQw7Al"/>
    <s v="2010-02-08T18:14:08.000Z"/>
    <x v="4"/>
    <x v="153"/>
    <s v="18:14:08"/>
    <x v="0"/>
    <m/>
    <m/>
    <n v="0"/>
    <n v="0"/>
    <n v="10"/>
    <n v="10"/>
    <s v="High engagement"/>
    <x v="0"/>
    <b v="0"/>
    <b v="1"/>
    <x v="0"/>
  </r>
  <r>
    <s v="https://x.com/Toyota/status/8826548290"/>
    <s v="Toyota USA"/>
    <s v="@Toyota"/>
    <s v="Watch the LIVE @Digg Dialogg interview with Toyota U.S. President Jim Lentz starting now: http://diggdialogg.com"/>
    <s v="2010-02-08T22:01:00.000Z"/>
    <x v="4"/>
    <x v="153"/>
    <s v="22:01:00"/>
    <x v="0"/>
    <m/>
    <m/>
    <n v="1"/>
    <n v="0"/>
    <n v="5"/>
    <n v="6"/>
    <s v="Moderate engagement"/>
    <x v="0"/>
    <b v="0"/>
    <b v="1"/>
    <x v="0"/>
  </r>
  <r>
    <s v="https://x.com/Toyota/status/8836051454"/>
    <s v="Toyota USA"/>
    <s v="@Toyota"/>
    <s v="Toyota President Akio Toyoda authors op-ed piece in @WashingtonPost : http://bit.ly/9Oji6G"/>
    <s v="2010-02-09T02:18:03.000Z"/>
    <x v="4"/>
    <x v="154"/>
    <s v="02:18:03"/>
    <x v="2"/>
    <m/>
    <m/>
    <n v="2"/>
    <n v="0"/>
    <n v="9"/>
    <n v="11"/>
    <s v="High engagement"/>
    <x v="0"/>
    <b v="0"/>
    <b v="1"/>
    <x v="0"/>
  </r>
  <r>
    <s v="https://x.com/Toyota/status/8844689185"/>
    <s v="Toyota USA"/>
    <s v="@Toyota"/>
    <s v="Toyota announces voluntary recall on 2010 model-year Prius and 2010 Lexus HS 250h vehicles to update ABS software http://bit.ly/ds2BRy"/>
    <s v="2010-02-09T06:40:39.000Z"/>
    <x v="4"/>
    <x v="154"/>
    <s v="06:40:39"/>
    <x v="2"/>
    <m/>
    <m/>
    <n v="1"/>
    <n v="0"/>
    <n v="9"/>
    <n v="10"/>
    <s v="High engagement"/>
    <x v="0"/>
    <b v="0"/>
    <b v="1"/>
    <x v="0"/>
  </r>
  <r>
    <s v="https://x.com/Toyota/status/8844741052"/>
    <s v="Toyota USA"/>
    <s v="@Toyota"/>
    <s v="FAQs About the 2010 Prius/2010 Lexus HS 250h/Camry Voluntary Recalls: http://bit.ly/aUL7qm"/>
    <s v="2010-02-09T06:43:26.000Z"/>
    <x v="4"/>
    <x v="154"/>
    <s v="06:43:26"/>
    <x v="2"/>
    <m/>
    <m/>
    <n v="1"/>
    <n v="0"/>
    <n v="14"/>
    <n v="15"/>
    <s v="High engagement"/>
    <x v="0"/>
    <b v="0"/>
    <b v="1"/>
    <x v="0"/>
  </r>
  <r>
    <s v="https://x.com/Toyota/status/8873772254"/>
    <s v="Toyota USA"/>
    <s v="@Toyota"/>
    <s v="Thanks @politicallogic @joeldpalmer! Don't give up on us - we are working hard to make this right."/>
    <s v="2010-02-09T22:26:20.000Z"/>
    <x v="4"/>
    <x v="154"/>
    <s v="22:26:20"/>
    <x v="0"/>
    <m/>
    <m/>
    <n v="1"/>
    <n v="0"/>
    <n v="2"/>
    <n v="3"/>
    <s v="Low engagement"/>
    <x v="0"/>
    <b v="0"/>
    <b v="0"/>
    <x v="1"/>
  </r>
  <r>
    <s v="https://x.com/Toyota/status/8875064065"/>
    <s v="Toyota USA"/>
    <s v="@Toyota"/>
    <s v="@PriusChat Glad to hear that. Thanks."/>
    <s v="2010-02-09T23:00:37.000Z"/>
    <x v="4"/>
    <x v="154"/>
    <s v="23:00:37"/>
    <x v="0"/>
    <s v="@PriusChat"/>
    <m/>
    <n v="0"/>
    <n v="0"/>
    <n v="0"/>
    <n v="0"/>
    <s v="No engagement"/>
    <x v="0"/>
    <b v="0"/>
    <b v="0"/>
    <x v="1"/>
  </r>
  <r>
    <s v="https://x.com/Toyota/status/8881038491"/>
    <s v="Toyota USA"/>
    <s v="@Toyota"/>
    <s v="@appifanie Letters are still going out to customers on the pedal recall. For floormat recall, remove mat &amp; await letter"/>
    <s v="2010-02-10T01:36:31.000Z"/>
    <x v="4"/>
    <x v="155"/>
    <s v="01:36:31"/>
    <x v="2"/>
    <m/>
    <m/>
    <n v="0"/>
    <n v="0"/>
    <n v="0"/>
    <n v="0"/>
    <s v="No engagement"/>
    <x v="0"/>
    <b v="0"/>
    <b v="0"/>
    <x v="1"/>
  </r>
  <r>
    <s v="https://x.com/Toyota/status/8881071837"/>
    <s v="Toyota USA"/>
    <s v="@Toyota"/>
    <s v="@appifanie And continue to check the site for updates on the recall here http://www.toyota.com/recall/"/>
    <s v="2010-02-10T01:37:24.000Z"/>
    <x v="4"/>
    <x v="155"/>
    <s v="01:37:24"/>
    <x v="2"/>
    <m/>
    <m/>
    <n v="0"/>
    <n v="0"/>
    <n v="0"/>
    <n v="0"/>
    <s v="No engagement"/>
    <x v="0"/>
    <b v="0"/>
    <b v="1"/>
    <x v="0"/>
  </r>
  <r>
    <s v="https://x.com/Toyota/status/8881146892"/>
    <s v="Toyota USA"/>
    <s v="@Toyota"/>
    <s v="Thanks @wendys1017 - that's nice of you."/>
    <s v="2010-02-10T01:39:23.000Z"/>
    <x v="4"/>
    <x v="155"/>
    <s v="01:39:23"/>
    <x v="2"/>
    <m/>
    <m/>
    <n v="0"/>
    <n v="0"/>
    <n v="1"/>
    <n v="1"/>
    <s v="Low engagement"/>
    <x v="0"/>
    <b v="0"/>
    <b v="0"/>
    <x v="1"/>
  </r>
  <r>
    <s v="https://x.com/Toyota/status/8881257899"/>
    <s v="Toyota USA"/>
    <s v="@Toyota"/>
    <s v="@Lourdesauria79 2009-2010 VENZA is affected by floormat recall http://www.toyota.com/recall/floormat.html  &amp; still a great vehicle ^DM"/>
    <s v="2010-02-10T01:42:16.000Z"/>
    <x v="4"/>
    <x v="155"/>
    <s v="01:42:16"/>
    <x v="2"/>
    <s v="@Lourdesauria79"/>
    <m/>
    <n v="0"/>
    <n v="0"/>
    <n v="0"/>
    <n v="0"/>
    <s v="No engagement"/>
    <x v="0"/>
    <b v="0"/>
    <b v="1"/>
    <x v="0"/>
  </r>
  <r>
    <s v="https://x.com/Toyota/status/8881544708"/>
    <s v="Toyota USA"/>
    <s v="@Toyota"/>
    <s v="RT@caroniclea Just scheduled my #Prius brake software upgrade! Dont worry @3GenPrius &amp; @Toyota, I still believe in you and appreciate 50MPG!"/>
    <s v="2010-02-10T01:49:47.000Z"/>
    <x v="4"/>
    <x v="155"/>
    <s v="01:49:47"/>
    <x v="2"/>
    <m/>
    <m/>
    <n v="0"/>
    <n v="0"/>
    <n v="4"/>
    <n v="4"/>
    <s v="Low engagement"/>
    <x v="0"/>
    <b v="0"/>
    <b v="0"/>
    <x v="1"/>
  </r>
  <r>
    <s v="https://x.com/Toyota/status/8881597339"/>
    <s v="Toyota USA"/>
    <s v="@Toyota"/>
    <s v="Hi @jrob350 - Thank you kindly ; ) ^DM"/>
    <s v="2010-02-10T01:51:08.000Z"/>
    <x v="4"/>
    <x v="155"/>
    <s v="01:51:08"/>
    <x v="2"/>
    <m/>
    <m/>
    <n v="0"/>
    <n v="0"/>
    <n v="1"/>
    <n v="1"/>
    <s v="Low engagement"/>
    <x v="0"/>
    <b v="0"/>
    <b v="0"/>
    <x v="1"/>
  </r>
  <r>
    <s v="https://x.com/Toyota/status/8909031633"/>
    <s v="Toyota USA"/>
    <s v="@Toyota"/>
    <s v="Toyota USA Group VP &amp; GM, Bob Carter speaks at 2010 Chicago Auto Show http://bit.ly/cx6Gd6"/>
    <s v="2010-02-10T16:53:35.000Z"/>
    <x v="4"/>
    <x v="155"/>
    <s v="16:53:35"/>
    <x v="1"/>
    <m/>
    <m/>
    <n v="0"/>
    <n v="0"/>
    <n v="5"/>
    <n v="5"/>
    <s v="Moderate engagement"/>
    <x v="0"/>
    <b v="0"/>
    <b v="1"/>
    <x v="0"/>
  </r>
  <r>
    <s v="https://x.com/Toyota/status/8911593671"/>
    <s v="Toyota USA"/>
    <s v="@Toyota"/>
    <s v="Check out Edmunds’ recall analysis http://bit.ly/cZu5dK"/>
    <s v="2010-02-10T17:57:24.000Z"/>
    <x v="4"/>
    <x v="155"/>
    <s v="17:57:24"/>
    <x v="1"/>
    <m/>
    <m/>
    <n v="3"/>
    <n v="0"/>
    <n v="14"/>
    <n v="17"/>
    <s v="High engagement"/>
    <x v="0"/>
    <b v="0"/>
    <b v="1"/>
    <x v="0"/>
  </r>
  <r>
    <s v="https://x.com/Toyota/status/8914706354"/>
    <s v="Toyota USA"/>
    <s v="@Toyota"/>
    <s v="RT@PriusChat received access to 2010 Prius brake ECU software update yesterday. we have some info &amp; video to share http://bit.ly/bOOqJj"/>
    <s v="2010-02-10T19:17:14.000Z"/>
    <x v="4"/>
    <x v="155"/>
    <s v="19:17:14"/>
    <x v="0"/>
    <m/>
    <m/>
    <n v="2"/>
    <n v="0"/>
    <n v="8"/>
    <n v="10"/>
    <s v="High engagement"/>
    <x v="0"/>
    <b v="0"/>
    <b v="1"/>
    <x v="0"/>
  </r>
  <r>
    <s v="https://x.com/Toyota/status/8915104723"/>
    <s v="Toyota USA"/>
    <s v="@Toyota"/>
    <s v="Toyota USA VP Bob Carter speaks to CNBC's Phil LeBeau http://bit.ly/cHMv1m"/>
    <s v="2010-02-10T19:27:26.000Z"/>
    <x v="4"/>
    <x v="155"/>
    <s v="19:27:26"/>
    <x v="0"/>
    <m/>
    <m/>
    <n v="1"/>
    <n v="0"/>
    <n v="3"/>
    <n v="4"/>
    <s v="Low engagement"/>
    <x v="0"/>
    <b v="0"/>
    <b v="1"/>
    <x v="0"/>
  </r>
  <r>
    <s v="https://x.com/Toyota/status/8923092174"/>
    <s v="Toyota USA"/>
    <s v="@Toyota"/>
    <s v="So far, our dealers have reinforced the accelerator pedal on more than 220K vehicles + now running at a pace of more than 50K units a day."/>
    <s v="2010-02-10T22:54:35.000Z"/>
    <x v="4"/>
    <x v="155"/>
    <s v="22:54:35"/>
    <x v="0"/>
    <m/>
    <m/>
    <n v="3"/>
    <n v="0"/>
    <n v="13"/>
    <n v="16"/>
    <s v="High engagement"/>
    <x v="0"/>
    <b v="0"/>
    <b v="0"/>
    <x v="1"/>
  </r>
  <r>
    <s v="https://x.com/Toyota/status/8972705988"/>
    <s v="Toyota USA"/>
    <s v="@Toyota"/>
    <s v="Currently reading... @NPRnews: Despite Glitches, Electronics Make Cars Safer http://bit.ly/bUgrou"/>
    <s v="2010-02-11T18:47:08.000Z"/>
    <x v="4"/>
    <x v="156"/>
    <s v="18:47:08"/>
    <x v="0"/>
    <m/>
    <m/>
    <n v="0"/>
    <n v="0"/>
    <n v="3"/>
    <n v="3"/>
    <s v="Low engagement"/>
    <x v="0"/>
    <b v="0"/>
    <b v="1"/>
    <x v="0"/>
  </r>
  <r>
    <s v="https://x.com/Toyota/status/8977602432"/>
    <s v="Toyota USA"/>
    <s v="@Toyota"/>
    <s v="@ijmfx Thanks Jamie.  Appreciate the support. ^SD"/>
    <s v="2010-02-11T21:04:13.000Z"/>
    <x v="4"/>
    <x v="156"/>
    <s v="21:04:13"/>
    <x v="0"/>
    <m/>
    <m/>
    <n v="0"/>
    <n v="0"/>
    <n v="0"/>
    <n v="0"/>
    <s v="No engagement"/>
    <x v="0"/>
    <b v="0"/>
    <b v="0"/>
    <x v="1"/>
  </r>
  <r>
    <s v="https://x.com/Toyota/status/8980397819"/>
    <s v="Toyota USA"/>
    <s v="@Toyota"/>
    <s v="@ecrabb Thanks Erin."/>
    <s v="2010-02-11T22:20:15.000Z"/>
    <x v="4"/>
    <x v="156"/>
    <s v="22:20:15"/>
    <x v="0"/>
    <m/>
    <m/>
    <n v="0"/>
    <n v="0"/>
    <n v="0"/>
    <n v="0"/>
    <s v="No engagement"/>
    <x v="0"/>
    <b v="0"/>
    <b v="0"/>
    <x v="1"/>
  </r>
  <r>
    <s v="https://x.com/Toyota/status/8982734005"/>
    <s v="Toyota USA"/>
    <s v="@Toyota"/>
    <s v="Vid: Toyota reveals 2011 Avalon - Chicago Auto Show http://bit.ly/a1ePMx"/>
    <s v="2010-02-11T23:22:14.000Z"/>
    <x v="4"/>
    <x v="156"/>
    <s v="23:22:14"/>
    <x v="0"/>
    <m/>
    <m/>
    <n v="1"/>
    <n v="0"/>
    <n v="10"/>
    <n v="11"/>
    <s v="High engagement"/>
    <x v="0"/>
    <b v="0"/>
    <b v="1"/>
    <x v="0"/>
  </r>
  <r>
    <s v="https://x.com/Toyota/status/9021255613"/>
    <s v="Toyota USA"/>
    <s v="@Toyota"/>
    <s v="Currently reading BusinessWeek article http://bit.ly/cdEE0T"/>
    <s v="2010-02-12T18:59:41.000Z"/>
    <x v="4"/>
    <x v="157"/>
    <s v="18:59:41"/>
    <x v="0"/>
    <m/>
    <m/>
    <n v="2"/>
    <n v="0"/>
    <n v="6"/>
    <n v="8"/>
    <s v="Moderate engagement"/>
    <x v="0"/>
    <b v="0"/>
    <b v="1"/>
    <x v="0"/>
  </r>
  <r>
    <s v="https://x.com/Toyota/status/9024801624"/>
    <s v="Toyota USA"/>
    <s v="@Toyota"/>
    <s v="Heads up...the official @ToyotaRacing channel is now on Twitter. ^SD"/>
    <s v="2010-02-12T20:40:30.000Z"/>
    <x v="4"/>
    <x v="157"/>
    <s v="20:40:30"/>
    <x v="0"/>
    <m/>
    <m/>
    <n v="0"/>
    <n v="0"/>
    <n v="3"/>
    <n v="3"/>
    <s v="Low engagement"/>
    <x v="0"/>
    <b v="0"/>
    <b v="0"/>
    <x v="1"/>
  </r>
  <r>
    <s v="https://x.com/Toyota/status/9025079958"/>
    <s v="Toyota USA"/>
    <s v="@Toyota"/>
    <s v="@tswei_chen Our corporate @ToyotaRacing division is handling those tweets."/>
    <s v="2010-02-12T20:48:28.000Z"/>
    <x v="4"/>
    <x v="157"/>
    <s v="20:48:28"/>
    <x v="0"/>
    <m/>
    <m/>
    <n v="0"/>
    <n v="0"/>
    <n v="0"/>
    <n v="0"/>
    <s v="No engagement"/>
    <x v="0"/>
    <b v="0"/>
    <b v="0"/>
    <x v="1"/>
  </r>
  <r>
    <s v="https://x.com/Toyota/status/9026750338"/>
    <s v="Toyota USA"/>
    <s v="@Toyota"/>
    <s v="Olympic opening ceremonies tonight! Cheer on Toyota Women’s Snowboarder @ElenaHight and wish her lots of luck!"/>
    <s v="2010-02-12T21:35:56.000Z"/>
    <x v="4"/>
    <x v="157"/>
    <s v="21:35:56"/>
    <x v="0"/>
    <m/>
    <m/>
    <n v="0"/>
    <n v="0"/>
    <n v="6"/>
    <n v="6"/>
    <s v="Moderate engagement"/>
    <x v="0"/>
    <b v="0"/>
    <b v="0"/>
    <x v="1"/>
  </r>
  <r>
    <s v="https://x.com/Toyota/status/9030171913"/>
    <s v="Toyota USA"/>
    <s v="@Toyota"/>
    <s v="Toyota Announces Voluntary Recall on 8,000 2010 Model Year Tacoma 4WD Trucks to Inspect the Front Drive Shaft http://bit.ly/bX4uQP"/>
    <s v="2010-02-12T23:12:30.000Z"/>
    <x v="4"/>
    <x v="157"/>
    <s v="23:12:30"/>
    <x v="0"/>
    <m/>
    <m/>
    <n v="1"/>
    <n v="0"/>
    <n v="11"/>
    <n v="12"/>
    <s v="High engagement"/>
    <x v="0"/>
    <b v="0"/>
    <b v="1"/>
    <x v="0"/>
  </r>
  <r>
    <s v="https://x.com/Toyota/status/9079678239"/>
    <s v="Toyota USA"/>
    <s v="@Toyota"/>
    <s v="Update: Exponent Report on the Company’s Electronic Throttle Control System http://bit.ly/l01Ni"/>
    <s v="2010-02-14T02:08:59.000Z"/>
    <x v="4"/>
    <x v="158"/>
    <s v="02:08:59"/>
    <x v="2"/>
    <m/>
    <m/>
    <n v="1"/>
    <n v="0"/>
    <n v="4"/>
    <n v="5"/>
    <s v="Moderate engagement"/>
    <x v="0"/>
    <b v="0"/>
    <b v="1"/>
    <x v="0"/>
  </r>
  <r>
    <s v="https://x.com/Toyota/status/9191455752"/>
    <s v="Toyota USA"/>
    <s v="@Toyota"/>
    <s v="@Mocha333 2000 Corollas not involved in listed recalls. http://www.toyota.com/recall/"/>
    <s v="2010-02-16T16:30:34.000Z"/>
    <x v="4"/>
    <x v="159"/>
    <s v="16:30:34"/>
    <x v="1"/>
    <s v="@Mocha333"/>
    <m/>
    <n v="0"/>
    <n v="0"/>
    <n v="2"/>
    <n v="2"/>
    <s v="Low engagement"/>
    <x v="0"/>
    <b v="0"/>
    <b v="1"/>
    <x v="0"/>
  </r>
  <r>
    <s v="https://x.com/Toyota/status/9242760309"/>
    <s v="Toyota USA"/>
    <s v="@Toyota"/>
    <s v="Lookng forward to your arrival. RT @maxpapis Good day from Torrance heading to @toyota headquarters for motorsport day (@toyotaracing)"/>
    <s v="2010-02-17T17:24:52.000Z"/>
    <x v="4"/>
    <x v="160"/>
    <s v="17:24:52"/>
    <x v="1"/>
    <m/>
    <m/>
    <n v="1"/>
    <n v="0"/>
    <n v="2"/>
    <n v="3"/>
    <s v="Low engagement"/>
    <x v="0"/>
    <b v="0"/>
    <b v="0"/>
    <x v="1"/>
  </r>
  <r>
    <s v="https://x.com/Toyota/status/9245082517"/>
    <s v="Toyota USA"/>
    <s v="@Toyota"/>
    <s v="@WineTwits we're following you back - feel free to DM us"/>
    <s v="2010-02-17T18:25:25.000Z"/>
    <x v="4"/>
    <x v="160"/>
    <s v="18:25:25"/>
    <x v="0"/>
    <s v="@WineTwits"/>
    <m/>
    <n v="0"/>
    <n v="0"/>
    <n v="0"/>
    <n v="0"/>
    <s v="No engagement"/>
    <x v="0"/>
    <b v="0"/>
    <b v="0"/>
    <x v="1"/>
  </r>
  <r>
    <s v="https://x.com/Toyota/status/9251507523"/>
    <s v="Toyota USA"/>
    <s v="@Toyota"/>
    <s v="@NealStewart Hi Neal. We have high confidence in our solution which has been rigorously tested."/>
    <s v="2010-02-17T21:15:54.000Z"/>
    <x v="4"/>
    <x v="160"/>
    <s v="21:15:54"/>
    <x v="0"/>
    <s v="@NealStewart"/>
    <m/>
    <n v="0"/>
    <n v="0"/>
    <n v="1"/>
    <n v="1"/>
    <s v="Low engagement"/>
    <x v="0"/>
    <b v="0"/>
    <b v="0"/>
    <x v="1"/>
  </r>
  <r>
    <s v="https://x.com/Toyota/status/9258418297"/>
    <s v="Toyota USA"/>
    <s v="@Toyota"/>
    <s v="@lindastrasberg The Toyota vehicles affected by the recall were made in plants located in North America &amp; Japan"/>
    <s v="2010-02-18T00:12:28.000Z"/>
    <x v="4"/>
    <x v="161"/>
    <s v="00:12:28"/>
    <x v="2"/>
    <m/>
    <m/>
    <n v="0"/>
    <n v="0"/>
    <n v="0"/>
    <n v="0"/>
    <s v="No engagement"/>
    <x v="0"/>
    <b v="0"/>
    <b v="0"/>
    <x v="1"/>
  </r>
  <r>
    <s v="https://x.com/Toyota/status/9294837883"/>
    <s v="Toyota USA"/>
    <s v="@Toyota"/>
    <s v="@CobraKai817 Thanks George.  That's always good to see."/>
    <s v="2010-02-18T18:21:19.000Z"/>
    <x v="4"/>
    <x v="161"/>
    <s v="18:21:19"/>
    <x v="0"/>
    <s v="@georgehabuki"/>
    <m/>
    <n v="0"/>
    <n v="0"/>
    <n v="0"/>
    <n v="0"/>
    <s v="No engagement"/>
    <x v="0"/>
    <b v="0"/>
    <b v="0"/>
    <x v="1"/>
  </r>
  <r>
    <s v="https://x.com/Toyota/status/9303550488"/>
    <s v="Toyota USA"/>
    <s v="@Toyota"/>
    <s v="Toyota-sponsored U.S. athlete @ElenaHight has Olympic semis today at 4:00pm PT. Best of luck! Women’s Snowboard finals at 6pm PT"/>
    <s v="2010-02-18T22:07:39.000Z"/>
    <x v="4"/>
    <x v="161"/>
    <s v="22:07:39"/>
    <x v="0"/>
    <m/>
    <m/>
    <n v="0"/>
    <n v="0"/>
    <n v="4"/>
    <n v="4"/>
    <s v="Low engagement"/>
    <x v="0"/>
    <b v="0"/>
    <b v="0"/>
    <x v="1"/>
  </r>
  <r>
    <s v="https://x.com/Toyota/status/9303747312"/>
    <s v="Toyota USA"/>
    <s v="@Toyota"/>
    <s v="@moiraop Hi Moira. Yes, we've seen that. Thanks."/>
    <s v="2010-02-18T22:12:19.000Z"/>
    <x v="4"/>
    <x v="161"/>
    <s v="22:12:19"/>
    <x v="0"/>
    <s v="@moiraop"/>
    <m/>
    <n v="0"/>
    <n v="0"/>
    <n v="0"/>
    <n v="0"/>
    <s v="No engagement"/>
    <x v="0"/>
    <b v="0"/>
    <b v="0"/>
    <x v="1"/>
  </r>
  <r>
    <s v="https://x.com/Toyota/status/9304713264"/>
    <s v="Toyota USA"/>
    <s v="@Toyota"/>
    <s v="Statement from Akio Toyoda Responding to Invitation to Testify http://bit.ly/965Icf"/>
    <s v="2010-02-18T22:35:08.000Z"/>
    <x v="4"/>
    <x v="161"/>
    <s v="22:35:08"/>
    <x v="0"/>
    <m/>
    <m/>
    <n v="1"/>
    <n v="0"/>
    <n v="9"/>
    <n v="10"/>
    <s v="High engagement"/>
    <x v="0"/>
    <b v="0"/>
    <b v="1"/>
    <x v="0"/>
  </r>
  <r>
    <s v="https://x.com/Toyota/status/9456543961"/>
    <s v="Toyota USA"/>
    <s v="@Toyota"/>
    <s v="Toyota statement re: documents shared with Congress http://bit.ly/cnmPSA"/>
    <s v="2010-02-22T02:20:51.000Z"/>
    <x v="4"/>
    <x v="162"/>
    <s v="02:20:51"/>
    <x v="2"/>
    <m/>
    <m/>
    <n v="1"/>
    <n v="0"/>
    <n v="3"/>
    <n v="4"/>
    <s v="Low engagement"/>
    <x v="0"/>
    <b v="0"/>
    <b v="1"/>
    <x v="0"/>
  </r>
  <r>
    <s v="https://x.com/Toyota/status/9499680508"/>
    <s v="Toyota USA"/>
    <s v="@Toyota"/>
    <s v="Reading &amp; discussing @mashable Could the Toyota Recall Crisis be Helping the Brand? http://bit.ly/b3jeew post"/>
    <s v="2010-02-22T23:44:50.000Z"/>
    <x v="4"/>
    <x v="162"/>
    <s v="23:44:50"/>
    <x v="0"/>
    <m/>
    <m/>
    <n v="3"/>
    <n v="1"/>
    <n v="7"/>
    <n v="11"/>
    <s v="High engagement"/>
    <x v="0"/>
    <b v="0"/>
    <b v="1"/>
    <x v="0"/>
  </r>
  <r>
    <s v="https://x.com/Toyota/status/9502397228"/>
    <s v="Toyota USA"/>
    <s v="@Toyota"/>
    <s v="WSJ.com - Opinion: Back to Basics for Toyota http://on.wsj.com/bc1Tzd written by Akio Toyoda"/>
    <s v="2010-02-23T00:49:56.000Z"/>
    <x v="4"/>
    <x v="163"/>
    <s v="00:49:56"/>
    <x v="2"/>
    <m/>
    <m/>
    <n v="3"/>
    <n v="0"/>
    <n v="7"/>
    <n v="10"/>
    <s v="High engagement"/>
    <x v="0"/>
    <b v="0"/>
    <b v="1"/>
    <x v="0"/>
  </r>
  <r>
    <s v="https://x.com/Toyota/status/9502766283"/>
    <s v="Toyota USA"/>
    <s v="@Toyota"/>
    <s v="Thanks @NigerianOnDaGo! That is nice to hear. : )"/>
    <s v="2010-02-23T00:58:51.000Z"/>
    <x v="4"/>
    <x v="163"/>
    <s v="00:58:51"/>
    <x v="2"/>
    <m/>
    <m/>
    <n v="0"/>
    <n v="0"/>
    <n v="0"/>
    <n v="0"/>
    <s v="No engagement"/>
    <x v="0"/>
    <b v="0"/>
    <b v="0"/>
    <x v="1"/>
  </r>
  <r>
    <s v="https://x.com/Toyota/status/9503114959"/>
    <s v="Toyota USA"/>
    <s v="@Toyota"/>
    <s v="Toyota extends brake override feature on an expanded range of customers’ vehicles http://bit.ly/cIUHv8"/>
    <s v="2010-02-23T01:06:54.000Z"/>
    <x v="4"/>
    <x v="163"/>
    <s v="01:06:54"/>
    <x v="2"/>
    <m/>
    <m/>
    <n v="2"/>
    <n v="0"/>
    <n v="5"/>
    <n v="7"/>
    <s v="Moderate engagement"/>
    <x v="0"/>
    <b v="0"/>
    <b v="1"/>
    <x v="0"/>
  </r>
  <r>
    <s v="https://x.com/Toyota/status/9503187833"/>
    <s v="Toyota USA"/>
    <s v="@Toyota"/>
    <s v="Hi @jennmui glad to hear it!"/>
    <s v="2010-02-23T01:08:41.000Z"/>
    <x v="4"/>
    <x v="163"/>
    <s v="01:08:41"/>
    <x v="2"/>
    <m/>
    <m/>
    <n v="0"/>
    <n v="0"/>
    <n v="0"/>
    <n v="0"/>
    <s v="No engagement"/>
    <x v="0"/>
    <b v="0"/>
    <b v="0"/>
    <x v="1"/>
  </r>
  <r>
    <s v="https://x.com/Toyota/status/9503212239"/>
    <s v="Toyota USA"/>
    <s v="@Toyota"/>
    <s v="Thanks for sharing the kind words @Floridagordon : )"/>
    <s v="2010-02-23T01:09:17.000Z"/>
    <x v="4"/>
    <x v="163"/>
    <s v="01:09:17"/>
    <x v="2"/>
    <m/>
    <m/>
    <n v="0"/>
    <n v="0"/>
    <n v="0"/>
    <n v="0"/>
    <s v="No engagement"/>
    <x v="0"/>
    <b v="0"/>
    <b v="0"/>
    <x v="1"/>
  </r>
  <r>
    <s v="https://x.com/Toyota/status/9503250246"/>
    <s v="Toyota USA"/>
    <s v="@Toyota"/>
    <s v="@moniquefuruta Thank you! It's nice to get some positive feedback ; ) ^DM"/>
    <s v="2010-02-23T01:10:11.000Z"/>
    <x v="4"/>
    <x v="163"/>
    <s v="01:10:11"/>
    <x v="2"/>
    <s v="@monique_furuta"/>
    <m/>
    <n v="0"/>
    <n v="0"/>
    <n v="1"/>
    <n v="1"/>
    <s v="Low engagement"/>
    <x v="0"/>
    <b v="0"/>
    <b v="0"/>
    <x v="1"/>
  </r>
  <r>
    <s v="https://x.com/Toyota/status/9503286216"/>
    <s v="Toyota USA"/>
    <s v="@Toyota"/>
    <s v="Hi @PSTOC &amp; @autobotnate - Thanks for your support. : ) ^DM"/>
    <s v="2010-02-23T01:11:03.000Z"/>
    <x v="4"/>
    <x v="163"/>
    <s v="01:11:03"/>
    <x v="2"/>
    <m/>
    <m/>
    <n v="0"/>
    <n v="0"/>
    <n v="0"/>
    <n v="0"/>
    <s v="No engagement"/>
    <x v="0"/>
    <b v="0"/>
    <b v="0"/>
    <x v="1"/>
  </r>
  <r>
    <s v="https://x.com/Toyota/status/9503374707"/>
    <s v="Toyota USA"/>
    <s v="@Toyota"/>
    <s v="Hi @youtomama0307 There are real people behind the brand working to do right for our customers ^DM"/>
    <s v="2010-02-23T01:13:12.000Z"/>
    <x v="4"/>
    <x v="163"/>
    <s v="01:13:12"/>
    <x v="2"/>
    <m/>
    <m/>
    <n v="1"/>
    <n v="0"/>
    <n v="1"/>
    <n v="2"/>
    <s v="Low engagement"/>
    <x v="0"/>
    <b v="0"/>
    <b v="0"/>
    <x v="1"/>
  </r>
  <r>
    <s v="https://x.com/Toyota/status/9503402081"/>
    <s v="Toyota USA"/>
    <s v="@Toyota"/>
    <s v="Hi @NigerianOnDaGo @the1rep Happy to hear from you. ^DM"/>
    <s v="2010-02-23T01:13:53.000Z"/>
    <x v="4"/>
    <x v="163"/>
    <s v="01:13:53"/>
    <x v="2"/>
    <m/>
    <m/>
    <n v="0"/>
    <n v="0"/>
    <n v="0"/>
    <n v="0"/>
    <s v="No engagement"/>
    <x v="0"/>
    <b v="0"/>
    <b v="0"/>
    <x v="1"/>
  </r>
  <r>
    <s v="https://x.com/Toyota/status/9503438218"/>
    <s v="Toyota USA"/>
    <s v="@Toyota"/>
    <s v="@reefmedia Thanks for making my day with your comment! ^DM"/>
    <s v="2010-02-23T01:14:47.000Z"/>
    <x v="4"/>
    <x v="163"/>
    <s v="01:14:47"/>
    <x v="2"/>
    <m/>
    <m/>
    <n v="0"/>
    <n v="0"/>
    <n v="0"/>
    <n v="0"/>
    <s v="No engagement"/>
    <x v="0"/>
    <b v="0"/>
    <b v="0"/>
    <x v="1"/>
  </r>
  <r>
    <s v="https://x.com/Toyota/status/9503537845"/>
    <s v="Toyota USA"/>
    <s v="@Toyota"/>
    <s v="Hi @lanmanna thanks : )"/>
    <s v="2010-02-23T01:17:13.000Z"/>
    <x v="4"/>
    <x v="163"/>
    <s v="01:17:13"/>
    <x v="2"/>
    <m/>
    <m/>
    <n v="0"/>
    <n v="0"/>
    <n v="0"/>
    <n v="0"/>
    <s v="No engagement"/>
    <x v="0"/>
    <b v="0"/>
    <b v="0"/>
    <x v="1"/>
  </r>
  <r>
    <s v="https://x.com/Toyota/status/9504131784"/>
    <s v="Toyota USA"/>
    <s v="@Toyota"/>
    <s v="thanks @Conner_Man we are happy to hear that ; )"/>
    <s v="2010-02-23T01:31:18.000Z"/>
    <x v="4"/>
    <x v="163"/>
    <s v="01:31:18"/>
    <x v="2"/>
    <m/>
    <m/>
    <n v="0"/>
    <n v="0"/>
    <n v="0"/>
    <n v="0"/>
    <s v="No engagement"/>
    <x v="0"/>
    <b v="0"/>
    <b v="0"/>
    <x v="1"/>
  </r>
  <r>
    <s v="https://x.com/Toyota/status/9504209672"/>
    <s v="Toyota USA"/>
    <s v="@Toyota"/>
    <s v="Hi there @OffsetPhoto. Wow, we're getting some good owner comments today. ^DM"/>
    <s v="2010-02-23T01:33:11.000Z"/>
    <x v="4"/>
    <x v="163"/>
    <s v="01:33:11"/>
    <x v="2"/>
    <m/>
    <m/>
    <n v="0"/>
    <n v="0"/>
    <n v="0"/>
    <n v="0"/>
    <s v="No engagement"/>
    <x v="0"/>
    <b v="0"/>
    <b v="0"/>
    <x v="1"/>
  </r>
  <r>
    <s v="https://x.com/Toyota/status/9504312582"/>
    <s v="Toyota USA"/>
    <s v="@Toyota"/>
    <s v="Hi there @SamInsalaco @htomborr @edwardjenkins This is amazing! Thank you for the encouraging comments."/>
    <s v="2010-02-23T01:35:42.000Z"/>
    <x v="4"/>
    <x v="163"/>
    <s v="01:35:42"/>
    <x v="2"/>
    <m/>
    <m/>
    <n v="0"/>
    <n v="0"/>
    <n v="0"/>
    <n v="0"/>
    <s v="No engagement"/>
    <x v="0"/>
    <b v="0"/>
    <b v="0"/>
    <x v="1"/>
  </r>
  <r>
    <s v="https://x.com/Toyota/status/9504356373"/>
    <s v="Toyota USA"/>
    <s v="@Toyota"/>
    <s v="@garthmansion Yes!"/>
    <s v="2010-02-23T01:36:48.000Z"/>
    <x v="4"/>
    <x v="163"/>
    <s v="01:36:48"/>
    <x v="2"/>
    <s v="@garthmansion"/>
    <m/>
    <n v="0"/>
    <n v="0"/>
    <n v="0"/>
    <n v="0"/>
    <s v="No engagement"/>
    <x v="0"/>
    <b v="0"/>
    <b v="0"/>
    <x v="1"/>
  </r>
  <r>
    <s v="https://x.com/Toyota/status/9504395273"/>
    <s v="Toyota USA"/>
    <s v="@Toyota"/>
    <s v="@Emily30075 Thanks ; )"/>
    <s v="2010-02-23T01:37:46.000Z"/>
    <x v="4"/>
    <x v="163"/>
    <s v="01:37:46"/>
    <x v="2"/>
    <m/>
    <m/>
    <n v="0"/>
    <n v="0"/>
    <n v="0"/>
    <n v="0"/>
    <s v="No engagement"/>
    <x v="0"/>
    <b v="0"/>
    <b v="0"/>
    <x v="1"/>
  </r>
  <r>
    <s v="https://x.com/Toyota/status/9504461243"/>
    <s v="Toyota USA"/>
    <s v="@Toyota"/>
    <s v="Hey @FireCat_7 @emilianozv - Thank you for your comments. This is making a Monday less of a Monday. ; )"/>
    <s v="2010-02-23T01:39:21.000Z"/>
    <x v="4"/>
    <x v="163"/>
    <s v="01:39:21"/>
    <x v="2"/>
    <m/>
    <m/>
    <n v="0"/>
    <n v="0"/>
    <n v="1"/>
    <n v="1"/>
    <s v="Low engagement"/>
    <x v="0"/>
    <b v="0"/>
    <b v="0"/>
    <x v="1"/>
  </r>
  <r>
    <s v="https://x.com/Toyota/status/9504510205"/>
    <s v="Toyota USA"/>
    <s v="@Toyota"/>
    <s v="@Lee873 glad you love the 06 RAV &amp; 05 Matrix. I drive a 2010 Yaris ; ) ^DM"/>
    <s v="2010-02-23T01:40:30.000Z"/>
    <x v="4"/>
    <x v="163"/>
    <s v="01:40:30"/>
    <x v="2"/>
    <m/>
    <m/>
    <n v="0"/>
    <n v="0"/>
    <n v="0"/>
    <n v="0"/>
    <s v="No engagement"/>
    <x v="0"/>
    <b v="0"/>
    <b v="0"/>
    <x v="1"/>
  </r>
  <r>
    <s v="https://x.com/Toyota/status/9504556414"/>
    <s v="Toyota USA"/>
    <s v="@Toyota"/>
    <s v="@lanmanna I wish I could : )"/>
    <s v="2010-02-23T01:41:38.000Z"/>
    <x v="4"/>
    <x v="163"/>
    <s v="01:41:38"/>
    <x v="2"/>
    <s v="@lanmanna"/>
    <m/>
    <n v="0"/>
    <n v="0"/>
    <n v="0"/>
    <n v="0"/>
    <s v="No engagement"/>
    <x v="0"/>
    <b v="0"/>
    <b v="0"/>
    <x v="1"/>
  </r>
  <r>
    <s v="https://x.com/Toyota/status/9504607914"/>
    <s v="Toyota USA"/>
    <s v="@Toyota"/>
    <s v="Hi @OmarHenry @strawhatasif @Benne420 - What great stories about your vehicles. Thanks for sharing ^DM"/>
    <s v="2010-02-23T01:42:52.000Z"/>
    <x v="4"/>
    <x v="163"/>
    <s v="01:42:52"/>
    <x v="2"/>
    <m/>
    <m/>
    <n v="0"/>
    <n v="0"/>
    <n v="2"/>
    <n v="2"/>
    <s v="Low engagement"/>
    <x v="0"/>
    <b v="0"/>
    <b v="0"/>
    <x v="1"/>
  </r>
  <r>
    <s v="https://x.com/Toyota/status/9507596916"/>
    <s v="Toyota USA"/>
    <s v="@Toyota"/>
    <s v="Statement Regarding ABC News Story: Expert Recreates Sudden Acceleration in Toyota http://bit.ly/dtGSgv"/>
    <s v="2010-02-23T02:55:57.000Z"/>
    <x v="4"/>
    <x v="163"/>
    <s v="02:55:57"/>
    <x v="2"/>
    <m/>
    <m/>
    <n v="3"/>
    <n v="0"/>
    <n v="12"/>
    <n v="15"/>
    <s v="High engagement"/>
    <x v="0"/>
    <b v="0"/>
    <b v="1"/>
    <x v="0"/>
  </r>
  <r>
    <s v="https://x.com/Toyota/status/9536648238"/>
    <s v="Toyota USA"/>
    <s v="@Toyota"/>
    <s v="James Lentz Testimony to House Committee on Energy and Commerce: read statement here http://bit.ly/cdjoWT"/>
    <s v="2010-02-23T18:21:04.000Z"/>
    <x v="4"/>
    <x v="163"/>
    <s v="18:21:04"/>
    <x v="0"/>
    <m/>
    <m/>
    <n v="1"/>
    <n v="0"/>
    <n v="2"/>
    <n v="3"/>
    <s v="Low engagement"/>
    <x v="0"/>
    <b v="0"/>
    <b v="1"/>
    <x v="0"/>
  </r>
  <r>
    <s v="https://x.com/Toyota/status/9542854948"/>
    <s v="Toyota USA"/>
    <s v="@Toyota"/>
    <s v="Update: Our Work With Exponent http://bit.ly/cg0sau"/>
    <s v="2010-02-23T21:11:36.000Z"/>
    <x v="4"/>
    <x v="163"/>
    <s v="21:11:36"/>
    <x v="0"/>
    <m/>
    <m/>
    <n v="0"/>
    <n v="0"/>
    <n v="2"/>
    <n v="2"/>
    <s v="Low engagement"/>
    <x v="0"/>
    <b v="0"/>
    <b v="1"/>
    <x v="0"/>
  </r>
  <r>
    <s v="https://x.com/Toyota/status/9545474642"/>
    <s v="Toyota USA"/>
    <s v="@Toyota"/>
    <s v="@blatantlybianca Hi Bianca. Go here to check your VIN: http://bit.ly/aNNCr4"/>
    <s v="2010-02-23T22:18:28.000Z"/>
    <x v="4"/>
    <x v="163"/>
    <s v="22:18:28"/>
    <x v="0"/>
    <s v="@blatantlybianca"/>
    <m/>
    <n v="0"/>
    <n v="0"/>
    <n v="1"/>
    <n v="1"/>
    <s v="Low engagement"/>
    <x v="0"/>
    <b v="0"/>
    <b v="1"/>
    <x v="0"/>
  </r>
  <r>
    <s v="https://x.com/Toyota/status/9584574659"/>
    <s v="Toyota USA"/>
    <s v="@Toyota"/>
    <s v="Akio Toyoda: Testimony to House Committee on Oversight and Government Reform http://bit.ly/a51u2f"/>
    <s v="2010-02-24T17:22:50.000Z"/>
    <x v="4"/>
    <x v="164"/>
    <s v="17:22:50"/>
    <x v="1"/>
    <m/>
    <m/>
    <n v="2"/>
    <n v="0"/>
    <n v="7"/>
    <n v="9"/>
    <s v="Moderate engagement"/>
    <x v="0"/>
    <b v="0"/>
    <b v="1"/>
    <x v="0"/>
  </r>
  <r>
    <s v="https://x.com/Toyota/status/9584607249"/>
    <s v="Toyota USA"/>
    <s v="@Toyota"/>
    <s v="Yoshimi Inaba: Testimony to House Committee on Oversight and Government Reform http://bit.ly/cMQAd2"/>
    <s v="2010-02-24T17:23:43.000Z"/>
    <x v="4"/>
    <x v="164"/>
    <s v="17:23:43"/>
    <x v="1"/>
    <m/>
    <m/>
    <n v="2"/>
    <n v="0"/>
    <n v="4"/>
    <n v="6"/>
    <s v="Moderate engagement"/>
    <x v="0"/>
    <b v="0"/>
    <b v="1"/>
    <x v="0"/>
  </r>
  <r>
    <s v="https://x.com/Toyota/status/9584932838"/>
    <s v="Toyota USA"/>
    <s v="@Toyota"/>
    <s v="Toyota to Provide Additional Services to New York Customers Affected by Recent Recalls http://bit.ly/cnoGng"/>
    <s v="2010-02-24T17:32:30.000Z"/>
    <x v="4"/>
    <x v="164"/>
    <s v="17:32:30"/>
    <x v="1"/>
    <m/>
    <m/>
    <n v="0"/>
    <n v="0"/>
    <n v="4"/>
    <n v="4"/>
    <s v="Low engagement"/>
    <x v="0"/>
    <b v="0"/>
    <b v="1"/>
    <x v="0"/>
  </r>
  <r>
    <s v="https://x.com/Toyota/status/9588224008"/>
    <s v="Toyota USA"/>
    <s v="@Toyota"/>
    <s v="Toyota USA Hosted Electronic Throttle Control Webinar: find videos &amp; transcript at http://bit.ly/9NyHJb"/>
    <s v="2010-02-24T19:04:38.000Z"/>
    <x v="4"/>
    <x v="164"/>
    <s v="19:04:38"/>
    <x v="0"/>
    <m/>
    <m/>
    <n v="0"/>
    <n v="0"/>
    <n v="2"/>
    <n v="2"/>
    <s v="Low engagement"/>
    <x v="0"/>
    <b v="0"/>
    <b v="1"/>
    <x v="0"/>
  </r>
  <r>
    <s v="https://x.com/Toyota/status/9590327254"/>
    <s v="Toyota USA"/>
    <s v="@Toyota"/>
    <s v="@Dread3 Not all letters have gone out. If u haven't rec'd a lttr &amp; don't know if yr veh is affected, enter yr VIN here http://bit.ly/cIOQur"/>
    <s v="2010-02-24T20:03:47.000Z"/>
    <x v="4"/>
    <x v="164"/>
    <s v="20:03:47"/>
    <x v="0"/>
    <s v="@Dread3"/>
    <m/>
    <n v="0"/>
    <n v="0"/>
    <n v="0"/>
    <n v="0"/>
    <s v="No engagement"/>
    <x v="0"/>
    <b v="0"/>
    <b v="1"/>
    <x v="0"/>
  </r>
  <r>
    <s v="https://x.com/Toyota/status/9603499264"/>
    <s v="Toyota USA"/>
    <s v="@Toyota"/>
    <s v="Clarification of Testimony Regarding Effectiveness of Recalls http://bit.ly/l01Ni"/>
    <s v="2010-02-25T01:34:03.000Z"/>
    <x v="4"/>
    <x v="165"/>
    <s v="01:34:03"/>
    <x v="2"/>
    <m/>
    <m/>
    <n v="0"/>
    <n v="0"/>
    <n v="8"/>
    <n v="8"/>
    <s v="Moderate engagement"/>
    <x v="0"/>
    <b v="0"/>
    <b v="1"/>
    <x v="0"/>
  </r>
  <r>
    <s v="https://x.com/Toyota/status/9639625510"/>
    <s v="Toyota USA"/>
    <s v="@Toyota"/>
    <s v="@jeffreyalles Thanks for the support!  We really appreciate it.  ^SMT"/>
    <s v="2010-02-25T19:28:14.000Z"/>
    <x v="4"/>
    <x v="165"/>
    <s v="19:28:14"/>
    <x v="0"/>
    <s v="@jeffreyalles"/>
    <m/>
    <n v="1"/>
    <n v="0"/>
    <n v="0"/>
    <n v="1"/>
    <s v="Low engagement"/>
    <x v="0"/>
    <b v="0"/>
    <b v="0"/>
    <x v="1"/>
  </r>
  <r>
    <s v="https://x.com/Toyota/status/9688787200"/>
    <s v="Toyota USA"/>
    <s v="@Toyota"/>
    <s v="Video Intw with Toyota engineer: How Toyota tests their vehicles and electronics http://bit.ly/cGXyJe  ^DM"/>
    <s v="2010-02-26T17:53:54.000Z"/>
    <x v="4"/>
    <x v="166"/>
    <s v="17:53:54"/>
    <x v="1"/>
    <m/>
    <m/>
    <n v="2"/>
    <n v="0"/>
    <n v="6"/>
    <n v="8"/>
    <s v="Moderate engagement"/>
    <x v="0"/>
    <b v="0"/>
    <b v="1"/>
    <x v="0"/>
  </r>
  <r>
    <s v="https://x.com/Toyota/status/9697711219"/>
    <s v="Toyota USA"/>
    <s v="@Toyota"/>
    <s v="Toyota Statement on Letter From Chairman Towns http://bit.ly/912vnA"/>
    <s v="2010-02-26T21:37:10.000Z"/>
    <x v="4"/>
    <x v="166"/>
    <s v="21:37:10"/>
    <x v="0"/>
    <m/>
    <m/>
    <n v="0"/>
    <n v="0"/>
    <n v="2"/>
    <n v="2"/>
    <s v="Low engagement"/>
    <x v="0"/>
    <b v="0"/>
    <b v="1"/>
    <x v="0"/>
  </r>
  <r>
    <s v="https://x.com/Toyota/status/9698084929"/>
    <s v="Toyota USA"/>
    <s v="@Toyota"/>
    <s v="Toyota Extends Additional Services to all U.S. Toyota and Lexus Customers Affected by Recent Recalls http://bit.ly/bHkgbh"/>
    <s v="2010-02-26T21:46:56.000Z"/>
    <x v="4"/>
    <x v="166"/>
    <s v="21:46:56"/>
    <x v="0"/>
    <m/>
    <m/>
    <n v="0"/>
    <n v="0"/>
    <n v="9"/>
    <n v="9"/>
    <s v="Moderate engagement"/>
    <x v="0"/>
    <b v="0"/>
    <b v="1"/>
    <x v="0"/>
  </r>
  <r>
    <s v="https://x.com/Toyota/status/9702604669"/>
    <s v="Toyota USA"/>
    <s v="@Toyota"/>
    <s v="Video: customer perspective on Toyota recall  http://bit.ly/aPNC2e"/>
    <s v="2010-02-26T23:41:53.000Z"/>
    <x v="4"/>
    <x v="166"/>
    <s v="23:41:53"/>
    <x v="0"/>
    <m/>
    <m/>
    <n v="0"/>
    <n v="0"/>
    <n v="6"/>
    <n v="6"/>
    <s v="Moderate engagement"/>
    <x v="0"/>
    <b v="0"/>
    <b v="1"/>
    <x v="0"/>
  </r>
  <r>
    <s v="https://x.com/Toyota/status/9789607590"/>
    <s v="Toyota USA"/>
    <s v="@Toyota"/>
    <s v="Statement on Media Reports Regarding Internal Legal Memo http://bit.ly/a2OI0Y"/>
    <s v="2010-02-28T20:08:00.000Z"/>
    <x v="4"/>
    <x v="167"/>
    <s v="20:08:00"/>
    <x v="0"/>
    <m/>
    <m/>
    <n v="1"/>
    <n v="0"/>
    <n v="6"/>
    <n v="7"/>
    <s v="Moderate engagement"/>
    <x v="0"/>
    <b v="0"/>
    <b v="1"/>
    <x v="0"/>
  </r>
  <r>
    <s v="https://x.com/Toyota/status/9838263187"/>
    <s v="Toyota USA"/>
    <s v="@Toyota"/>
    <s v="Insurance Institute for HWY Safety named Corolla and Scion xB as Top Safety Picks http://bit.ly/dypSWZ"/>
    <s v="2010-03-01T19:33:40.000Z"/>
    <x v="4"/>
    <x v="168"/>
    <s v="19:33:40"/>
    <x v="0"/>
    <m/>
    <m/>
    <n v="0"/>
    <n v="0"/>
    <n v="10"/>
    <n v="10"/>
    <s v="High engagement"/>
    <x v="0"/>
    <b v="0"/>
    <b v="1"/>
    <x v="0"/>
  </r>
  <r>
    <s v="https://x.com/Toyota/status/9855193744"/>
    <s v="Toyota USA"/>
    <s v="@Toyota"/>
    <s v="Limited Service Campaign for VVT-i Oil Line http://bit.ly/bouqR9"/>
    <s v="2010-03-02T02:40:42.000Z"/>
    <x v="4"/>
    <x v="169"/>
    <s v="02:40:42"/>
    <x v="2"/>
    <m/>
    <m/>
    <n v="1"/>
    <n v="0"/>
    <n v="2"/>
    <n v="3"/>
    <s v="Low engagement"/>
    <x v="0"/>
    <b v="0"/>
    <b v="1"/>
    <x v="0"/>
  </r>
  <r>
    <s v="https://x.com/Toyota/status/9880623348"/>
    <s v="Toyota USA"/>
    <s v="@Toyota"/>
    <s v="Takeshi Uchiyamada: Testimony to Senate Committee on Commerce, Science and Transportation http://bit.ly/dmhFv9"/>
    <s v="2010-03-02T16:17:10.000Z"/>
    <x v="4"/>
    <x v="169"/>
    <s v="16:17:10"/>
    <x v="1"/>
    <m/>
    <m/>
    <n v="0"/>
    <n v="0"/>
    <n v="1"/>
    <n v="1"/>
    <s v="Low engagement"/>
    <x v="0"/>
    <b v="0"/>
    <b v="1"/>
    <x v="0"/>
  </r>
  <r>
    <s v="https://x.com/Toyota/status/9880658569"/>
    <s v="Toyota USA"/>
    <s v="@Toyota"/>
    <s v="Shinichi Sasaki: Testimony to Senate Committee on Commerce, Science and Transportation http://bit.ly/bJtOOz"/>
    <s v="2010-03-02T16:18:05.000Z"/>
    <x v="4"/>
    <x v="169"/>
    <s v="16:18:05"/>
    <x v="1"/>
    <m/>
    <m/>
    <n v="0"/>
    <n v="0"/>
    <n v="1"/>
    <n v="1"/>
    <s v="Low engagement"/>
    <x v="0"/>
    <b v="0"/>
    <b v="1"/>
    <x v="0"/>
  </r>
  <r>
    <s v="https://x.com/Toyota/status/9880688459"/>
    <s v="Toyota USA"/>
    <s v="@Toyota"/>
    <s v="Yoshimi Inaba: Testimony to Senate Committee on Commerce, Science and Transportation http://bit.ly/ciwJG3"/>
    <s v="2010-03-02T16:18:51.000Z"/>
    <x v="4"/>
    <x v="169"/>
    <s v="16:18:51"/>
    <x v="1"/>
    <m/>
    <m/>
    <n v="0"/>
    <n v="0"/>
    <n v="4"/>
    <n v="4"/>
    <s v="Low engagement"/>
    <x v="0"/>
    <b v="0"/>
    <b v="1"/>
    <x v="0"/>
  </r>
  <r>
    <s v="https://x.com/Toyota/status/9881820887"/>
    <s v="Toyota USA"/>
    <s v="@Toyota"/>
    <s v="Former U.S. Secretary of Transportation Rodney Slater to Lead Independent N.A. Quality Advisory Panel for Toyota http://bit.ly/9tVtZd"/>
    <s v="2010-03-02T16:48:16.000Z"/>
    <x v="4"/>
    <x v="169"/>
    <s v="16:48:16"/>
    <x v="1"/>
    <m/>
    <m/>
    <n v="0"/>
    <n v="0"/>
    <n v="3"/>
    <n v="3"/>
    <s v="Low engagement"/>
    <x v="0"/>
    <b v="0"/>
    <b v="1"/>
    <x v="0"/>
  </r>
  <r>
    <s v="https://x.com/Toyota/status/9884785081"/>
    <s v="Toyota USA"/>
    <s v="@Toyota"/>
    <s v="Toyota Reports February Sales http://bit.ly/b1OUJm"/>
    <s v="2010-03-02T18:07:14.000Z"/>
    <x v="4"/>
    <x v="169"/>
    <s v="18:07:14"/>
    <x v="0"/>
    <m/>
    <m/>
    <n v="0"/>
    <n v="0"/>
    <n v="3"/>
    <n v="3"/>
    <s v="Low engagement"/>
    <x v="0"/>
    <b v="0"/>
    <b v="1"/>
    <x v="0"/>
  </r>
  <r>
    <s v="https://x.com/Toyota/status/9892660481"/>
    <s v="Toyota USA"/>
    <s v="@Toyota"/>
    <s v="Toyota Announces March Sales Event http://bit.ly/9tVryL"/>
    <s v="2010-03-02T21:43:16.000Z"/>
    <x v="4"/>
    <x v="169"/>
    <s v="21:43:16"/>
    <x v="0"/>
    <m/>
    <m/>
    <n v="0"/>
    <n v="0"/>
    <n v="9"/>
    <n v="9"/>
    <s v="Moderate engagement"/>
    <x v="0"/>
    <b v="0"/>
    <b v="1"/>
    <x v="0"/>
  </r>
  <r>
    <s v="https://x.com/Toyota/status/9893205986"/>
    <s v="Toyota USA"/>
    <s v="@Toyota"/>
    <s v="@yeahthatskosher You are correct sir...we have been handling various DMs today. Glad to offer info./support to our followers."/>
    <s v="2010-03-02T21:57:32.000Z"/>
    <x v="4"/>
    <x v="169"/>
    <s v="21:57:32"/>
    <x v="0"/>
    <s v="@yeahthatskosher"/>
    <m/>
    <n v="0"/>
    <n v="0"/>
    <n v="0"/>
    <n v="0"/>
    <s v="No engagement"/>
    <x v="0"/>
    <b v="0"/>
    <b v="0"/>
    <x v="1"/>
  </r>
  <r>
    <s v="https://x.com/Toyota/status/9896373663"/>
    <s v="Toyota USA"/>
    <s v="@Toyota"/>
    <s v="@Ashley832 Thanks Ashley...let me know if your parents have any questions."/>
    <s v="2010-03-02T23:17:11.000Z"/>
    <x v="4"/>
    <x v="169"/>
    <s v="23:17:11"/>
    <x v="0"/>
    <m/>
    <m/>
    <n v="0"/>
    <n v="0"/>
    <n v="0"/>
    <n v="0"/>
    <s v="No engagement"/>
    <x v="0"/>
    <b v="0"/>
    <b v="0"/>
    <x v="1"/>
  </r>
  <r>
    <s v="https://x.com/Toyota/status/9896540795"/>
    <s v="Toyota USA"/>
    <s v="@Toyota"/>
    <s v="@yeahthatskosher I have 140 characters and info. that people considering Toyota products would be interested in."/>
    <s v="2010-03-02T23:21:17.000Z"/>
    <x v="4"/>
    <x v="169"/>
    <s v="23:21:17"/>
    <x v="0"/>
    <s v="@yeahthatskosher"/>
    <m/>
    <n v="0"/>
    <n v="0"/>
    <n v="0"/>
    <n v="0"/>
    <s v="No engagement"/>
    <x v="0"/>
    <b v="0"/>
    <b v="0"/>
    <x v="1"/>
  </r>
  <r>
    <s v="https://x.com/Toyota/status/9933039694"/>
    <s v="Toyota USA"/>
    <s v="@Toyota"/>
    <s v="Toyota Commits $250 Million to Support NUMMI Transition http://bit.ly/dip16m"/>
    <s v="2010-03-03T17:32:02.000Z"/>
    <x v="4"/>
    <x v="170"/>
    <s v="17:32:02"/>
    <x v="1"/>
    <m/>
    <m/>
    <n v="1"/>
    <n v="0"/>
    <n v="6"/>
    <n v="7"/>
    <s v="Moderate engagement"/>
    <x v="0"/>
    <b v="0"/>
    <b v="1"/>
    <x v="0"/>
  </r>
  <r>
    <s v="https://x.com/Toyota/status/9959845187"/>
    <s v="Toyota USA"/>
    <s v="@Toyota"/>
    <s v="@sarahcandice Hi Sarah. I think so...I'll have to verify tomorrow."/>
    <s v="2010-03-04T05:06:05.000Z"/>
    <x v="4"/>
    <x v="171"/>
    <s v="05:06:05"/>
    <x v="2"/>
    <s v="@thesarahyu"/>
    <m/>
    <n v="0"/>
    <n v="0"/>
    <n v="0"/>
    <n v="0"/>
    <s v="No engagement"/>
    <x v="0"/>
    <b v="0"/>
    <b v="0"/>
    <x v="1"/>
  </r>
  <r>
    <s v="https://x.com/Toyota/status/9959964469"/>
    <s v="Toyota USA"/>
    <s v="@Toyota"/>
    <s v="@ChrisPirillo Right on Chris...love the savings at the pump. Appreciate the loyalty. ^SD"/>
    <s v="2010-03-04T05:09:40.000Z"/>
    <x v="4"/>
    <x v="171"/>
    <s v="05:09:40"/>
    <x v="2"/>
    <s v="@ChrisPirillo"/>
    <m/>
    <n v="0"/>
    <n v="0"/>
    <n v="0"/>
    <n v="0"/>
    <s v="No engagement"/>
    <x v="0"/>
    <b v="0"/>
    <b v="0"/>
    <x v="1"/>
  </r>
  <r>
    <s v="https://x.com/Toyota/status/9985657599"/>
    <s v="Toyota USA"/>
    <s v="@Toyota"/>
    <s v="@AndreaVLewis Hi Andrea. Right...Twitter is great. We get some of the best insights (postitve and negative) from this platform."/>
    <s v="2010-03-04T18:50:58.000Z"/>
    <x v="4"/>
    <x v="171"/>
    <s v="18:50:58"/>
    <x v="0"/>
    <m/>
    <m/>
    <n v="0"/>
    <n v="0"/>
    <n v="0"/>
    <n v="0"/>
    <s v="No engagement"/>
    <x v="0"/>
    <b v="0"/>
    <b v="0"/>
    <x v="1"/>
  </r>
  <r>
    <s v="https://x.com/Toyota/status/9991718786"/>
    <s v="Toyota USA"/>
    <s v="@Toyota"/>
    <s v="@lodinizfaria Hi there. Please visit the Toyota Brazil site http://bit.ly/asLN8z or call (0800 703-0206)"/>
    <s v="2010-03-04T21:33:47.000Z"/>
    <x v="4"/>
    <x v="171"/>
    <s v="21:33:47"/>
    <x v="0"/>
    <m/>
    <m/>
    <n v="0"/>
    <n v="0"/>
    <n v="0"/>
    <n v="0"/>
    <s v="No engagement"/>
    <x v="0"/>
    <b v="0"/>
    <b v="1"/>
    <x v="0"/>
  </r>
  <r>
    <s v="https://x.com/Toyota/status/9991818000"/>
    <s v="Toyota USA"/>
    <s v="@Toyota"/>
    <s v="@derreckmayer Hey Derreck. I checked it out...nice!  That your daily driver? ^SD"/>
    <s v="2010-03-04T21:36:20.000Z"/>
    <x v="4"/>
    <x v="171"/>
    <s v="21:36:20"/>
    <x v="0"/>
    <s v="@derreckbmayer"/>
    <m/>
    <n v="0"/>
    <n v="0"/>
    <n v="0"/>
    <n v="0"/>
    <s v="No engagement"/>
    <x v="0"/>
    <b v="0"/>
    <b v="0"/>
    <x v="1"/>
  </r>
  <r>
    <s v="https://x.com/Toyota/status/9994000746"/>
    <s v="Toyota USA"/>
    <s v="@Toyota"/>
    <s v="@kesterallen Dear Kester, glad to hear you are unhurt. Appreciate the note. Take care."/>
    <s v="2010-03-04T22:31:08.000Z"/>
    <x v="4"/>
    <x v="171"/>
    <s v="22:31:08"/>
    <x v="0"/>
    <s v="@kesterallen"/>
    <m/>
    <n v="0"/>
    <n v="0"/>
    <n v="0"/>
    <n v="0"/>
    <s v="No engagement"/>
    <x v="0"/>
    <b v="0"/>
    <b v="0"/>
    <x v="1"/>
  </r>
  <r>
    <s v="https://x.com/Toyota/status/10009021918"/>
    <s v="Toyota USA"/>
    <s v="@Toyota"/>
    <s v="Toyota Evaluates Unintended Acceleration Complaints in Remedied Vehicles http://bit.ly/9YQ60t"/>
    <s v="2010-03-05T04:33:32.000Z"/>
    <x v="4"/>
    <x v="172"/>
    <s v="04:33:32"/>
    <x v="2"/>
    <m/>
    <m/>
    <n v="1"/>
    <n v="0"/>
    <n v="7"/>
    <n v="8"/>
    <s v="Moderate engagement"/>
    <x v="0"/>
    <b v="0"/>
    <b v="1"/>
    <x v="0"/>
  </r>
  <r>
    <s v="https://x.com/Toyota/status/10032281080"/>
    <s v="Toyota USA"/>
    <s v="@Toyota"/>
    <s v="@workim Hi there. S. California has more in stock and stock in S. Cal should continue to improve as we get closer to  summer."/>
    <s v="2010-03-05T16:53:51.000Z"/>
    <x v="4"/>
    <x v="172"/>
    <s v="16:53:51"/>
    <x v="1"/>
    <s v="@workim"/>
    <m/>
    <n v="0"/>
    <n v="0"/>
    <n v="0"/>
    <n v="0"/>
    <s v="No engagement"/>
    <x v="0"/>
    <b v="0"/>
    <b v="0"/>
    <x v="1"/>
  </r>
  <r>
    <s v="https://x.com/Toyota/status/10032611111"/>
    <s v="Toyota USA"/>
    <s v="@Toyota"/>
    <s v="@nippyjun Hi there. Please visit www.buyatoyota.com or contact your local dealer for information."/>
    <s v="2010-03-05T17:01:46.000Z"/>
    <x v="4"/>
    <x v="172"/>
    <s v="17:01:46"/>
    <x v="1"/>
    <s v="@nippyjun"/>
    <m/>
    <n v="0"/>
    <n v="0"/>
    <n v="0"/>
    <n v="0"/>
    <s v="No engagement"/>
    <x v="0"/>
    <b v="0"/>
    <b v="1"/>
    <x v="0"/>
  </r>
  <r>
    <s v="https://x.com/Toyota/status/10032830808"/>
    <s v="Toyota USA"/>
    <s v="@Toyota"/>
    <s v="Instead of lists of #FollowFriday, just want to thank all who have DM/chatted w/ us (positive and negative) during the recalls."/>
    <s v="2010-03-05T17:06:53.000Z"/>
    <x v="4"/>
    <x v="172"/>
    <s v="17:06:53"/>
    <x v="1"/>
    <m/>
    <m/>
    <n v="0"/>
    <n v="0"/>
    <n v="1"/>
    <n v="1"/>
    <s v="Low engagement"/>
    <x v="0"/>
    <b v="0"/>
    <b v="0"/>
    <x v="1"/>
  </r>
  <r>
    <s v="https://x.com/Toyota/status/10034454754"/>
    <s v="Toyota USA"/>
    <s v="@Toyota"/>
    <s v="Toyota FT-86 concept gets a family-style welcome (via @therealautoblog) http://bit.ly/bOlc1n"/>
    <s v="2010-03-05T17:46:47.000Z"/>
    <x v="4"/>
    <x v="172"/>
    <s v="17:46:47"/>
    <x v="1"/>
    <m/>
    <m/>
    <n v="0"/>
    <n v="0"/>
    <n v="10"/>
    <n v="10"/>
    <s v="High engagement"/>
    <x v="0"/>
    <b v="0"/>
    <b v="1"/>
    <x v="0"/>
  </r>
  <r>
    <s v="https://x.com/Toyota/status/10181532452"/>
    <s v="Toyota USA"/>
    <s v="@Toyota"/>
    <s v="Webcast: Engineers test Prof. Gilbert’s claims at 10:15 AM PT: http://bit.ly/dnLfLX"/>
    <s v="2010-03-08T18:12:36.000Z"/>
    <x v="4"/>
    <x v="173"/>
    <s v="18:12:36"/>
    <x v="0"/>
    <m/>
    <m/>
    <n v="0"/>
    <n v="0"/>
    <n v="4"/>
    <n v="4"/>
    <s v="Low engagement"/>
    <x v="0"/>
    <b v="0"/>
    <b v="1"/>
    <x v="0"/>
  </r>
  <r>
    <s v="https://x.com/Toyota/status/10183805465"/>
    <s v="Toyota USA"/>
    <s v="@Toyota"/>
    <s v="Exponent engineering info regarding Gilbert's claims now available on newsroom http://bit.ly/cdjoWT"/>
    <s v="2010-03-08T19:14:17.000Z"/>
    <x v="4"/>
    <x v="173"/>
    <s v="19:14:17"/>
    <x v="0"/>
    <m/>
    <m/>
    <n v="0"/>
    <n v="0"/>
    <n v="2"/>
    <n v="2"/>
    <s v="Low engagement"/>
    <x v="0"/>
    <b v="0"/>
    <b v="1"/>
    <x v="0"/>
  </r>
  <r>
    <s v="https://x.com/Toyota/status/10183924700"/>
    <s v="Toyota USA"/>
    <s v="@Toyota"/>
    <s v="Hi @Leezell check out the newsroom link http://bit.ly/cdjoWT &amp; more info will be archived in the near future. ^DM"/>
    <s v="2010-03-08T19:17:32.000Z"/>
    <x v="4"/>
    <x v="173"/>
    <s v="19:17:32"/>
    <x v="0"/>
    <m/>
    <m/>
    <n v="0"/>
    <n v="0"/>
    <n v="0"/>
    <n v="0"/>
    <s v="No engagement"/>
    <x v="0"/>
    <b v="0"/>
    <b v="1"/>
    <x v="0"/>
  </r>
  <r>
    <s v="https://x.com/Toyota/status/10187317624"/>
    <s v="Toyota USA"/>
    <s v="@Toyota"/>
    <s v="Coverage from today's webcast: @jalopnik The Mechanics Of ABC News' Unintended Toyota Acceleration Hoax http://bit.ly/cdyoWa"/>
    <s v="2010-03-08T20:51:01.000Z"/>
    <x v="4"/>
    <x v="173"/>
    <s v="20:51:01"/>
    <x v="0"/>
    <m/>
    <m/>
    <n v="0"/>
    <n v="0"/>
    <n v="9"/>
    <n v="9"/>
    <s v="Moderate engagement"/>
    <x v="0"/>
    <b v="0"/>
    <b v="1"/>
    <x v="0"/>
  </r>
  <r>
    <s v="https://x.com/Toyota/status/10187353442"/>
    <s v="Toyota USA"/>
    <s v="@Toyota"/>
    <s v="Coverage from today's webcast: Toyota hits back at David Gilbert's &quot;no fault code&quot; demonstration http://bit.ly/btfsvH via @therealautoblog"/>
    <s v="2010-03-08T20:51:59.000Z"/>
    <x v="4"/>
    <x v="173"/>
    <s v="20:51:59"/>
    <x v="0"/>
    <m/>
    <m/>
    <n v="0"/>
    <n v="0"/>
    <n v="8"/>
    <n v="8"/>
    <s v="Moderate engagement"/>
    <x v="0"/>
    <b v="0"/>
    <b v="1"/>
    <x v="0"/>
  </r>
  <r>
    <s v="https://x.com/Toyota/status/10228817745"/>
    <s v="Toyota USA"/>
    <s v="@Toyota"/>
    <s v="@Scobleizer Definitely a challenge...we'll leave it at that."/>
    <s v="2010-03-09T17:03:01.000Z"/>
    <x v="4"/>
    <x v="174"/>
    <s v="17:03:01"/>
    <x v="1"/>
    <s v="@Scobleizer"/>
    <m/>
    <n v="0"/>
    <n v="0"/>
    <n v="0"/>
    <n v="0"/>
    <s v="No engagement"/>
    <x v="0"/>
    <b v="0"/>
    <b v="0"/>
    <x v="1"/>
  </r>
  <r>
    <s v="https://x.com/Toyota/status/10237656213"/>
    <s v="Toyota USA"/>
    <s v="@Toyota"/>
    <s v="Toyota Responds to Inaccurate Reports of Future Prius Recall for Floormat Entrapment http://bit.ly/diR8iP"/>
    <s v="2010-03-09T21:02:20.000Z"/>
    <x v="4"/>
    <x v="174"/>
    <s v="21:02:20"/>
    <x v="0"/>
    <m/>
    <m/>
    <n v="1"/>
    <n v="0"/>
    <n v="14"/>
    <n v="15"/>
    <s v="High engagement"/>
    <x v="0"/>
    <b v="0"/>
    <b v="1"/>
    <x v="0"/>
  </r>
  <r>
    <s v="https://x.com/Toyota/status/10246711870"/>
    <s v="Toyota USA"/>
    <s v="@Toyota"/>
    <s v="@msciocia Thanks...I think. While sometimes painful, we are learning a lot. Better, stronger social media team to emerge. ^SD"/>
    <s v="2010-03-10T00:47:42.000Z"/>
    <x v="4"/>
    <x v="175"/>
    <s v="00:47:42"/>
    <x v="2"/>
    <m/>
    <m/>
    <n v="0"/>
    <n v="0"/>
    <n v="0"/>
    <n v="0"/>
    <s v="No engagement"/>
    <x v="0"/>
    <b v="0"/>
    <b v="0"/>
    <x v="1"/>
  </r>
  <r>
    <s v="https://x.com/Toyota/status/10281884508"/>
    <s v="Toyota USA"/>
    <s v="@Toyota"/>
    <s v="@mariansinopoli Hi Maria.  The best place to start is at www.toyota.com/recall.  Thanks. ^SD"/>
    <s v="2010-03-10T18:00:18.000Z"/>
    <x v="4"/>
    <x v="175"/>
    <s v="18:00:18"/>
    <x v="0"/>
    <s v="@rosenbergmaria7"/>
    <m/>
    <n v="0"/>
    <n v="0"/>
    <n v="0"/>
    <n v="0"/>
    <s v="No engagement"/>
    <x v="0"/>
    <b v="0"/>
    <b v="1"/>
    <x v="0"/>
  </r>
  <r>
    <s v="https://x.com/Toyota/status/10282944710"/>
    <s v="Toyota USA"/>
    <s v="@Toyota"/>
    <s v="Toyota named one of @DiversityInc's Top 50 Companies for Diversity http://bit.ly/aFMgNM"/>
    <s v="2010-03-10T18:28:43.000Z"/>
    <x v="4"/>
    <x v="175"/>
    <s v="18:28:43"/>
    <x v="0"/>
    <m/>
    <m/>
    <n v="0"/>
    <n v="0"/>
    <n v="4"/>
    <n v="4"/>
    <s v="Low engagement"/>
    <x v="0"/>
    <b v="0"/>
    <b v="1"/>
    <x v="0"/>
  </r>
  <r>
    <s v="https://x.com/Toyota/status/10290430447"/>
    <s v="Toyota USA"/>
    <s v="@Toyota"/>
    <s v="Poll: Do you want more or less recall related info. on our @Toyota account? http://poll.fm/1oiug"/>
    <s v="2010-03-10T21:49:14.000Z"/>
    <x v="4"/>
    <x v="175"/>
    <s v="21:49:14"/>
    <x v="0"/>
    <m/>
    <m/>
    <n v="1"/>
    <n v="0"/>
    <n v="4"/>
    <n v="5"/>
    <s v="Moderate engagement"/>
    <x v="0"/>
    <b v="0"/>
    <b v="1"/>
    <x v="0"/>
  </r>
  <r>
    <s v="https://x.com/Toyota/status/10329728688"/>
    <s v="Toyota USA"/>
    <s v="@Toyota"/>
    <s v="@ssmirnov Thanks Stephanie. It's our pleasure. Let us know if you have any other questions. ^SD"/>
    <s v="2010-03-11T16:39:40.000Z"/>
    <x v="4"/>
    <x v="176"/>
    <s v="16:39:40"/>
    <x v="1"/>
    <m/>
    <m/>
    <n v="0"/>
    <n v="0"/>
    <n v="0"/>
    <n v="0"/>
    <s v="No engagement"/>
    <x v="0"/>
    <b v="0"/>
    <b v="0"/>
    <x v="1"/>
  </r>
  <r>
    <s v="https://x.com/Toyota/status/10329834594"/>
    <s v="Toyota USA"/>
    <s v="@Toyota"/>
    <s v="Thanks to those who have jumped in and given us feedback on the poll http://poll.fm/1oiug Helps drive our decisions."/>
    <s v="2010-03-11T16:42:12.000Z"/>
    <x v="4"/>
    <x v="176"/>
    <s v="16:42:12"/>
    <x v="1"/>
    <m/>
    <m/>
    <n v="0"/>
    <n v="0"/>
    <n v="2"/>
    <n v="2"/>
    <s v="Low engagement"/>
    <x v="0"/>
    <b v="0"/>
    <b v="1"/>
    <x v="0"/>
  </r>
  <r>
    <s v="https://x.com/Toyota/status/10334974854"/>
    <s v="Toyota USA"/>
    <s v="@Toyota"/>
    <s v="ABC admits to misjudgment in Toyota story http://bit.ly/cXbpx2"/>
    <s v="2010-03-11T18:55:56.000Z"/>
    <x v="4"/>
    <x v="176"/>
    <s v="18:55:56"/>
    <x v="0"/>
    <m/>
    <m/>
    <n v="1"/>
    <n v="0"/>
    <n v="26"/>
    <n v="27"/>
    <s v="High engagement"/>
    <x v="0"/>
    <b v="0"/>
    <b v="1"/>
    <x v="0"/>
  </r>
  <r>
    <s v="https://x.com/Toyota/status/10378783756"/>
    <s v="Toyota USA"/>
    <s v="@Toyota"/>
    <s v="@ssmirnov Good to hear. Please keep in touch...we're not about to quit you either."/>
    <s v="2010-03-12T16:21:06.000Z"/>
    <x v="4"/>
    <x v="177"/>
    <s v="16:21:06"/>
    <x v="1"/>
    <m/>
    <m/>
    <n v="0"/>
    <n v="0"/>
    <n v="0"/>
    <n v="0"/>
    <s v="No engagement"/>
    <x v="0"/>
    <b v="0"/>
    <b v="0"/>
    <x v="1"/>
  </r>
  <r>
    <s v="https://x.com/Toyota/status/10378832404"/>
    <s v="Toyota USA"/>
    <s v="@Toyota"/>
    <s v="@Wainainah Why?"/>
    <s v="2010-03-12T16:22:16.000Z"/>
    <x v="4"/>
    <x v="177"/>
    <s v="16:22:16"/>
    <x v="1"/>
    <s v="@Wainainah"/>
    <m/>
    <n v="0"/>
    <n v="0"/>
    <n v="0"/>
    <n v="0"/>
    <s v="No engagement"/>
    <x v="0"/>
    <b v="0"/>
    <b v="0"/>
    <x v="1"/>
  </r>
  <r>
    <s v="https://x.com/Toyota/status/10379131093"/>
    <s v="Toyota USA"/>
    <s v="@Toyota"/>
    <s v="@MommasintheHous Can't comment on future product decisions...but, I too would love that. ^SD"/>
    <s v="2010-03-12T16:29:23.000Z"/>
    <x v="4"/>
    <x v="177"/>
    <s v="16:29:23"/>
    <x v="1"/>
    <s v="@SusanYooLee"/>
    <m/>
    <n v="0"/>
    <n v="0"/>
    <n v="0"/>
    <n v="0"/>
    <s v="No engagement"/>
    <x v="0"/>
    <b v="0"/>
    <b v="0"/>
    <x v="1"/>
  </r>
  <r>
    <s v="https://x.com/Toyota/status/10379335547"/>
    <s v="Toyota USA"/>
    <s v="@Toyota"/>
    <s v="@gtc Nice. The latest images out of the Geneva Auto Show got me thinking about the FT-86 concept as well. http://bit.ly/9PfDnJ"/>
    <s v="2010-03-12T16:34:11.000Z"/>
    <x v="4"/>
    <x v="177"/>
    <s v="16:34:11"/>
    <x v="1"/>
    <s v="@gtc"/>
    <m/>
    <n v="0"/>
    <n v="0"/>
    <n v="0"/>
    <n v="0"/>
    <s v="No engagement"/>
    <x v="0"/>
    <b v="0"/>
    <b v="1"/>
    <x v="0"/>
  </r>
  <r>
    <s v="https://x.com/Toyota/status/10379441783"/>
    <s v="Toyota USA"/>
    <s v="@Toyota"/>
    <s v="@superacid Good question. Here's the answer: http://bit.ly/cyo1SF"/>
    <s v="2010-03-12T16:36:41.000Z"/>
    <x v="4"/>
    <x v="177"/>
    <s v="16:36:41"/>
    <x v="1"/>
    <s v="@superacid"/>
    <m/>
    <n v="0"/>
    <n v="0"/>
    <n v="0"/>
    <n v="0"/>
    <s v="No engagement"/>
    <x v="0"/>
    <b v="0"/>
    <b v="1"/>
    <x v="0"/>
  </r>
  <r>
    <s v="https://x.com/Toyota/status/10385240683"/>
    <s v="Toyota USA"/>
    <s v="@Toyota"/>
    <s v="Orange County, California, District Attorney Plans Civil Lawsuit http://bit.ly/9PNZ8I"/>
    <s v="2010-03-12T19:00:17.000Z"/>
    <x v="4"/>
    <x v="177"/>
    <s v="19:00:17"/>
    <x v="0"/>
    <m/>
    <m/>
    <n v="0"/>
    <n v="0"/>
    <n v="1"/>
    <n v="1"/>
    <s v="Low engagement"/>
    <x v="0"/>
    <b v="0"/>
    <b v="1"/>
    <x v="0"/>
  </r>
  <r>
    <s v="https://x.com/Toyota/status/10389097963"/>
    <s v="Toyota USA"/>
    <s v="@Toyota"/>
    <s v="Toyota Clarifies the Facts About Event Data Recorders http://bit.ly/9jV2Po"/>
    <s v="2010-03-12T20:43:20.000Z"/>
    <x v="4"/>
    <x v="177"/>
    <s v="20:43:20"/>
    <x v="0"/>
    <m/>
    <m/>
    <n v="0"/>
    <n v="0"/>
    <n v="7"/>
    <n v="7"/>
    <s v="Moderate engagement"/>
    <x v="0"/>
    <b v="0"/>
    <b v="1"/>
    <x v="0"/>
  </r>
  <r>
    <s v="https://x.com/Toyota/status/10393121347"/>
    <s v="Toyota USA"/>
    <s v="@Toyota"/>
    <s v="@PriusChat Drivers must use their best judgment, but we reco taking these actions in emergencies, not during normal operating conditions."/>
    <s v="2010-03-12T22:29:48.000Z"/>
    <x v="4"/>
    <x v="177"/>
    <s v="22:29:48"/>
    <x v="0"/>
    <s v="@PriusChat"/>
    <m/>
    <n v="0"/>
    <n v="0"/>
    <n v="1"/>
    <n v="1"/>
    <s v="Low engagement"/>
    <x v="0"/>
    <b v="0"/>
    <b v="0"/>
    <x v="1"/>
  </r>
  <r>
    <s v="https://x.com/Toyota/status/10393847823"/>
    <s v="Toyota USA"/>
    <s v="@Toyota"/>
    <s v="Prius Vehicle Throttle and Brake Systems: Myth VS. Fact http://bit.ly/c5wIuJ"/>
    <s v="2010-03-12T22:48:40.000Z"/>
    <x v="4"/>
    <x v="177"/>
    <s v="22:48:40"/>
    <x v="0"/>
    <m/>
    <m/>
    <n v="3"/>
    <n v="0"/>
    <n v="11"/>
    <n v="14"/>
    <s v="High engagement"/>
    <x v="0"/>
    <b v="0"/>
    <b v="1"/>
    <x v="0"/>
  </r>
  <r>
    <s v="https://x.com/Toyota/status/10394310460"/>
    <s v="Toyota USA"/>
    <s v="@Toyota"/>
    <s v="Video: Hybrid Vehicle Brake Override System http://bit.ly/dfljcx"/>
    <s v="2010-03-12T23:00:44.000Z"/>
    <x v="4"/>
    <x v="177"/>
    <s v="23:00:44"/>
    <x v="0"/>
    <m/>
    <m/>
    <n v="2"/>
    <n v="0"/>
    <n v="10"/>
    <n v="12"/>
    <s v="High engagement"/>
    <x v="0"/>
    <b v="0"/>
    <b v="1"/>
    <x v="0"/>
  </r>
  <r>
    <s v="https://x.com/Toyota/status/10526660169"/>
    <s v="Toyota USA"/>
    <s v="@Toyota"/>
    <s v="@kellytoepke Hi Kelly. Not yet...coming in the near future."/>
    <s v="2010-03-15T17:21:20.000Z"/>
    <x v="4"/>
    <x v="178"/>
    <s v="17:21:20"/>
    <x v="1"/>
    <s v="@kelly_hellwig"/>
    <m/>
    <n v="0"/>
    <n v="0"/>
    <n v="0"/>
    <n v="0"/>
    <s v="No engagement"/>
    <x v="0"/>
    <b v="0"/>
    <b v="1"/>
    <x v="0"/>
  </r>
  <r>
    <s v="https://x.com/Toyota/status/10531486977"/>
    <s v="Toyota USA"/>
    <s v="@Toyota"/>
    <s v="Live press conference on Toyota Prius findings on CNN: http://bit.ly/9tRBqi"/>
    <s v="2010-03-15T19:30:11.000Z"/>
    <x v="4"/>
    <x v="178"/>
    <s v="19:30:11"/>
    <x v="0"/>
    <m/>
    <m/>
    <n v="0"/>
    <n v="0"/>
    <n v="7"/>
    <n v="7"/>
    <s v="Moderate engagement"/>
    <x v="0"/>
    <b v="0"/>
    <b v="1"/>
    <x v="0"/>
  </r>
  <r>
    <s v="https://x.com/Toyota/status/10532367043"/>
    <s v="Toyota USA"/>
    <s v="@Toyota"/>
    <s v="Preliminary Findings From Technical Field Examination of Alleged 'Runaway Prius' in San Diego http://bit.ly/dD6tQF"/>
    <s v="2010-03-15T19:54:03.000Z"/>
    <x v="4"/>
    <x v="178"/>
    <s v="19:54:03"/>
    <x v="0"/>
    <m/>
    <m/>
    <n v="5"/>
    <n v="0"/>
    <n v="20"/>
    <n v="25"/>
    <s v="High engagement"/>
    <x v="0"/>
    <b v="0"/>
    <b v="1"/>
    <x v="0"/>
  </r>
  <r>
    <s v="https://x.com/Toyota/status/10580204298"/>
    <s v="Toyota USA"/>
    <s v="@Toyota"/>
    <s v="@CrisisBostonPR Wouldn't say we &quot;attacked&quot;. We presented the facts/findings from our team. It's about setting the record straight."/>
    <s v="2010-03-16T17:50:49.000Z"/>
    <x v="4"/>
    <x v="179"/>
    <s v="17:50:49"/>
    <x v="1"/>
    <m/>
    <m/>
    <n v="0"/>
    <n v="0"/>
    <n v="0"/>
    <n v="0"/>
    <s v="No engagement"/>
    <x v="0"/>
    <b v="0"/>
    <b v="0"/>
    <x v="1"/>
  </r>
  <r>
    <s v="https://x.com/Toyota/status/10630305099"/>
    <s v="Toyota USA"/>
    <s v="@Toyota"/>
    <s v="Vid: Tanner Foust drifts his Rockstar Energy Drink Scion TC Drift Car on legendary Mulholland Highway http://bit.ly/bWy9OW"/>
    <s v="2010-03-17T17:10:45.000Z"/>
    <x v="4"/>
    <x v="180"/>
    <s v="17:10:45"/>
    <x v="1"/>
    <m/>
    <m/>
    <n v="1"/>
    <n v="0"/>
    <n v="8"/>
    <n v="9"/>
    <s v="Moderate engagement"/>
    <x v="0"/>
    <b v="0"/>
    <b v="1"/>
    <x v="0"/>
  </r>
  <r>
    <s v="https://x.com/Toyota/status/10630632375"/>
    <s v="Toyota USA"/>
    <s v="@Toyota"/>
    <s v="Toyota's Bob Carter discusses the current recall situation and sales on CNBC http://bit.ly/9T35Zy"/>
    <s v="2010-03-17T17:19:58.000Z"/>
    <x v="4"/>
    <x v="180"/>
    <s v="17:19:58"/>
    <x v="1"/>
    <m/>
    <m/>
    <n v="2"/>
    <n v="0"/>
    <n v="2"/>
    <n v="4"/>
    <s v="Low engagement"/>
    <x v="0"/>
    <b v="0"/>
    <b v="1"/>
    <x v="0"/>
  </r>
  <r>
    <s v="https://x.com/Toyota/status/10640558591"/>
    <s v="Toyota USA"/>
    <s v="@Toyota"/>
    <s v="Regarding http://bit.ly/dCzpvb: We are taking every incident seriously &amp; actively listening to the many conversations about the recall."/>
    <s v="2010-03-17T21:56:39.000Z"/>
    <x v="4"/>
    <x v="180"/>
    <s v="21:56:39"/>
    <x v="0"/>
    <m/>
    <m/>
    <n v="1"/>
    <n v="0"/>
    <n v="7"/>
    <n v="8"/>
    <s v="Moderate engagement"/>
    <x v="0"/>
    <b v="0"/>
    <b v="1"/>
    <x v="0"/>
  </r>
  <r>
    <s v="https://x.com/Toyota/status/10876613304"/>
    <s v="Toyota USA"/>
    <s v="@Toyota"/>
    <s v="Video: Top U.S. Toyota Electronics Engineer Details Extensive Testing Processes: http://bit.ly/cJsUkW"/>
    <s v="2010-03-22T15:22:22.000Z"/>
    <x v="4"/>
    <x v="181"/>
    <s v="15:22:22"/>
    <x v="1"/>
    <m/>
    <m/>
    <n v="1"/>
    <n v="0"/>
    <n v="8"/>
    <n v="9"/>
    <s v="Moderate engagement"/>
    <x v="0"/>
    <b v="0"/>
    <b v="1"/>
    <x v="0"/>
  </r>
  <r>
    <s v="https://x.com/Toyota/status/10878912981"/>
    <s v="Toyota USA"/>
    <s v="@Toyota"/>
    <s v="@Mallikarjunan Hi Sam...totally agree...probably my favorite concept we've put out. ^SD"/>
    <s v="2010-03-22T16:13:45.000Z"/>
    <x v="4"/>
    <x v="181"/>
    <s v="16:13:45"/>
    <x v="1"/>
    <s v="@Mallikarjunan"/>
    <m/>
    <n v="0"/>
    <n v="0"/>
    <n v="1"/>
    <n v="1"/>
    <s v="Low engagement"/>
    <x v="0"/>
    <b v="0"/>
    <b v="0"/>
    <x v="1"/>
  </r>
  <r>
    <s v="https://x.com/Toyota/status/10887438443"/>
    <s v="Toyota USA"/>
    <s v="@Toyota"/>
    <s v="Statement on Harrison, N.Y. Incident http://bit.ly/aL4Qtm"/>
    <s v="2010-03-22T19:40:43.000Z"/>
    <x v="4"/>
    <x v="181"/>
    <s v="19:40:43"/>
    <x v="0"/>
    <m/>
    <m/>
    <n v="1"/>
    <n v="0"/>
    <n v="3"/>
    <n v="4"/>
    <s v="Low engagement"/>
    <x v="0"/>
    <b v="0"/>
    <b v="1"/>
    <x v="0"/>
  </r>
  <r>
    <s v="https://x.com/Toyota/status/10930914115"/>
    <s v="Toyota USA"/>
    <s v="@Toyota"/>
    <s v="@BonnieFuller Hi Bonnie. Have you contacted our Customer Experience Center? 800-331-4331"/>
    <s v="2010-03-23T15:42:32.000Z"/>
    <x v="4"/>
    <x v="182"/>
    <s v="15:42:32"/>
    <x v="1"/>
    <s v="@BonnieFuller"/>
    <m/>
    <n v="0"/>
    <n v="0"/>
    <n v="0"/>
    <n v="0"/>
    <s v="No engagement"/>
    <x v="0"/>
    <b v="0"/>
    <b v="0"/>
    <x v="1"/>
  </r>
  <r>
    <s v="https://x.com/Toyota/status/10945395337"/>
    <s v="Toyota USA"/>
    <s v="@Toyota"/>
    <s v="Statement on replacing accelerator pedals http://bit.ly/7uRDv6"/>
    <s v="2010-03-23T21:45:29.000Z"/>
    <x v="4"/>
    <x v="182"/>
    <s v="21:45:29"/>
    <x v="0"/>
    <m/>
    <m/>
    <n v="2"/>
    <n v="0"/>
    <n v="4"/>
    <n v="6"/>
    <s v="Moderate engagement"/>
    <x v="0"/>
    <b v="0"/>
    <b v="1"/>
    <x v="0"/>
  </r>
  <r>
    <s v="https://x.com/Toyota/status/10945562907"/>
    <s v="Toyota USA"/>
    <s v="@Toyota"/>
    <s v="For those who've asked about the Brake Override System, here's a fact sheet (PDF format) http://bit.ly/bOwPaP"/>
    <s v="2010-03-23T21:49:39.000Z"/>
    <x v="4"/>
    <x v="182"/>
    <s v="21:49:39"/>
    <x v="0"/>
    <m/>
    <m/>
    <n v="3"/>
    <n v="0"/>
    <n v="7"/>
    <n v="10"/>
    <s v="High engagement"/>
    <x v="0"/>
    <b v="0"/>
    <b v="1"/>
    <x v="0"/>
  </r>
  <r>
    <s v="https://x.com/Toyota/status/10992492708"/>
    <s v="Toyota USA"/>
    <s v="@Toyota"/>
    <s v="@BonnieFuller Hi Bonnie. Can you DM me your contact info (phone/email)? Love to help out with this."/>
    <s v="2010-03-24T18:43:01.000Z"/>
    <x v="4"/>
    <x v="183"/>
    <s v="18:43:01"/>
    <x v="0"/>
    <s v="@BonnieFuller"/>
    <m/>
    <n v="0"/>
    <n v="0"/>
    <n v="0"/>
    <n v="0"/>
    <s v="No engagement"/>
    <x v="0"/>
    <b v="0"/>
    <b v="0"/>
    <x v="1"/>
  </r>
  <r>
    <s v="https://x.com/Toyota/status/11051706029"/>
    <s v="Toyota USA"/>
    <s v="@Toyota"/>
    <s v="Toyota’s free teen driver safety program will be held in Phoenix May 1-2. Register at www.toyotadrivingexpectations.com"/>
    <s v="2010-03-25T20:25:48.000Z"/>
    <x v="4"/>
    <x v="184"/>
    <s v="20:25:48"/>
    <x v="0"/>
    <m/>
    <m/>
    <n v="0"/>
    <n v="0"/>
    <n v="2"/>
    <n v="2"/>
    <s v="Low engagement"/>
    <x v="0"/>
    <b v="0"/>
    <b v="1"/>
    <x v="0"/>
  </r>
  <r>
    <s v="https://x.com/Toyota/status/11056734752"/>
    <s v="Toyota USA"/>
    <s v="@Toyota"/>
    <s v="@KenPlume Hi Ken. I'm replying...what's going on? ^SD"/>
    <s v="2010-03-25T22:29:46.000Z"/>
    <x v="4"/>
    <x v="184"/>
    <s v="22:29:46"/>
    <x v="0"/>
    <s v="@KenPlume"/>
    <m/>
    <n v="0"/>
    <n v="0"/>
    <n v="0"/>
    <n v="0"/>
    <s v="No engagement"/>
    <x v="0"/>
    <b v="0"/>
    <b v="0"/>
    <x v="1"/>
  </r>
  <r>
    <s v="https://x.com/Toyota/status/11095656282"/>
    <s v="Toyota USA"/>
    <s v="@Toyota"/>
    <s v="@airgates2k I'm eyeing the new Sienna as well. I've got twin boys that would eat up the new features. ^SD"/>
    <s v="2010-03-26T15:45:05.000Z"/>
    <x v="4"/>
    <x v="185"/>
    <s v="15:45:05"/>
    <x v="1"/>
    <s v="@airgates2k"/>
    <m/>
    <n v="0"/>
    <n v="0"/>
    <n v="0"/>
    <n v="0"/>
    <s v="No engagement"/>
    <x v="0"/>
    <b v="0"/>
    <b v="0"/>
    <x v="1"/>
  </r>
  <r>
    <s v="https://x.com/Toyota/status/11096331902"/>
    <s v="Toyota USA"/>
    <s v="@Toyota"/>
    <s v="#FF #FollowFriday @Toyotaracing @tgplb2010 @SOSoCal @togethergreen"/>
    <s v="2010-03-26T15:58:33.000Z"/>
    <x v="4"/>
    <x v="185"/>
    <s v="15:58:33"/>
    <x v="1"/>
    <m/>
    <m/>
    <n v="0"/>
    <n v="0"/>
    <n v="3"/>
    <n v="3"/>
    <s v="Low engagement"/>
    <x v="0"/>
    <b v="0"/>
    <b v="0"/>
    <x v="1"/>
  </r>
  <r>
    <s v="https://x.com/Toyota/status/11113504662"/>
    <s v="Toyota USA"/>
    <s v="@Toyota"/>
    <s v="@mcflipper Hi there.  Do you mind direct messaging me your email?  We'll try to get to the bottom of this. Thanks. ^SD"/>
    <s v="2010-03-26T22:38:32.000Z"/>
    <x v="4"/>
    <x v="185"/>
    <s v="22:38:32"/>
    <x v="0"/>
    <s v="@paycheckreality"/>
    <m/>
    <n v="0"/>
    <n v="0"/>
    <n v="0"/>
    <n v="0"/>
    <s v="No engagement"/>
    <x v="0"/>
    <b v="0"/>
    <b v="0"/>
    <x v="1"/>
  </r>
  <r>
    <s v="https://x.com/Toyota/status/11261487649"/>
    <s v="Toyota USA"/>
    <s v="@Toyota"/>
    <s v="@NPR story...The End Of The Line For GM-Toyota Joint Venture http://bit.ly/aKMmzl"/>
    <s v="2010-03-29T17:50:31.000Z"/>
    <x v="4"/>
    <x v="186"/>
    <s v="17:50:31"/>
    <x v="1"/>
    <m/>
    <m/>
    <n v="0"/>
    <n v="0"/>
    <n v="1"/>
    <n v="1"/>
    <s v="Low engagement"/>
    <x v="0"/>
    <b v="0"/>
    <b v="1"/>
    <x v="0"/>
  </r>
  <r>
    <s v="https://x.com/Toyota/status/11321661743"/>
    <s v="Toyota USA"/>
    <s v="@Toyota"/>
    <s v="NHTSA working with NASA to investigate sudden acceleration http://bit.ly/bpOjeO (NHTSA official release)"/>
    <s v="2010-03-30T18:23:40.000Z"/>
    <x v="4"/>
    <x v="187"/>
    <s v="18:23:40"/>
    <x v="0"/>
    <m/>
    <m/>
    <n v="1"/>
    <n v="0"/>
    <n v="8"/>
    <n v="9"/>
    <s v="Moderate engagement"/>
    <x v="0"/>
    <b v="0"/>
    <b v="1"/>
    <x v="0"/>
  </r>
  <r>
    <s v="https://x.com/Toyota/status/11325794110"/>
    <s v="Toyota USA"/>
    <s v="@Toyota"/>
    <s v="@mattceni Hi Matt. Direct message us and I'll see how we can help. Thanks. ^SD"/>
    <s v="2010-03-30T20:00:48.000Z"/>
    <x v="4"/>
    <x v="187"/>
    <s v="20:00:48"/>
    <x v="0"/>
    <s v="@mattceni"/>
    <m/>
    <n v="0"/>
    <n v="0"/>
    <n v="0"/>
    <n v="0"/>
    <s v="No engagement"/>
    <x v="0"/>
    <b v="0"/>
    <b v="0"/>
    <x v="1"/>
  </r>
  <r>
    <s v="https://x.com/Toyota/status/11371474117"/>
    <s v="Toyota USA"/>
    <s v="@Toyota"/>
    <s v="@AsianMartin Thanks man...gives our space at the #NYAutoShow that &quot;lived in&quot; feel. ^SD"/>
    <s v="2010-03-31T15:19:09.000Z"/>
    <x v="4"/>
    <x v="188"/>
    <s v="15:19:09"/>
    <x v="1"/>
    <s v="@AsianMartin"/>
    <m/>
    <n v="0"/>
    <n v="0"/>
    <n v="0"/>
    <n v="0"/>
    <s v="No engagement"/>
    <x v="0"/>
    <b v="0"/>
    <b v="0"/>
    <x v="1"/>
  </r>
  <r>
    <s v="https://x.com/Toyota/status/11375737922"/>
    <s v="Toyota USA"/>
    <s v="@Toyota"/>
    <s v="@mikeliebhold Thanks Mike. Great story...keep on truckin! ^SD"/>
    <s v="2010-03-31T16:47:16.000Z"/>
    <x v="4"/>
    <x v="188"/>
    <s v="16:47:16"/>
    <x v="1"/>
    <s v="@mikeliebhold"/>
    <m/>
    <n v="0"/>
    <n v="0"/>
    <n v="0"/>
    <n v="0"/>
    <s v="No engagement"/>
    <x v="0"/>
    <b v="0"/>
    <b v="0"/>
    <x v="1"/>
  </r>
  <r>
    <s v="https://x.com/Toyota/status/11380332156"/>
    <s v="Toyota USA"/>
    <s v="@Toyota"/>
    <s v="@scottgurvey Hi Scott.  Can you DM me your contact info. (email/phone)?  Wanna get you a contact asap. Thanks. ^SD"/>
    <s v="2010-03-31T18:30:33.000Z"/>
    <x v="4"/>
    <x v="188"/>
    <s v="18:30:33"/>
    <x v="0"/>
    <s v="@scottgurvey"/>
    <m/>
    <n v="0"/>
    <n v="0"/>
    <n v="0"/>
    <n v="0"/>
    <s v="No engagement"/>
    <x v="0"/>
    <b v="0"/>
    <b v="0"/>
    <x v="1"/>
  </r>
  <r>
    <s v="https://x.com/Toyota/status/11435721267"/>
    <s v="Toyota USA"/>
    <s v="@Toyota"/>
    <s v="March and First Quarter Sales Report http://bit.ly/bqbc2A Sales Chart: http://bit.ly/cBop3K (PDF File)"/>
    <s v="2010-04-01T17:28:22.000Z"/>
    <x v="4"/>
    <x v="189"/>
    <s v="17:28:22"/>
    <x v="1"/>
    <m/>
    <m/>
    <n v="1"/>
    <n v="0"/>
    <n v="3"/>
    <n v="4"/>
    <s v="Low engagement"/>
    <x v="0"/>
    <b v="0"/>
    <b v="1"/>
    <x v="0"/>
  </r>
  <r>
    <s v="https://x.com/Toyota/status/11451111806"/>
    <s v="Toyota USA"/>
    <s v="@Toyota"/>
    <s v="@LaurenMeem Hi Lauren. Don't know about the pink color...but rest sounds good. ^SD"/>
    <s v="2010-04-01T23:52:20.000Z"/>
    <x v="4"/>
    <x v="189"/>
    <s v="23:52:20"/>
    <x v="0"/>
    <m/>
    <m/>
    <n v="0"/>
    <n v="0"/>
    <n v="0"/>
    <n v="0"/>
    <s v="No engagement"/>
    <x v="0"/>
    <b v="0"/>
    <b v="0"/>
    <x v="1"/>
  </r>
  <r>
    <s v="https://x.com/Toyota/status/11485786833"/>
    <s v="Toyota USA"/>
    <s v="@Toyota"/>
    <s v="@togethergreen Dig the background and look of your profile. Nice work! ^SD"/>
    <s v="2010-04-02T15:28:49.000Z"/>
    <x v="4"/>
    <x v="190"/>
    <s v="15:28:49"/>
    <x v="1"/>
    <s v="@togethergreen"/>
    <m/>
    <n v="0"/>
    <n v="0"/>
    <n v="0"/>
    <n v="0"/>
    <s v="No engagement"/>
    <x v="0"/>
    <b v="0"/>
    <b v="0"/>
    <x v="1"/>
  </r>
  <r>
    <s v="https://x.com/Toyota/status/11486013416"/>
    <s v="Toyota USA"/>
    <s v="@Toyota"/>
    <s v="@LaurenMeem Wow...that's impressive. You gonna shoot for 300k miles? ^SD"/>
    <s v="2010-04-02T15:33:10.000Z"/>
    <x v="4"/>
    <x v="190"/>
    <s v="15:33:10"/>
    <x v="1"/>
    <m/>
    <m/>
    <n v="0"/>
    <n v="0"/>
    <n v="0"/>
    <n v="0"/>
    <s v="No engagement"/>
    <x v="0"/>
    <b v="0"/>
    <b v="0"/>
    <x v="1"/>
  </r>
  <r>
    <s v="https://x.com/Toyota/status/11492065749"/>
    <s v="Toyota USA"/>
    <s v="@Toyota"/>
    <s v="(Uh...wow are those stickers? ^SD) RT @autoobserver http://twitpic.com/1cnnnj - My neighbor has the most ballin' Lexus RX ever ^DG @toyota"/>
    <s v="2010-04-02T17:36:23.000Z"/>
    <x v="4"/>
    <x v="190"/>
    <s v="17:36:23"/>
    <x v="1"/>
    <m/>
    <m/>
    <n v="0"/>
    <n v="0"/>
    <n v="2"/>
    <n v="2"/>
    <s v="Low engagement"/>
    <x v="0"/>
    <b v="0"/>
    <b v="1"/>
    <x v="0"/>
  </r>
  <r>
    <s v="https://x.com/Toyota/status/11493971887"/>
    <s v="Toyota USA"/>
    <s v="@Toyota"/>
    <s v="(Pics) Toyota Pro/Celeb Training 2010 from @toyotaracing: http://bit.ly/b2rZUz"/>
    <s v="2010-04-02T18:18:56.000Z"/>
    <x v="4"/>
    <x v="190"/>
    <s v="18:18:56"/>
    <x v="0"/>
    <m/>
    <m/>
    <n v="0"/>
    <n v="0"/>
    <n v="1"/>
    <n v="1"/>
    <s v="Low engagement"/>
    <x v="0"/>
    <b v="0"/>
    <b v="1"/>
    <x v="0"/>
  </r>
  <r>
    <s v="https://x.com/Toyota/status/11661362027"/>
    <s v="Toyota USA"/>
    <s v="@Toyota"/>
    <s v="Statement on NHTSA Penalty Announcement http://bit.ly/d7ajpv"/>
    <s v="2010-04-05T21:24:54.000Z"/>
    <x v="4"/>
    <x v="191"/>
    <s v="21:24:54"/>
    <x v="0"/>
    <m/>
    <m/>
    <n v="0"/>
    <n v="0"/>
    <n v="7"/>
    <n v="7"/>
    <s v="Moderate engagement"/>
    <x v="0"/>
    <b v="0"/>
    <b v="1"/>
    <x v="0"/>
  </r>
  <r>
    <s v="https://x.com/Toyota/status/11703476134"/>
    <s v="Toyota USA"/>
    <s v="@Toyota"/>
    <s v="@ToyotaGB @MsME36 Hi. Best place to start is here: http://bit.ly/bw7BGn . Thanks. ^SD"/>
    <s v="2010-04-06T15:23:22.000Z"/>
    <x v="4"/>
    <x v="192"/>
    <s v="15:23:22"/>
    <x v="1"/>
    <s v="@ToyotaUK"/>
    <m/>
    <n v="1"/>
    <n v="0"/>
    <n v="0"/>
    <n v="1"/>
    <s v="Low engagement"/>
    <x v="0"/>
    <b v="0"/>
    <b v="1"/>
    <x v="0"/>
  </r>
  <r>
    <s v="https://x.com/Toyota/status/11787270999"/>
    <s v="Toyota USA"/>
    <s v="@Toyota"/>
    <s v="@Toyota strong sales in March reflects customers’ continued confidence in the safety &amp; reliability o… http://rep.ly/1MLC5"/>
    <s v="2010-04-07T21:23:31.000Z"/>
    <x v="4"/>
    <x v="193"/>
    <s v="21:23:31"/>
    <x v="0"/>
    <m/>
    <m/>
    <n v="2"/>
    <n v="0"/>
    <n v="6"/>
    <n v="8"/>
    <s v="Moderate engagement"/>
    <x v="0"/>
    <b v="0"/>
    <b v="1"/>
    <x v="0"/>
  </r>
  <r>
    <s v="https://x.com/Toyota/status/11790280471"/>
    <s v="Toyota USA"/>
    <s v="@Toyota"/>
    <s v="Statement on NHTSA Penalty Announcement http://rep.ly/1MLDB"/>
    <s v="2010-04-07T22:34:06.000Z"/>
    <x v="4"/>
    <x v="193"/>
    <s v="22:34:06"/>
    <x v="0"/>
    <m/>
    <m/>
    <n v="1"/>
    <n v="0"/>
    <n v="3"/>
    <n v="4"/>
    <s v="Low engagement"/>
    <x v="0"/>
    <b v="0"/>
    <b v="1"/>
    <x v="0"/>
  </r>
  <r>
    <s v="https://x.com/Toyota/status/11836224262"/>
    <s v="Toyota USA"/>
    <s v="@Toyota"/>
    <s v="“SMART” business process for quick evaluation of unintended acceleration reports http://bit.ly/cDqWBD"/>
    <s v="2010-04-08T18:09:19.000Z"/>
    <x v="4"/>
    <x v="194"/>
    <s v="18:09:19"/>
    <x v="0"/>
    <m/>
    <m/>
    <n v="3"/>
    <n v="0"/>
    <n v="7"/>
    <n v="10"/>
    <s v="High engagement"/>
    <x v="0"/>
    <b v="0"/>
    <b v="1"/>
    <x v="0"/>
  </r>
  <r>
    <s v="https://x.com/Toyota/status/12076256712"/>
    <s v="Toyota USA"/>
    <s v="@Toyota"/>
    <s v="Join us Live on @Ustream tomorrow (4/13) at 8:30am PDT to view our Sustainable Mobility Seminar http://bit.ly/dxqAr9"/>
    <s v="2010-04-13T00:54:36.000Z"/>
    <x v="4"/>
    <x v="195"/>
    <s v="00:54:36"/>
    <x v="2"/>
    <m/>
    <m/>
    <n v="0"/>
    <n v="0"/>
    <n v="3"/>
    <n v="3"/>
    <s v="Low engagement"/>
    <x v="0"/>
    <b v="0"/>
    <b v="1"/>
    <x v="0"/>
  </r>
  <r>
    <s v="https://x.com/Toyota/status/12108023256"/>
    <s v="Toyota USA"/>
    <s v="@Toyota"/>
    <s v="Visit @Ustream at 8:30am PDT to watch the Toyota Sustainable Mobiliy Seminar LIVE  (@Toyota live at http://ustre.am/fKzf )"/>
    <s v="2010-04-13T14:59:15.000Z"/>
    <x v="4"/>
    <x v="195"/>
    <s v="14:59:15"/>
    <x v="1"/>
    <m/>
    <m/>
    <n v="1"/>
    <n v="0"/>
    <n v="2"/>
    <n v="3"/>
    <s v="Low engagement"/>
    <x v="0"/>
    <b v="0"/>
    <b v="1"/>
    <x v="0"/>
  </r>
  <r>
    <s v="https://x.com/Toyota/status/12110344310"/>
    <s v="Toyota USA"/>
    <s v="@Toyota"/>
    <s v="Join us live on @Ustream right now for the Toyota Sustainable Mobility Seminar  (@Toyota live at http://ustre.am/fKzf )"/>
    <s v="2010-04-13T15:45:59.000Z"/>
    <x v="4"/>
    <x v="195"/>
    <s v="15:45:59"/>
    <x v="1"/>
    <m/>
    <m/>
    <n v="0"/>
    <n v="0"/>
    <n v="2"/>
    <n v="2"/>
    <s v="Low engagement"/>
    <x v="0"/>
    <b v="0"/>
    <b v="1"/>
    <x v="0"/>
  </r>
  <r>
    <s v="https://x.com/Toyota/status/12111100576"/>
    <s v="Toyota USA"/>
    <s v="@Toyota"/>
    <s v="Learn more about the Prius plug-in on @Ustream   (@Toyota live at http://ustre.am/fKzf )"/>
    <s v="2010-04-13T16:01:38.000Z"/>
    <x v="4"/>
    <x v="195"/>
    <s v="16:01:38"/>
    <x v="1"/>
    <m/>
    <m/>
    <n v="3"/>
    <n v="0"/>
    <n v="5"/>
    <n v="8"/>
    <s v="Moderate engagement"/>
    <x v="0"/>
    <b v="0"/>
    <b v="1"/>
    <x v="0"/>
  </r>
  <r>
    <s v="https://x.com/Toyota/status/12114605911"/>
    <s v="Toyota USA"/>
    <s v="@Toyota"/>
    <s v="Dr. Michael Dettinger, Scripps Institute of Oceanography discussing water scarcity &amp; ties to energy  (@Toyota live at http://ustre.am/fKzf )"/>
    <s v="2010-04-13T17:15:24.000Z"/>
    <x v="4"/>
    <x v="195"/>
    <s v="17:15:24"/>
    <x v="1"/>
    <m/>
    <m/>
    <n v="0"/>
    <n v="0"/>
    <n v="3"/>
    <n v="3"/>
    <s v="Low engagement"/>
    <x v="0"/>
    <b v="0"/>
    <b v="1"/>
    <x v="0"/>
  </r>
  <r>
    <s v="https://x.com/Toyota/status/12115312075"/>
    <s v="Toyota USA"/>
    <s v="@Toyota"/>
    <s v="Dr. Frank Wolak, dept. of economics, Stanford U., discussing economics of climate change  (@Toyota live at http://ustre.am/fKzf )"/>
    <s v="2010-04-13T17:31:15.000Z"/>
    <x v="4"/>
    <x v="195"/>
    <s v="17:31:15"/>
    <x v="1"/>
    <m/>
    <m/>
    <n v="0"/>
    <n v="0"/>
    <n v="3"/>
    <n v="3"/>
    <s v="Low engagement"/>
    <x v="0"/>
    <b v="0"/>
    <b v="1"/>
    <x v="0"/>
  </r>
  <r>
    <s v="https://x.com/Toyota/status/12116286316"/>
    <s v="Toyota USA"/>
    <s v="@Toyota"/>
    <s v="Dr. William Shutkin, LEEDS School of Business discussing urban planning &amp; transportation  (@Toyota live at http://ustre.am/fKzf )"/>
    <s v="2010-04-13T17:53:45.000Z"/>
    <x v="4"/>
    <x v="195"/>
    <s v="17:53:45"/>
    <x v="1"/>
    <m/>
    <m/>
    <n v="0"/>
    <n v="0"/>
    <n v="2"/>
    <n v="2"/>
    <s v="Low engagement"/>
    <x v="0"/>
    <b v="0"/>
    <b v="1"/>
    <x v="0"/>
  </r>
  <r>
    <s v="https://x.com/Toyota/status/12117021008"/>
    <s v="Toyota USA"/>
    <s v="@Toyota"/>
    <s v="Gordon Feller, CEO, Urban Age Institute is moderating the Drivers for Change panel.  (@Toyota live at http://ustre.am/fKzf )"/>
    <s v="2010-04-13T18:11:10.000Z"/>
    <x v="4"/>
    <x v="195"/>
    <s v="18:11:10"/>
    <x v="0"/>
    <m/>
    <m/>
    <n v="0"/>
    <n v="0"/>
    <n v="5"/>
    <n v="5"/>
    <s v="Moderate engagement"/>
    <x v="0"/>
    <b v="0"/>
    <b v="1"/>
    <x v="0"/>
  </r>
  <r>
    <s v="https://x.com/Toyota/status/12122114316"/>
    <s v="Toyota USA"/>
    <s v="@Toyota"/>
    <s v="Prius Plug-in Hybrids lined up and ready to roll.  http://yfrog.com/j3jfkcj"/>
    <s v="2010-04-13T20:14:42.000Z"/>
    <x v="4"/>
    <x v="195"/>
    <s v="20:14:42"/>
    <x v="0"/>
    <m/>
    <m/>
    <n v="0"/>
    <n v="0"/>
    <n v="2"/>
    <n v="2"/>
    <s v="Low engagement"/>
    <x v="0"/>
    <b v="0"/>
    <b v="1"/>
    <x v="0"/>
  </r>
  <r>
    <s v="https://x.com/Toyota/status/12122976376"/>
    <s v="Toyota USA"/>
    <s v="@Toyota"/>
    <s v="The afternoon panel entitled “Powering our Future” is about to begin.    (@Toyota live at http://ustre.am/fKzf )"/>
    <s v="2010-04-13T20:35:08.000Z"/>
    <x v="4"/>
    <x v="195"/>
    <s v="20:35:08"/>
    <x v="0"/>
    <m/>
    <m/>
    <n v="0"/>
    <n v="0"/>
    <n v="3"/>
    <n v="3"/>
    <s v="Low engagement"/>
    <x v="0"/>
    <b v="0"/>
    <b v="1"/>
    <x v="0"/>
  </r>
  <r>
    <s v="https://x.com/Toyota/status/12123068566"/>
    <s v="Toyota USA"/>
    <s v="@Toyota"/>
    <s v="Powering Our Future moderator: Alison Peters, managing director, Deming Center of Entrepreneurship  (@Toyota live at http://ustre.am/fKzf )"/>
    <s v="2010-04-13T20:37:22.000Z"/>
    <x v="4"/>
    <x v="195"/>
    <s v="20:37:22"/>
    <x v="0"/>
    <m/>
    <m/>
    <n v="0"/>
    <n v="0"/>
    <n v="2"/>
    <n v="2"/>
    <s v="Low engagement"/>
    <x v="0"/>
    <b v="0"/>
    <b v="1"/>
    <x v="0"/>
  </r>
  <r>
    <s v="https://x.com/Toyota/status/12123170619"/>
    <s v="Toyota USA"/>
    <s v="@Toyota"/>
    <s v="Dr. Jan Kreider, University of Colorado, discussing low carbon fuels.  (@Toyota live at http://ustre.am/fKzf )"/>
    <s v="2010-04-13T20:39:54.000Z"/>
    <x v="4"/>
    <x v="195"/>
    <s v="20:39:54"/>
    <x v="0"/>
    <m/>
    <m/>
    <n v="2"/>
    <n v="0"/>
    <n v="2"/>
    <n v="4"/>
    <s v="Low engagement"/>
    <x v="0"/>
    <b v="0"/>
    <b v="1"/>
    <x v="0"/>
  </r>
  <r>
    <s v="https://x.com/Toyota/status/12123980680"/>
    <s v="Toyota USA"/>
    <s v="@Toyota"/>
    <s v="Robert Bryce, author &amp; editor, Energy Tribune, discussing rare earth metals &amp; use in batteries.  (@Toyota live at http://ustre.am/fKzf )"/>
    <s v="2010-04-13T20:59:52.000Z"/>
    <x v="4"/>
    <x v="195"/>
    <s v="20:59:52"/>
    <x v="0"/>
    <m/>
    <m/>
    <n v="0"/>
    <n v="0"/>
    <n v="2"/>
    <n v="2"/>
    <s v="Low engagement"/>
    <x v="0"/>
    <b v="0"/>
    <b v="1"/>
    <x v="0"/>
  </r>
  <r>
    <s v="https://x.com/Toyota/status/12124620123"/>
    <s v="Toyota USA"/>
    <s v="@Toyota"/>
    <s v="Jay Whitacre, Carnegie Melon University, discussing advanced batteries.  (@Toyota live at http://ustre.am/fKzf )"/>
    <s v="2010-04-13T21:15:06.000Z"/>
    <x v="4"/>
    <x v="195"/>
    <s v="21:15:06"/>
    <x v="0"/>
    <m/>
    <m/>
    <n v="1"/>
    <n v="0"/>
    <n v="4"/>
    <n v="5"/>
    <s v="Moderate engagement"/>
    <x v="0"/>
    <b v="0"/>
    <b v="1"/>
    <x v="0"/>
  </r>
  <r>
    <s v="https://x.com/Toyota/status/12126177718"/>
    <s v="Toyota USA"/>
    <s v="@Toyota"/>
    <s v="RT @AutoblogGreen: Ah, here's more information on the Toyota's new plug-in #Prius fleet: http://tinyurl.com/y25depj ^AT"/>
    <s v="2010-04-13T21:51:35.000Z"/>
    <x v="4"/>
    <x v="195"/>
    <s v="21:51:35"/>
    <x v="0"/>
    <m/>
    <s v="@AutoblogGreen"/>
    <n v="0"/>
    <n v="0"/>
    <n v="4"/>
    <n v="4"/>
    <s v="Low engagement"/>
    <x v="0"/>
    <b v="0"/>
    <b v="1"/>
    <x v="0"/>
  </r>
  <r>
    <s v="https://x.com/Toyota/status/12126884470"/>
    <s v="Toyota USA"/>
    <s v="@Toyota"/>
    <s v="Thank you for watching the Sustainable Mobility Seminar. Visit www.toyota.com/esq for more info. ^@amykt"/>
    <s v="2010-04-13T22:07:36.000Z"/>
    <x v="4"/>
    <x v="195"/>
    <s v="22:07:36"/>
    <x v="0"/>
    <m/>
    <m/>
    <n v="1"/>
    <n v="0"/>
    <n v="3"/>
    <n v="4"/>
    <s v="Low engagement"/>
    <x v="0"/>
    <b v="0"/>
    <b v="1"/>
    <x v="0"/>
  </r>
  <r>
    <s v="https://x.com/Toyota/status/12130483019"/>
    <s v="Toyota USA"/>
    <s v="@Toyota"/>
    <s v="Here's Lexus’ statement regarding Consumer Reports’ testing of the 2010 GX 460 http://bit.ly/cIPU2y #GX #Lexus"/>
    <s v="2010-04-13T23:26:04.000Z"/>
    <x v="4"/>
    <x v="195"/>
    <s v="23:26:04"/>
    <x v="0"/>
    <m/>
    <m/>
    <n v="1"/>
    <n v="0"/>
    <n v="14"/>
    <n v="15"/>
    <s v="High engagement"/>
    <x v="0"/>
    <b v="0"/>
    <b v="1"/>
    <x v="0"/>
  </r>
  <r>
    <s v="https://x.com/Toyota/status/12169888599"/>
    <s v="Toyota USA"/>
    <s v="@Toyota"/>
    <s v="Check out Wayne Gerdes of CleanMPG.com's first impressions of the Prius Plug-in Hybrid Vehicle (PHV).  http://bit.ly/cflCoq ^AT &amp; ^DM"/>
    <s v="2010-04-14T15:45:46.000Z"/>
    <x v="4"/>
    <x v="196"/>
    <s v="15:45:46"/>
    <x v="1"/>
    <m/>
    <m/>
    <n v="3"/>
    <n v="1"/>
    <n v="2"/>
    <n v="6"/>
    <s v="Moderate engagement"/>
    <x v="0"/>
    <b v="0"/>
    <b v="1"/>
    <x v="0"/>
  </r>
  <r>
    <s v="https://x.com/Toyota/status/12175826637"/>
    <s v="Toyota USA"/>
    <s v="@Toyota"/>
    <s v="@mike3k Infrastructure is one of the challenges of advanced tech vehicles.  What works for one person won't work for someone else. ^AT"/>
    <s v="2010-04-14T17:53:07.000Z"/>
    <x v="4"/>
    <x v="196"/>
    <s v="17:53:07"/>
    <x v="1"/>
    <s v="@sutrofog"/>
    <m/>
    <n v="0"/>
    <n v="0"/>
    <n v="0"/>
    <n v="0"/>
    <s v="No engagement"/>
    <x v="0"/>
    <b v="0"/>
    <b v="0"/>
    <x v="1"/>
  </r>
  <r>
    <s v="https://x.com/Toyota/status/12175923075"/>
    <s v="Toyota USA"/>
    <s v="@Toyota"/>
    <s v="@mike3k That is why we explore multiple solutions for our mobility needs. While a PHV or EV won't work for you, a hybrid may be a good fit."/>
    <s v="2010-04-14T17:55:20.000Z"/>
    <x v="4"/>
    <x v="196"/>
    <s v="17:55:20"/>
    <x v="1"/>
    <s v="@sutrofog"/>
    <m/>
    <n v="0"/>
    <n v="0"/>
    <n v="0"/>
    <n v="0"/>
    <s v="No engagement"/>
    <x v="0"/>
    <b v="0"/>
    <b v="0"/>
    <x v="1"/>
  </r>
  <r>
    <s v="https://x.com/Toyota/status/12181523881"/>
    <s v="Toyota USA"/>
    <s v="@Toyota"/>
    <s v="@mariansinopoli Any customer who purchased 2010 GX 460 and is concerned about driving, Lexus will provide loaner until remedy is available."/>
    <s v="2010-04-14T20:08:04.000Z"/>
    <x v="4"/>
    <x v="196"/>
    <s v="20:08:04"/>
    <x v="0"/>
    <s v="@rosenbergmaria7"/>
    <m/>
    <n v="0"/>
    <n v="0"/>
    <n v="1"/>
    <n v="1"/>
    <s v="Low engagement"/>
    <x v="0"/>
    <b v="0"/>
    <b v="0"/>
    <x v="1"/>
  </r>
  <r>
    <s v="https://x.com/Toyota/status/12229738945"/>
    <s v="Toyota USA"/>
    <s v="@Toyota"/>
    <s v="[Videos] First impression test drives of the Prius Plug-in Hybrid: http://bit.ly/9NENkQ  http://bit.ly/b9PZTe  http://bit.ly/9QSKAX"/>
    <s v="2010-04-15T15:43:06.000Z"/>
    <x v="4"/>
    <x v="197"/>
    <s v="15:43:06"/>
    <x v="1"/>
    <m/>
    <m/>
    <n v="1"/>
    <n v="0"/>
    <n v="9"/>
    <n v="10"/>
    <s v="High engagement"/>
    <x v="0"/>
    <b v="0"/>
    <b v="1"/>
    <x v="0"/>
  </r>
  <r>
    <s v="https://x.com/Toyota/status/12233281051"/>
    <s v="Toyota USA"/>
    <s v="@Toyota"/>
    <s v="RT @TonyHawk The @tgplb2010 is this weekend. ESPN grilled me about my participation: http://bit.ly/9ogwfh"/>
    <s v="2010-04-15T16:55:02.000Z"/>
    <x v="4"/>
    <x v="197"/>
    <s v="16:55:02"/>
    <x v="1"/>
    <m/>
    <m/>
    <n v="0"/>
    <n v="0"/>
    <n v="2"/>
    <n v="2"/>
    <s v="Low engagement"/>
    <x v="0"/>
    <b v="0"/>
    <b v="1"/>
    <x v="0"/>
  </r>
  <r>
    <s v="https://x.com/Toyota/status/12235873919"/>
    <s v="Toyota USA"/>
    <s v="@Toyota"/>
    <s v="@micronix Hi Mike. Had a similar question yesterday. Here's the responses http://bit.ly/bEU6Z5 and http://bit.ly/asEQ3V"/>
    <s v="2010-04-15T17:51:37.000Z"/>
    <x v="4"/>
    <x v="197"/>
    <s v="17:51:37"/>
    <x v="1"/>
    <s v="@micronix"/>
    <m/>
    <n v="0"/>
    <n v="0"/>
    <n v="0"/>
    <n v="0"/>
    <s v="No engagement"/>
    <x v="0"/>
    <b v="0"/>
    <b v="1"/>
    <x v="0"/>
  </r>
  <r>
    <s v="https://x.com/Toyota/status/12289176177"/>
    <s v="Toyota USA"/>
    <s v="@Toyota"/>
    <s v="Who's going to the 2010 Toyota Grand Prix of Long Beach this weekend? Tweet @ToyotaRacing and let em know you're coming!"/>
    <s v="2010-04-16T15:34:14.000Z"/>
    <x v="4"/>
    <x v="198"/>
    <s v="15:34:14"/>
    <x v="1"/>
    <m/>
    <m/>
    <n v="0"/>
    <n v="0"/>
    <n v="2"/>
    <n v="2"/>
    <s v="Low engagement"/>
    <x v="0"/>
    <b v="0"/>
    <b v="0"/>
    <x v="1"/>
  </r>
  <r>
    <s v="https://x.com/Toyota/status/12294211926"/>
    <s v="Toyota USA"/>
    <s v="@Toyota"/>
    <s v="@RacingTheWeb Drive safe...and enjoy the race!"/>
    <s v="2010-04-16T17:12:25.000Z"/>
    <x v="4"/>
    <x v="198"/>
    <s v="17:12:25"/>
    <x v="1"/>
    <s v="@RacingTheWeb"/>
    <m/>
    <n v="0"/>
    <n v="0"/>
    <n v="0"/>
    <n v="0"/>
    <s v="No engagement"/>
    <x v="0"/>
    <b v="0"/>
    <b v="0"/>
    <x v="1"/>
  </r>
  <r>
    <s v="https://x.com/Toyota/status/12294292089"/>
    <s v="Toyota USA"/>
    <s v="@Toyota"/>
    <s v="@SoCalALEX18 Enjoy the roar."/>
    <s v="2010-04-16T17:14:04.000Z"/>
    <x v="4"/>
    <x v="198"/>
    <s v="17:14:04"/>
    <x v="1"/>
    <s v="@SoCalALEX18"/>
    <m/>
    <n v="0"/>
    <n v="0"/>
    <n v="0"/>
    <n v="0"/>
    <s v="No engagement"/>
    <x v="0"/>
    <b v="0"/>
    <b v="0"/>
    <x v="1"/>
  </r>
  <r>
    <s v="https://x.com/Toyota/status/12298483418"/>
    <s v="Toyota USA"/>
    <s v="@Toyota"/>
    <s v="New Vid: Learn about Toyota’s rapid-response Swift Market Analysis Response Team (SMART) at http://bit.ly/dkmRj4"/>
    <s v="2010-04-16T18:44:32.000Z"/>
    <x v="4"/>
    <x v="198"/>
    <s v="18:44:32"/>
    <x v="0"/>
    <m/>
    <m/>
    <n v="2"/>
    <n v="0"/>
    <n v="4"/>
    <n v="6"/>
    <s v="Moderate engagement"/>
    <x v="0"/>
    <b v="0"/>
    <b v="1"/>
    <x v="0"/>
  </r>
  <r>
    <s v="https://x.com/Toyota/status/12306644798"/>
    <s v="Toyota USA"/>
    <s v="@Toyota"/>
    <s v="Toyota to Begin Voluntary Safety Recall on Certain 98-10 MY Siennas to Address Potential Corrosion on Spare Tire Cable http://bit.ly/dizq6w"/>
    <s v="2010-04-16T21:58:14.000Z"/>
    <x v="4"/>
    <x v="198"/>
    <s v="21:58:14"/>
    <x v="0"/>
    <m/>
    <m/>
    <n v="0"/>
    <n v="0"/>
    <n v="8"/>
    <n v="8"/>
    <s v="Moderate engagement"/>
    <x v="0"/>
    <b v="0"/>
    <b v="1"/>
    <x v="0"/>
  </r>
  <r>
    <s v="https://x.com/Toyota/status/12471213494"/>
    <s v="Toyota USA"/>
    <s v="@Toyota"/>
    <s v="Toyota Announces Voluntary Recall on 2010 Model-Year Lexus GX 460 to Update Vehicle Stability Control Software http://bit.ly/9hXQiK"/>
    <s v="2010-04-19T19:12:54.000Z"/>
    <x v="4"/>
    <x v="199"/>
    <s v="19:12:54"/>
    <x v="0"/>
    <m/>
    <m/>
    <n v="1"/>
    <n v="0"/>
    <n v="12"/>
    <n v="13"/>
    <s v="High engagement"/>
    <x v="0"/>
    <b v="0"/>
    <b v="1"/>
    <x v="0"/>
  </r>
  <r>
    <s v="https://x.com/Toyota/status/12473662086"/>
    <s v="Toyota USA"/>
    <s v="@Toyota"/>
    <s v="[Video] Message to Lexus customers regarding the 2010 GX 460 voluntary recall. http://bit.ly/am6AYf"/>
    <s v="2010-04-19T20:12:34.000Z"/>
    <x v="4"/>
    <x v="199"/>
    <s v="20:12:34"/>
    <x v="0"/>
    <m/>
    <m/>
    <n v="2"/>
    <n v="0"/>
    <n v="12"/>
    <n v="14"/>
    <s v="High engagement"/>
    <x v="0"/>
    <b v="0"/>
    <b v="1"/>
    <x v="0"/>
  </r>
  <r>
    <s v="https://x.com/Toyota/status/12582293029"/>
    <s v="Toyota USA"/>
    <s v="@Toyota"/>
    <s v="@MichaelGaspar Thanks Michael!"/>
    <s v="2010-04-21T15:24:42.000Z"/>
    <x v="4"/>
    <x v="200"/>
    <s v="15:24:42"/>
    <x v="1"/>
    <s v="@MichaelGaspar"/>
    <m/>
    <n v="0"/>
    <n v="0"/>
    <n v="0"/>
    <n v="0"/>
    <s v="No engagement"/>
    <x v="0"/>
    <b v="0"/>
    <b v="0"/>
    <x v="1"/>
  </r>
  <r>
    <s v="https://x.com/Toyota/status/12645533770"/>
    <s v="Toyota USA"/>
    <s v="@Toyota"/>
    <s v="Good morning everyone! Doing anything interesting to celebrate Earth Day? Let us know...send us a twitpic or update. #earthday"/>
    <s v="2010-04-22T15:35:44.000Z"/>
    <x v="4"/>
    <x v="201"/>
    <s v="15:35:44"/>
    <x v="1"/>
    <m/>
    <m/>
    <n v="1"/>
    <n v="0"/>
    <n v="2"/>
    <n v="3"/>
    <s v="Low engagement"/>
    <x v="0"/>
    <b v="0"/>
    <b v="0"/>
    <x v="1"/>
  </r>
  <r>
    <s v="https://x.com/Toyota/status/12646370907"/>
    <s v="Toyota USA"/>
    <s v="@Toyota"/>
    <s v="Check out the Prius Plug-in Hybrid being charged by solar flower power! Happy Earth Day! ^AT http://twitpic.com/1hjajp"/>
    <s v="2010-04-22T15:51:41.000Z"/>
    <x v="4"/>
    <x v="201"/>
    <s v="15:51:41"/>
    <x v="1"/>
    <m/>
    <m/>
    <n v="1"/>
    <n v="0"/>
    <n v="10"/>
    <n v="11"/>
    <s v="High engagement"/>
    <x v="0"/>
    <b v="0"/>
    <b v="1"/>
    <x v="0"/>
  </r>
  <r>
    <s v="https://x.com/Toyota/status/12653654341"/>
    <s v="Toyota USA"/>
    <s v="@Toyota"/>
    <s v="Alt-fuel vehicles rated on environmental impact, value and features http://bit.ly/bEhzwk (via @ChicagoTribune)"/>
    <s v="2010-04-22T18:21:45.000Z"/>
    <x v="4"/>
    <x v="201"/>
    <s v="18:21:45"/>
    <x v="0"/>
    <m/>
    <m/>
    <n v="1"/>
    <n v="0"/>
    <n v="3"/>
    <n v="4"/>
    <s v="Low engagement"/>
    <x v="0"/>
    <b v="0"/>
    <b v="1"/>
    <x v="0"/>
  </r>
  <r>
    <s v="https://x.com/Toyota/status/12660012677"/>
    <s v="Toyota USA"/>
    <s v="@Toyota"/>
    <s v="@Rene_dev Hi there.  Have you gone to a dealer to have the codes examined?"/>
    <s v="2010-04-22T20:41:37.000Z"/>
    <x v="4"/>
    <x v="201"/>
    <s v="20:41:37"/>
    <x v="0"/>
    <s v="@Rene_dev"/>
    <m/>
    <n v="0"/>
    <n v="0"/>
    <n v="0"/>
    <n v="0"/>
    <s v="No engagement"/>
    <x v="0"/>
    <b v="0"/>
    <b v="0"/>
    <x v="1"/>
  </r>
  <r>
    <s v="https://x.com/Toyota/status/12661148714"/>
    <s v="Toyota USA"/>
    <s v="@Toyota"/>
    <s v="@danwboles Nice...looks good in black!"/>
    <s v="2010-04-22T21:07:03.000Z"/>
    <x v="4"/>
    <x v="201"/>
    <s v="21:07:03"/>
    <x v="0"/>
    <s v="@expeditiongausa"/>
    <m/>
    <n v="0"/>
    <n v="0"/>
    <n v="0"/>
    <n v="0"/>
    <s v="No engagement"/>
    <x v="0"/>
    <b v="0"/>
    <b v="0"/>
    <x v="1"/>
  </r>
  <r>
    <s v="https://x.com/Toyota/status/12950719182"/>
    <s v="Toyota USA"/>
    <s v="@Toyota"/>
    <s v="@gersonroher Hi Gerson. Didn't see the tweet...what's the question? Thanks. ^SD"/>
    <s v="2010-04-27T15:30:54.000Z"/>
    <x v="4"/>
    <x v="202"/>
    <s v="15:30:54"/>
    <x v="1"/>
    <s v="@gersonroher"/>
    <m/>
    <n v="0"/>
    <n v="0"/>
    <n v="0"/>
    <n v="0"/>
    <s v="No engagement"/>
    <x v="0"/>
    <b v="0"/>
    <b v="0"/>
    <x v="1"/>
  </r>
  <r>
    <s v="https://x.com/Toyota/status/12950751831"/>
    <s v="Toyota USA"/>
    <s v="@Toyota"/>
    <s v="@WayneBerry Well done."/>
    <s v="2010-04-27T15:31:36.000Z"/>
    <x v="4"/>
    <x v="202"/>
    <s v="15:31:36"/>
    <x v="1"/>
    <m/>
    <m/>
    <n v="0"/>
    <n v="0"/>
    <n v="0"/>
    <n v="0"/>
    <s v="No engagement"/>
    <x v="0"/>
    <b v="0"/>
    <b v="0"/>
    <x v="1"/>
  </r>
  <r>
    <s v="https://x.com/Toyota/status/12950905352"/>
    <s v="Toyota USA"/>
    <s v="@Toyota"/>
    <s v="@erobards @joanrobards Thanks for the note!  Glad to hear it. ^SD"/>
    <s v="2010-04-27T15:34:50.000Z"/>
    <x v="4"/>
    <x v="202"/>
    <s v="15:34:50"/>
    <x v="1"/>
    <s v="@CNNEmily"/>
    <m/>
    <n v="0"/>
    <n v="0"/>
    <n v="0"/>
    <n v="0"/>
    <s v="No engagement"/>
    <x v="0"/>
    <b v="0"/>
    <b v="0"/>
    <x v="1"/>
  </r>
  <r>
    <s v="https://x.com/Toyota/status/13011574545"/>
    <s v="Toyota USA"/>
    <s v="@Toyota"/>
    <s v="Toyota Announces Voluntary Recall on 2003 MY Sequoia to Upgrade Program Logic in Vehicle Stability Control System http://bit.ly/aXWNXn"/>
    <s v="2010-04-28T15:10:26.000Z"/>
    <x v="4"/>
    <x v="203"/>
    <s v="15:10:26"/>
    <x v="1"/>
    <m/>
    <m/>
    <n v="2"/>
    <n v="0"/>
    <n v="6"/>
    <n v="8"/>
    <s v="Moderate engagement"/>
    <x v="0"/>
    <b v="0"/>
    <b v="1"/>
    <x v="0"/>
  </r>
  <r>
    <s v="https://x.com/Toyota/status/13012339730"/>
    <s v="Toyota USA"/>
    <s v="@Toyota"/>
    <s v="NOTE: Of the approx 50k 2003 MY Sequoias included in this recall, approx half have already been serviced under warranty."/>
    <s v="2010-04-28T15:25:16.000Z"/>
    <x v="4"/>
    <x v="203"/>
    <s v="15:25:16"/>
    <x v="1"/>
    <m/>
    <m/>
    <n v="1"/>
    <n v="0"/>
    <n v="5"/>
    <n v="6"/>
    <s v="Moderate engagement"/>
    <x v="0"/>
    <b v="0"/>
    <b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2">
  <r>
    <s v="https://twitter.com/VW/status/611529313423245312"/>
    <s v="Volkswagen"/>
    <s v="@VW"/>
    <x v="0"/>
    <s v="2015-06-18T13:42:04.000Z"/>
    <x v="0"/>
    <x v="0"/>
    <s v="13:42:04"/>
    <x v="0"/>
    <s v="@matthabel"/>
    <s v=""/>
    <n v="1"/>
    <n v="0"/>
    <n v="0"/>
    <n v="1"/>
    <s v="Low engagement"/>
    <b v="0"/>
    <b v="0"/>
    <b v="0"/>
    <x v="0"/>
  </r>
  <r>
    <s v="https://twitter.com/VW/status/611529311305101314"/>
    <s v="Volkswagen"/>
    <s v="@VW"/>
    <x v="1"/>
    <s v="2015-06-18T13:42:04.000Z"/>
    <x v="0"/>
    <x v="0"/>
    <s v="13:42:04"/>
    <x v="0"/>
    <s v="@LaurNicole"/>
    <s v=""/>
    <n v="1"/>
    <n v="0"/>
    <n v="0"/>
    <n v="1"/>
    <s v="Low engagement"/>
    <b v="0"/>
    <b v="0"/>
    <b v="0"/>
    <x v="0"/>
  </r>
  <r>
    <s v="https://twitter.com/VW/status/611529315822407681"/>
    <s v="Volkswagen"/>
    <s v="@VW"/>
    <x v="2"/>
    <s v="2015-06-18T13:42:05.000Z"/>
    <x v="0"/>
    <x v="0"/>
    <s v="13:42:05"/>
    <x v="0"/>
    <s v="@matthabel"/>
    <s v=""/>
    <n v="1"/>
    <n v="0"/>
    <n v="0"/>
    <n v="1"/>
    <s v="Low engagement"/>
    <b v="0"/>
    <b v="0"/>
    <b v="0"/>
    <x v="0"/>
  </r>
  <r>
    <s v="https://twitter.com/VW/status/611605242166185984"/>
    <s v="Volkswagen"/>
    <s v="@VW"/>
    <x v="3"/>
    <s v="2015-06-18T18:43:47.000Z"/>
    <x v="0"/>
    <x v="0"/>
    <s v="18:43:47"/>
    <x v="1"/>
    <s v="@sdiddy31"/>
    <s v=""/>
    <n v="1"/>
    <n v="0"/>
    <n v="1"/>
    <n v="2"/>
    <s v="Low engagement"/>
    <b v="0"/>
    <b v="0"/>
    <b v="0"/>
    <x v="0"/>
  </r>
  <r>
    <s v="https://twitter.com/VW/status/611647347869659136"/>
    <s v="Volkswagen"/>
    <s v="@VW"/>
    <x v="4"/>
    <s v="2015-06-18T21:31:06.000Z"/>
    <x v="0"/>
    <x v="0"/>
    <s v="21:31:06"/>
    <x v="1"/>
    <s v=""/>
    <s v=""/>
    <n v="2"/>
    <n v="1"/>
    <n v="1"/>
    <n v="4"/>
    <s v="Low engagement"/>
    <b v="0"/>
    <b v="0"/>
    <b v="0"/>
    <x v="0"/>
  </r>
  <r>
    <s v="https://twitter.com/VW/status/611844383982403584"/>
    <s v="Volkswagen"/>
    <s v="@VW"/>
    <x v="5"/>
    <s v="2015-06-19T10:34:03.000Z"/>
    <x v="0"/>
    <x v="1"/>
    <s v="10:34:03"/>
    <x v="2"/>
    <s v=""/>
    <s v=""/>
    <n v="13"/>
    <n v="1"/>
    <n v="7"/>
    <n v="21"/>
    <s v="High engagement"/>
    <b v="1"/>
    <b v="0"/>
    <b v="1"/>
    <x v="1"/>
  </r>
  <r>
    <s v="https://twitter.com/VW/status/611889479947825152"/>
    <s v="Volkswagen"/>
    <s v="@VW"/>
    <x v="6"/>
    <s v="2015-06-19T13:33:15.000Z"/>
    <x v="0"/>
    <x v="1"/>
    <s v="13:33:15"/>
    <x v="0"/>
    <s v=""/>
    <s v=""/>
    <n v="25"/>
    <n v="2"/>
    <n v="10"/>
    <n v="37"/>
    <s v="High engagement"/>
    <b v="1"/>
    <b v="0"/>
    <b v="0"/>
    <x v="1"/>
  </r>
  <r>
    <s v="https://twitter.com/VW/status/611914282993717248"/>
    <s v="Volkswagen"/>
    <s v="@VW"/>
    <x v="7"/>
    <s v="2015-06-19T15:11:48.000Z"/>
    <x v="0"/>
    <x v="1"/>
    <s v="15:11:48"/>
    <x v="3"/>
    <s v="@wandiezibani"/>
    <s v=""/>
    <n v="0"/>
    <n v="0"/>
    <n v="0"/>
    <n v="0"/>
    <s v="No engagement"/>
    <b v="0"/>
    <b v="0"/>
    <b v="0"/>
    <x v="0"/>
  </r>
  <r>
    <s v="https://twitter.com/VW/status/611916326940995584"/>
    <s v="Volkswagen"/>
    <s v="@VW"/>
    <x v="8"/>
    <s v="2015-06-19T15:19:55.000Z"/>
    <x v="0"/>
    <x v="1"/>
    <s v="15:19:55"/>
    <x v="3"/>
    <s v=""/>
    <s v=""/>
    <n v="0"/>
    <n v="0"/>
    <n v="0"/>
    <n v="0"/>
    <s v="No engagement"/>
    <b v="0"/>
    <b v="0"/>
    <b v="0"/>
    <x v="0"/>
  </r>
  <r>
    <s v="https://twitter.com/VW/status/611937312306544640"/>
    <s v="Volkswagen"/>
    <s v="@VW"/>
    <x v="9"/>
    <s v="2015-06-19T16:43:19.000Z"/>
    <x v="0"/>
    <x v="1"/>
    <s v="16:43:19"/>
    <x v="3"/>
    <s v=""/>
    <s v=""/>
    <n v="46"/>
    <n v="0"/>
    <n v="21"/>
    <n v="67"/>
    <s v="High engagement"/>
    <b v="1"/>
    <b v="0"/>
    <b v="0"/>
    <x v="1"/>
  </r>
  <r>
    <s v="https://twitter.com/VW/status/611939724710670336"/>
    <s v="Volkswagen"/>
    <s v="@VW"/>
    <x v="10"/>
    <s v="2015-06-19T16:52:54.000Z"/>
    <x v="0"/>
    <x v="1"/>
    <s v="16:52:54"/>
    <x v="3"/>
    <s v=""/>
    <s v=""/>
    <n v="30"/>
    <n v="2"/>
    <n v="18"/>
    <n v="50"/>
    <s v="High engagement"/>
    <b v="0"/>
    <b v="1"/>
    <b v="0"/>
    <x v="2"/>
  </r>
  <r>
    <s v="https://twitter.com/VW/status/611999445367029761"/>
    <s v="Volkswagen"/>
    <s v="@VW"/>
    <x v="11"/>
    <s v="2015-06-19T20:50:12.000Z"/>
    <x v="0"/>
    <x v="1"/>
    <s v="20:50:12"/>
    <x v="1"/>
    <s v=""/>
    <s v=""/>
    <n v="10"/>
    <n v="0"/>
    <n v="5"/>
    <n v="15"/>
    <s v="High engagement"/>
    <b v="1"/>
    <b v="0"/>
    <b v="0"/>
    <x v="1"/>
  </r>
  <r>
    <s v="https://twitter.com/VW/status/612004105033285632"/>
    <s v="Volkswagen"/>
    <s v="@VW"/>
    <x v="12"/>
    <s v="2015-06-19T21:08:43.000Z"/>
    <x v="0"/>
    <x v="1"/>
    <s v="21:08:43"/>
    <x v="1"/>
    <s v=""/>
    <s v=""/>
    <n v="32"/>
    <n v="2"/>
    <n v="15"/>
    <n v="49"/>
    <s v="High engagement"/>
    <b v="1"/>
    <b v="0"/>
    <b v="0"/>
    <x v="1"/>
  </r>
  <r>
    <s v="https://twitter.com/VW/status/612022293246689280"/>
    <s v="Volkswagen"/>
    <s v="@VW"/>
    <x v="13"/>
    <s v="2015-06-19T22:21:00.000Z"/>
    <x v="0"/>
    <x v="1"/>
    <s v="22:21:00"/>
    <x v="1"/>
    <s v=""/>
    <s v=""/>
    <n v="28"/>
    <n v="0"/>
    <n v="13"/>
    <n v="41"/>
    <s v="High engagement"/>
    <b v="1"/>
    <b v="0"/>
    <b v="0"/>
    <x v="1"/>
  </r>
  <r>
    <s v="https://twitter.com/VW/status/612039574496407552"/>
    <s v="Volkswagen"/>
    <s v="@VW"/>
    <x v="14"/>
    <s v="2015-06-19T23:29:40.000Z"/>
    <x v="0"/>
    <x v="1"/>
    <s v="23:29:40"/>
    <x v="1"/>
    <s v=""/>
    <s v=""/>
    <n v="5"/>
    <n v="0"/>
    <n v="3"/>
    <n v="8"/>
    <s v="Moderate engagement"/>
    <b v="1"/>
    <b v="0"/>
    <b v="0"/>
    <x v="1"/>
  </r>
  <r>
    <s v="https://twitter.com/VW/status/612060146450063360"/>
    <s v="Volkswagen"/>
    <s v="@VW"/>
    <x v="15"/>
    <s v="2015-06-20T00:51:25.000Z"/>
    <x v="0"/>
    <x v="2"/>
    <s v="00:51:25"/>
    <x v="4"/>
    <s v="@JimDilley"/>
    <s v=""/>
    <n v="0"/>
    <n v="0"/>
    <n v="0"/>
    <n v="0"/>
    <s v="No engagement"/>
    <b v="0"/>
    <b v="0"/>
    <b v="0"/>
    <x v="0"/>
  </r>
  <r>
    <s v="https://twitter.com/VW/status/612062040153128960"/>
    <s v="Volkswagen"/>
    <s v="@VW"/>
    <x v="16"/>
    <s v="2015-06-20T00:58:56.000Z"/>
    <x v="0"/>
    <x v="2"/>
    <s v="00:58:56"/>
    <x v="4"/>
    <s v=""/>
    <s v=""/>
    <n v="0"/>
    <n v="0"/>
    <n v="0"/>
    <n v="0"/>
    <s v="No engagement"/>
    <b v="0"/>
    <b v="0"/>
    <b v="0"/>
    <x v="0"/>
  </r>
  <r>
    <s v="https://twitter.com/VW/status/612062045085630464"/>
    <s v="Volkswagen"/>
    <s v="@VW"/>
    <x v="17"/>
    <s v="2015-06-20T00:58:57.000Z"/>
    <x v="0"/>
    <x v="2"/>
    <s v="00:58:57"/>
    <x v="4"/>
    <s v="@LShslatin"/>
    <s v=""/>
    <n v="0"/>
    <n v="1"/>
    <n v="0"/>
    <n v="1"/>
    <s v="Low engagement"/>
    <b v="0"/>
    <b v="0"/>
    <b v="0"/>
    <x v="0"/>
  </r>
  <r>
    <s v="https://twitter.com/VW/status/612062052715081728"/>
    <s v="Volkswagen"/>
    <s v="@VW"/>
    <x v="18"/>
    <s v="2015-06-20T00:58:59.000Z"/>
    <x v="0"/>
    <x v="2"/>
    <s v="00:58:59"/>
    <x v="4"/>
    <s v="@ciaraxkellyyy"/>
    <s v=""/>
    <n v="0"/>
    <n v="0"/>
    <n v="1"/>
    <n v="1"/>
    <s v="Low engagement"/>
    <b v="0"/>
    <b v="0"/>
    <b v="0"/>
    <x v="0"/>
  </r>
  <r>
    <s v="https://twitter.com/VW/status/612062050622111744"/>
    <s v="Volkswagen"/>
    <s v="@VW"/>
    <x v="19"/>
    <s v="2015-06-20T00:58:59.000Z"/>
    <x v="0"/>
    <x v="2"/>
    <s v="00:58:59"/>
    <x v="4"/>
    <s v="@BlizzardCookie"/>
    <s v=""/>
    <n v="0"/>
    <n v="1"/>
    <n v="0"/>
    <n v="1"/>
    <s v="Low engagement"/>
    <b v="0"/>
    <b v="0"/>
    <b v="1"/>
    <x v="3"/>
  </r>
  <r>
    <s v="https://twitter.com/VW/status/612063854147731458"/>
    <s v="Volkswagen"/>
    <s v="@VW"/>
    <x v="20"/>
    <s v="2015-06-20T01:06:09.000Z"/>
    <x v="0"/>
    <x v="2"/>
    <s v="01:06:09"/>
    <x v="4"/>
    <s v="@quinton_luck"/>
    <s v=""/>
    <n v="0"/>
    <n v="0"/>
    <n v="1"/>
    <n v="1"/>
    <s v="Low engagement"/>
    <b v="0"/>
    <b v="0"/>
    <b v="0"/>
    <x v="0"/>
  </r>
  <r>
    <s v="https://twitter.com/VW/status/612241502857728000"/>
    <s v="Volkswagen"/>
    <s v="@VW"/>
    <x v="21"/>
    <s v="2015-06-20T12:52:03.000Z"/>
    <x v="0"/>
    <x v="2"/>
    <s v="12:52:03"/>
    <x v="0"/>
    <s v=""/>
    <s v=""/>
    <n v="23"/>
    <n v="1"/>
    <n v="6"/>
    <n v="30"/>
    <s v="High engagement"/>
    <b v="1"/>
    <b v="0"/>
    <b v="0"/>
    <x v="1"/>
  </r>
  <r>
    <s v="https://twitter.com/VW/status/612251593350742016"/>
    <s v="Volkswagen"/>
    <s v="@VW"/>
    <x v="22"/>
    <s v="2015-06-20T13:32:09.000Z"/>
    <x v="0"/>
    <x v="2"/>
    <s v="13:32:09"/>
    <x v="0"/>
    <s v=""/>
    <s v=""/>
    <n v="38"/>
    <n v="2"/>
    <n v="15"/>
    <n v="55"/>
    <s v="High engagement"/>
    <b v="1"/>
    <b v="0"/>
    <b v="0"/>
    <x v="1"/>
  </r>
  <r>
    <s v="https://twitter.com/VW/status/612266449361633280"/>
    <s v="Volkswagen"/>
    <s v="@VW"/>
    <x v="23"/>
    <s v="2015-06-20T14:31:11.000Z"/>
    <x v="0"/>
    <x v="2"/>
    <s v="14:31:11"/>
    <x v="3"/>
    <s v=""/>
    <s v=""/>
    <n v="10"/>
    <n v="0"/>
    <n v="5"/>
    <n v="15"/>
    <s v="High engagement"/>
    <b v="1"/>
    <b v="0"/>
    <b v="0"/>
    <x v="1"/>
  </r>
  <r>
    <s v="https://twitter.com/VW/status/612286238486339584"/>
    <s v="Volkswagen"/>
    <s v="@VW"/>
    <x v="24"/>
    <s v="2015-06-20T15:49:49.000Z"/>
    <x v="0"/>
    <x v="2"/>
    <s v="15:49:49"/>
    <x v="3"/>
    <s v=""/>
    <s v=""/>
    <n v="16"/>
    <n v="0"/>
    <n v="4"/>
    <n v="20"/>
    <s v="High engagement"/>
    <b v="1"/>
    <b v="0"/>
    <b v="0"/>
    <x v="1"/>
  </r>
  <r>
    <s v="https://twitter.com/VW/status/612294305814851584"/>
    <s v="Volkswagen"/>
    <s v="@VW"/>
    <x v="25"/>
    <s v="2015-06-20T16:21:53.000Z"/>
    <x v="0"/>
    <x v="2"/>
    <s v="16:21:53"/>
    <x v="3"/>
    <s v=""/>
    <s v=""/>
    <n v="9"/>
    <n v="0"/>
    <n v="1"/>
    <n v="10"/>
    <s v="High engagement"/>
    <b v="1"/>
    <b v="0"/>
    <b v="0"/>
    <x v="1"/>
  </r>
  <r>
    <s v="https://twitter.com/VW/status/612299184838979584"/>
    <s v="Volkswagen"/>
    <s v="@VW"/>
    <x v="26"/>
    <s v="2015-06-20T16:41:16.000Z"/>
    <x v="0"/>
    <x v="2"/>
    <s v="16:41:16"/>
    <x v="3"/>
    <s v=""/>
    <s v=""/>
    <n v="30"/>
    <n v="0"/>
    <n v="14"/>
    <n v="44"/>
    <s v="High engagement"/>
    <b v="1"/>
    <b v="0"/>
    <b v="0"/>
    <x v="1"/>
  </r>
  <r>
    <s v="https://twitter.com/VW/status/612301575185412096"/>
    <s v="Volkswagen"/>
    <s v="@VW"/>
    <x v="27"/>
    <s v="2015-06-20T16:50:46.000Z"/>
    <x v="0"/>
    <x v="2"/>
    <s v="16:50:46"/>
    <x v="3"/>
    <s v=""/>
    <s v=""/>
    <n v="34"/>
    <n v="1"/>
    <n v="14"/>
    <n v="49"/>
    <s v="High engagement"/>
    <b v="1"/>
    <b v="0"/>
    <b v="0"/>
    <x v="1"/>
  </r>
  <r>
    <s v="https://twitter.com/VW/status/612307397135179776"/>
    <s v="Volkswagen"/>
    <s v="@VW"/>
    <x v="28"/>
    <s v="2015-06-20T17:13:54.000Z"/>
    <x v="0"/>
    <x v="2"/>
    <s v="17:13:54"/>
    <x v="3"/>
    <s v=""/>
    <s v=""/>
    <n v="13"/>
    <n v="4"/>
    <n v="11"/>
    <n v="28"/>
    <s v="High engagement"/>
    <b v="1"/>
    <b v="0"/>
    <b v="0"/>
    <x v="1"/>
  </r>
  <r>
    <s v="https://twitter.com/VW/status/612323421003845636"/>
    <s v="Volkswagen"/>
    <s v="@VW"/>
    <x v="29"/>
    <s v="2015-06-20T18:17:34.000Z"/>
    <x v="0"/>
    <x v="2"/>
    <s v="18:17:34"/>
    <x v="1"/>
    <s v=""/>
    <s v=""/>
    <n v="24"/>
    <n v="0"/>
    <n v="9"/>
    <n v="33"/>
    <s v="High engagement"/>
    <b v="1"/>
    <b v="0"/>
    <b v="0"/>
    <x v="1"/>
  </r>
  <r>
    <s v="https://twitter.com/VW/status/612339392460550144"/>
    <s v="Volkswagen"/>
    <s v="@VW"/>
    <x v="30"/>
    <s v="2015-06-20T19:21:02.000Z"/>
    <x v="0"/>
    <x v="2"/>
    <s v="19:21:02"/>
    <x v="1"/>
    <s v=""/>
    <s v=""/>
    <n v="5"/>
    <n v="0"/>
    <n v="6"/>
    <n v="11"/>
    <s v="High engagement"/>
    <b v="1"/>
    <b v="0"/>
    <b v="0"/>
    <x v="1"/>
  </r>
  <r>
    <s v="https://twitter.com/VW/status/612347228968079360"/>
    <s v="Volkswagen"/>
    <s v="@VW"/>
    <x v="31"/>
    <s v="2015-06-20T19:52:10.000Z"/>
    <x v="0"/>
    <x v="2"/>
    <s v="19:52:10"/>
    <x v="1"/>
    <s v=""/>
    <s v=""/>
    <n v="17"/>
    <n v="1"/>
    <n v="12"/>
    <n v="30"/>
    <s v="High engagement"/>
    <b v="1"/>
    <b v="0"/>
    <b v="0"/>
    <x v="1"/>
  </r>
  <r>
    <s v="https://twitter.com/VW/status/612397693541969921"/>
    <s v="Volkswagen"/>
    <s v="@VW"/>
    <x v="32"/>
    <s v="2015-06-20T23:12:42.000Z"/>
    <x v="0"/>
    <x v="2"/>
    <s v="23:12:42"/>
    <x v="1"/>
    <s v=""/>
    <s v=""/>
    <n v="95"/>
    <n v="1"/>
    <n v="30"/>
    <n v="126"/>
    <s v="High engagement"/>
    <b v="1"/>
    <b v="0"/>
    <b v="0"/>
    <x v="1"/>
  </r>
  <r>
    <s v="https://twitter.com/VW/status/612584303281618944"/>
    <s v="Volkswagen"/>
    <s v="@VW"/>
    <x v="33"/>
    <s v="2015-06-21T11:34:13.000Z"/>
    <x v="0"/>
    <x v="3"/>
    <s v="11:34:13"/>
    <x v="0"/>
    <s v=""/>
    <s v=""/>
    <n v="25"/>
    <n v="1"/>
    <n v="20"/>
    <n v="46"/>
    <s v="High engagement"/>
    <b v="0"/>
    <b v="1"/>
    <b v="0"/>
    <x v="2"/>
  </r>
  <r>
    <s v="https://twitter.com/VW/status/612609905195925504"/>
    <s v="Volkswagen"/>
    <s v="@VW"/>
    <x v="34"/>
    <s v="2015-06-21T13:15:57.000Z"/>
    <x v="0"/>
    <x v="3"/>
    <s v="13:15:57"/>
    <x v="0"/>
    <s v=""/>
    <s v=""/>
    <n v="15"/>
    <n v="0"/>
    <n v="10"/>
    <n v="25"/>
    <s v="High engagement"/>
    <b v="1"/>
    <b v="0"/>
    <b v="0"/>
    <x v="1"/>
  </r>
  <r>
    <s v="https://twitter.com/VW/status/612617213451833344"/>
    <s v="Volkswagen"/>
    <s v="@VW"/>
    <x v="35"/>
    <s v="2015-06-21T13:45:00.000Z"/>
    <x v="0"/>
    <x v="3"/>
    <s v="13:45:00"/>
    <x v="0"/>
    <s v=""/>
    <s v=""/>
    <n v="19"/>
    <n v="0"/>
    <n v="15"/>
    <n v="34"/>
    <s v="High engagement"/>
    <b v="1"/>
    <b v="0"/>
    <b v="0"/>
    <x v="1"/>
  </r>
  <r>
    <s v="https://twitter.com/VW/status/612632665343324160"/>
    <s v="Volkswagen"/>
    <s v="@VW"/>
    <x v="36"/>
    <s v="2015-06-21T14:46:24.000Z"/>
    <x v="0"/>
    <x v="3"/>
    <s v="14:46:24"/>
    <x v="3"/>
    <s v=""/>
    <s v=""/>
    <n v="11"/>
    <n v="0"/>
    <n v="4"/>
    <n v="15"/>
    <s v="High engagement"/>
    <b v="1"/>
    <b v="0"/>
    <b v="0"/>
    <x v="1"/>
  </r>
  <r>
    <s v="https://twitter.com/VW/status/612646191386505216"/>
    <s v="Volkswagen"/>
    <s v="@VW"/>
    <x v="37"/>
    <s v="2015-06-21T15:40:09.000Z"/>
    <x v="0"/>
    <x v="3"/>
    <s v="15:40:09"/>
    <x v="3"/>
    <s v=""/>
    <s v=""/>
    <n v="14"/>
    <n v="0"/>
    <n v="3"/>
    <n v="17"/>
    <s v="High engagement"/>
    <b v="1"/>
    <b v="0"/>
    <b v="0"/>
    <x v="1"/>
  </r>
  <r>
    <s v="https://twitter.com/VW/status/612670373008678912"/>
    <s v="Volkswagen"/>
    <s v="@VW"/>
    <x v="38"/>
    <s v="2015-06-21T17:16:14.000Z"/>
    <x v="0"/>
    <x v="3"/>
    <s v="17:16:14"/>
    <x v="3"/>
    <s v=""/>
    <s v=""/>
    <n v="5"/>
    <n v="0"/>
    <n v="4"/>
    <n v="9"/>
    <s v="Moderate engagement"/>
    <b v="1"/>
    <b v="0"/>
    <b v="0"/>
    <x v="1"/>
  </r>
  <r>
    <s v="https://twitter.com/VW/status/612676457006014464"/>
    <s v="Volkswagen"/>
    <s v="@VW"/>
    <x v="39"/>
    <s v="2015-06-21T17:40:24.000Z"/>
    <x v="0"/>
    <x v="3"/>
    <s v="17:40:24"/>
    <x v="3"/>
    <s v=""/>
    <s v=""/>
    <n v="36"/>
    <n v="2"/>
    <n v="8"/>
    <n v="46"/>
    <s v="High engagement"/>
    <b v="1"/>
    <b v="0"/>
    <b v="0"/>
    <x v="1"/>
  </r>
  <r>
    <s v="https://twitter.com/VW/status/612685423039676416"/>
    <s v="Volkswagen"/>
    <s v="@VW"/>
    <x v="40"/>
    <s v="2015-06-21T18:16:02.000Z"/>
    <x v="0"/>
    <x v="3"/>
    <s v="18:16:02"/>
    <x v="1"/>
    <s v=""/>
    <s v=""/>
    <n v="11"/>
    <n v="0"/>
    <n v="4"/>
    <n v="15"/>
    <s v="High engagement"/>
    <b v="1"/>
    <b v="0"/>
    <b v="0"/>
    <x v="1"/>
  </r>
  <r>
    <s v="https://twitter.com/VW/status/612692516266242048"/>
    <s v="Volkswagen"/>
    <s v="@VW"/>
    <x v="41"/>
    <s v="2015-06-21T18:44:13.000Z"/>
    <x v="0"/>
    <x v="3"/>
    <s v="18:44:13"/>
    <x v="1"/>
    <s v=""/>
    <s v=""/>
    <n v="23"/>
    <n v="0"/>
    <n v="14"/>
    <n v="37"/>
    <s v="High engagement"/>
    <b v="1"/>
    <b v="0"/>
    <b v="0"/>
    <x v="1"/>
  </r>
  <r>
    <s v="https://twitter.com/VW/status/612696570497232896"/>
    <s v="Volkswagen"/>
    <s v="@VW"/>
    <x v="42"/>
    <s v="2015-06-21T19:00:20.000Z"/>
    <x v="0"/>
    <x v="3"/>
    <s v="19:00:20"/>
    <x v="1"/>
    <s v=""/>
    <s v=""/>
    <n v="39"/>
    <n v="0"/>
    <n v="24"/>
    <n v="63"/>
    <s v="High engagement"/>
    <b v="1"/>
    <b v="0"/>
    <b v="0"/>
    <x v="1"/>
  </r>
  <r>
    <s v="https://twitter.com/VW/status/612710385293094912"/>
    <s v="Volkswagen"/>
    <s v="@VW"/>
    <x v="43"/>
    <s v="2015-06-21T19:55:14.000Z"/>
    <x v="0"/>
    <x v="3"/>
    <s v="19:55:14"/>
    <x v="1"/>
    <s v=""/>
    <s v=""/>
    <n v="114"/>
    <n v="1"/>
    <n v="50"/>
    <n v="165"/>
    <s v="High engagement"/>
    <b v="1"/>
    <b v="0"/>
    <b v="0"/>
    <x v="1"/>
  </r>
  <r>
    <s v="https://twitter.com/VW/status/612740420544630784"/>
    <s v="Volkswagen"/>
    <s v="@VW"/>
    <x v="44"/>
    <s v="2015-06-21T21:54:35.000Z"/>
    <x v="0"/>
    <x v="3"/>
    <s v="21:54:35"/>
    <x v="1"/>
    <s v=""/>
    <s v=""/>
    <n v="45"/>
    <n v="3"/>
    <n v="26"/>
    <n v="74"/>
    <s v="High engagement"/>
    <b v="1"/>
    <b v="0"/>
    <b v="0"/>
    <x v="1"/>
  </r>
  <r>
    <s v="https://twitter.com/VW/status/612747113936453632"/>
    <s v="Volkswagen"/>
    <s v="@VW"/>
    <x v="45"/>
    <s v="2015-06-21T22:21:10.000Z"/>
    <x v="0"/>
    <x v="3"/>
    <s v="22:21:10"/>
    <x v="1"/>
    <s v=""/>
    <s v=""/>
    <n v="35"/>
    <n v="2"/>
    <n v="32"/>
    <n v="69"/>
    <s v="High engagement"/>
    <b v="0"/>
    <b v="1"/>
    <b v="0"/>
    <x v="2"/>
  </r>
  <r>
    <s v="https://twitter.com/VW/status/613042200054599680"/>
    <s v="Volkswagen"/>
    <s v="@VW"/>
    <x v="46"/>
    <s v="2015-06-22T17:53:44.000Z"/>
    <x v="0"/>
    <x v="4"/>
    <s v="17:53:44"/>
    <x v="3"/>
    <s v=""/>
    <s v=""/>
    <n v="0"/>
    <n v="0"/>
    <n v="0"/>
    <n v="0"/>
    <s v="No engagement"/>
    <b v="0"/>
    <b v="0"/>
    <b v="0"/>
    <x v="0"/>
  </r>
  <r>
    <s v="https://twitter.com/VW/status/613043881161035776"/>
    <s v="Volkswagen"/>
    <s v="@VW"/>
    <x v="47"/>
    <s v="2015-06-22T18:00:25.000Z"/>
    <x v="0"/>
    <x v="4"/>
    <s v="18:00:25"/>
    <x v="1"/>
    <s v=""/>
    <s v=""/>
    <n v="0"/>
    <n v="0"/>
    <n v="0"/>
    <n v="0"/>
    <s v="No engagement"/>
    <b v="0"/>
    <b v="0"/>
    <b v="0"/>
    <x v="0"/>
  </r>
  <r>
    <s v="https://twitter.com/VW/status/613043878883528704"/>
    <s v="Volkswagen"/>
    <s v="@VW"/>
    <x v="48"/>
    <s v="2015-06-22T18:00:25.000Z"/>
    <x v="0"/>
    <x v="4"/>
    <s v="18:00:25"/>
    <x v="1"/>
    <s v=""/>
    <s v=""/>
    <n v="1"/>
    <n v="0"/>
    <n v="0"/>
    <n v="1"/>
    <s v="Low engagement"/>
    <b v="0"/>
    <b v="0"/>
    <b v="0"/>
    <x v="0"/>
  </r>
  <r>
    <s v="https://twitter.com/VW/status/613043885288243200"/>
    <s v="Volkswagen"/>
    <s v="@VW"/>
    <x v="49"/>
    <s v="2015-06-22T18:00:26.000Z"/>
    <x v="0"/>
    <x v="4"/>
    <s v="18:00:26"/>
    <x v="1"/>
    <s v="@Rld_3"/>
    <s v=""/>
    <n v="0"/>
    <n v="1"/>
    <n v="0"/>
    <n v="1"/>
    <s v="Low engagement"/>
    <b v="0"/>
    <b v="0"/>
    <b v="0"/>
    <x v="0"/>
  </r>
  <r>
    <s v="https://twitter.com/VW/status/613043883031687168"/>
    <s v="Volkswagen"/>
    <s v="@VW"/>
    <x v="50"/>
    <s v="2015-06-22T18:00:26.000Z"/>
    <x v="0"/>
    <x v="4"/>
    <s v="18:00:26"/>
    <x v="1"/>
    <s v="@JBrauckmuller"/>
    <s v=""/>
    <n v="0"/>
    <n v="0"/>
    <n v="0"/>
    <n v="0"/>
    <s v="No engagement"/>
    <b v="0"/>
    <b v="0"/>
    <b v="1"/>
    <x v="3"/>
  </r>
  <r>
    <s v="https://twitter.com/VW/status/613043888245190657"/>
    <s v="Volkswagen"/>
    <s v="@VW"/>
    <x v="51"/>
    <s v="2015-06-22T18:00:27.000Z"/>
    <x v="0"/>
    <x v="4"/>
    <s v="18:00:27"/>
    <x v="1"/>
    <s v="@OregonTrailCG"/>
    <s v=""/>
    <n v="0"/>
    <n v="0"/>
    <n v="0"/>
    <n v="0"/>
    <s v="No engagement"/>
    <b v="0"/>
    <b v="0"/>
    <b v="0"/>
    <x v="0"/>
  </r>
  <r>
    <s v="https://twitter.com/VW/status/613057197400981504"/>
    <s v="Volkswagen"/>
    <s v="@VW"/>
    <x v="52"/>
    <s v="2015-06-22T18:53:20.000Z"/>
    <x v="0"/>
    <x v="4"/>
    <s v="18:53:20"/>
    <x v="1"/>
    <s v="@ARaveschot"/>
    <s v=""/>
    <n v="0"/>
    <n v="0"/>
    <n v="0"/>
    <n v="0"/>
    <s v="No engagement"/>
    <b v="0"/>
    <b v="0"/>
    <b v="0"/>
    <x v="0"/>
  </r>
  <r>
    <s v="https://twitter.com/VW/status/613066034816249856"/>
    <s v="Volkswagen"/>
    <s v="@VW"/>
    <x v="53"/>
    <s v="2015-06-22T19:28:27.000Z"/>
    <x v="0"/>
    <x v="4"/>
    <s v="19:28:27"/>
    <x v="1"/>
    <s v=""/>
    <s v=""/>
    <n v="0"/>
    <n v="0"/>
    <n v="0"/>
    <n v="0"/>
    <s v="No engagement"/>
    <b v="0"/>
    <b v="0"/>
    <b v="0"/>
    <x v="0"/>
  </r>
  <r>
    <s v="https://twitter.com/VW/status/613066038855380992"/>
    <s v="Volkswagen"/>
    <s v="@VW"/>
    <x v="54"/>
    <s v="2015-06-22T19:28:28.000Z"/>
    <x v="0"/>
    <x v="4"/>
    <s v="19:28:28"/>
    <x v="1"/>
    <s v="@theadrianmojica"/>
    <s v=""/>
    <n v="1"/>
    <n v="0"/>
    <n v="1"/>
    <n v="2"/>
    <s v="Low engagement"/>
    <b v="0"/>
    <b v="0"/>
    <b v="0"/>
    <x v="0"/>
  </r>
  <r>
    <s v="https://twitter.com/VW/status/613066036699529216"/>
    <s v="Volkswagen"/>
    <s v="@VW"/>
    <x v="55"/>
    <s v="2015-06-22T19:28:28.000Z"/>
    <x v="0"/>
    <x v="4"/>
    <s v="19:28:28"/>
    <x v="1"/>
    <s v="@theadrianmojica"/>
    <s v=""/>
    <n v="1"/>
    <n v="0"/>
    <n v="1"/>
    <n v="2"/>
    <s v="Low engagement"/>
    <b v="0"/>
    <b v="0"/>
    <b v="0"/>
    <x v="0"/>
  </r>
  <r>
    <s v="https://twitter.com/VW/status/613067227248484352"/>
    <s v="Volkswagen"/>
    <s v="@VW"/>
    <x v="56"/>
    <s v="2015-06-22T19:33:11.000Z"/>
    <x v="0"/>
    <x v="4"/>
    <s v="19:33:11"/>
    <x v="1"/>
    <s v="@dlprestholt"/>
    <s v=""/>
    <n v="0"/>
    <n v="0"/>
    <n v="1"/>
    <n v="1"/>
    <s v="Low engagement"/>
    <b v="0"/>
    <b v="0"/>
    <b v="0"/>
    <x v="0"/>
  </r>
  <r>
    <s v="https://twitter.com/VW/status/613352346651787266"/>
    <s v="Volkswagen"/>
    <s v="@VW"/>
    <x v="57"/>
    <s v="2015-06-23T14:26:09.000Z"/>
    <x v="0"/>
    <x v="5"/>
    <s v="14:26:09"/>
    <x v="3"/>
    <s v=""/>
    <s v=""/>
    <n v="0"/>
    <n v="0"/>
    <n v="1"/>
    <n v="1"/>
    <s v="Low engagement"/>
    <b v="0"/>
    <b v="0"/>
    <b v="1"/>
    <x v="3"/>
  </r>
  <r>
    <s v="https://twitter.com/VW/status/613352344701440000"/>
    <s v="Volkswagen"/>
    <s v="@VW"/>
    <x v="58"/>
    <s v="2015-06-23T14:26:09.000Z"/>
    <x v="0"/>
    <x v="5"/>
    <s v="14:26:09"/>
    <x v="3"/>
    <s v=""/>
    <s v=""/>
    <n v="0"/>
    <n v="0"/>
    <n v="1"/>
    <n v="1"/>
    <s v="Low engagement"/>
    <b v="0"/>
    <b v="0"/>
    <b v="0"/>
    <x v="0"/>
  </r>
  <r>
    <s v="https://twitter.com/VW/status/613352351177441280"/>
    <s v="Volkswagen"/>
    <s v="@VW"/>
    <x v="59"/>
    <s v="2015-06-23T14:26:10.000Z"/>
    <x v="0"/>
    <x v="5"/>
    <s v="14:26:10"/>
    <x v="3"/>
    <s v="@KennethCooke"/>
    <s v=""/>
    <n v="0"/>
    <n v="3"/>
    <n v="1"/>
    <n v="4"/>
    <s v="Low engagement"/>
    <b v="0"/>
    <b v="0"/>
    <b v="0"/>
    <x v="0"/>
  </r>
  <r>
    <s v="https://twitter.com/VW/status/613352354830680064"/>
    <s v="Volkswagen"/>
    <s v="@VW"/>
    <x v="60"/>
    <s v="2015-06-23T14:26:11.000Z"/>
    <x v="0"/>
    <x v="5"/>
    <s v="14:26:11"/>
    <x v="3"/>
    <s v=""/>
    <s v=""/>
    <n v="0"/>
    <n v="0"/>
    <n v="2"/>
    <n v="2"/>
    <s v="Low engagement"/>
    <b v="0"/>
    <b v="0"/>
    <b v="0"/>
    <x v="0"/>
  </r>
  <r>
    <s v="https://twitter.com/VW/status/613352353056460800"/>
    <s v="Volkswagen"/>
    <s v="@VW"/>
    <x v="61"/>
    <s v="2015-06-23T14:26:11.000Z"/>
    <x v="0"/>
    <x v="5"/>
    <s v="14:26:11"/>
    <x v="3"/>
    <s v="@WhySoSerieuxx"/>
    <s v=""/>
    <n v="0"/>
    <n v="0"/>
    <n v="1"/>
    <n v="1"/>
    <s v="Low engagement"/>
    <b v="0"/>
    <b v="0"/>
    <b v="0"/>
    <x v="0"/>
  </r>
  <r>
    <s v="https://twitter.com/VW/status/613416025384574976"/>
    <s v="Volkswagen"/>
    <s v="@VW"/>
    <x v="62"/>
    <s v="2015-06-23T18:39:11.000Z"/>
    <x v="0"/>
    <x v="5"/>
    <s v="18:39:11"/>
    <x v="1"/>
    <s v="@kelly42"/>
    <s v=""/>
    <n v="0"/>
    <n v="1"/>
    <n v="1"/>
    <n v="2"/>
    <s v="Low engagement"/>
    <b v="0"/>
    <b v="0"/>
    <b v="0"/>
    <x v="0"/>
  </r>
  <r>
    <s v="https://twitter.com/VW/status/613416027880206336"/>
    <s v="Volkswagen"/>
    <s v="@VW"/>
    <x v="63"/>
    <s v="2015-06-23T18:39:12.000Z"/>
    <x v="0"/>
    <x v="5"/>
    <s v="18:39:12"/>
    <x v="1"/>
    <s v="@johnotani"/>
    <s v=""/>
    <n v="0"/>
    <n v="0"/>
    <n v="1"/>
    <n v="1"/>
    <s v="Low engagement"/>
    <b v="0"/>
    <b v="0"/>
    <b v="0"/>
    <x v="0"/>
  </r>
  <r>
    <s v="https://twitter.com/VW/status/613453315129475072"/>
    <s v="Volkswagen"/>
    <s v="@VW"/>
    <x v="64"/>
    <s v="2015-06-23T21:07:22.000Z"/>
    <x v="0"/>
    <x v="5"/>
    <s v="21:07:22"/>
    <x v="1"/>
    <s v=""/>
    <s v=""/>
    <n v="0"/>
    <n v="1"/>
    <n v="1"/>
    <n v="2"/>
    <s v="Low engagement"/>
    <b v="0"/>
    <b v="0"/>
    <b v="0"/>
    <x v="0"/>
  </r>
  <r>
    <s v="https://twitter.com/VW/status/613453321542602753"/>
    <s v="Volkswagen"/>
    <s v="@VW"/>
    <x v="65"/>
    <s v="2015-06-23T21:07:23.000Z"/>
    <x v="0"/>
    <x v="5"/>
    <s v="21:07:23"/>
    <x v="1"/>
    <s v=""/>
    <s v=""/>
    <n v="1"/>
    <n v="0"/>
    <n v="1"/>
    <n v="2"/>
    <s v="Low engagement"/>
    <b v="0"/>
    <b v="0"/>
    <b v="0"/>
    <x v="0"/>
  </r>
  <r>
    <s v="https://twitter.com/VW/status/613453317994196992"/>
    <s v="Volkswagen"/>
    <s v="@VW"/>
    <x v="66"/>
    <s v="2015-06-23T21:07:23.000Z"/>
    <x v="0"/>
    <x v="5"/>
    <s v="21:07:23"/>
    <x v="1"/>
    <s v=""/>
    <s v=""/>
    <n v="0"/>
    <n v="0"/>
    <n v="1"/>
    <n v="1"/>
    <s v="Low engagement"/>
    <b v="0"/>
    <b v="0"/>
    <b v="0"/>
    <x v="0"/>
  </r>
  <r>
    <s v="https://twitter.com/VW/status/613463043083649024"/>
    <s v="Volkswagen"/>
    <s v="@VW"/>
    <x v="67"/>
    <s v="2015-06-23T21:46:01.000Z"/>
    <x v="0"/>
    <x v="5"/>
    <s v="21:46:01"/>
    <x v="1"/>
    <s v="@SandyPac"/>
    <s v=""/>
    <n v="0"/>
    <n v="1"/>
    <n v="1"/>
    <n v="2"/>
    <s v="Low engagement"/>
    <b v="0"/>
    <b v="0"/>
    <b v="0"/>
    <x v="0"/>
  </r>
  <r>
    <s v="https://twitter.com/VW/status/613463040223133696"/>
    <s v="Volkswagen"/>
    <s v="@VW"/>
    <x v="68"/>
    <s v="2015-06-23T21:46:01.000Z"/>
    <x v="0"/>
    <x v="5"/>
    <s v="21:46:01"/>
    <x v="1"/>
    <s v="@gmacek"/>
    <s v=""/>
    <n v="1"/>
    <n v="2"/>
    <n v="1"/>
    <n v="4"/>
    <s v="Low engagement"/>
    <b v="0"/>
    <b v="0"/>
    <b v="1"/>
    <x v="3"/>
  </r>
  <r>
    <s v="https://twitter.com/VW/status/613463045231120384"/>
    <s v="Volkswagen"/>
    <s v="@VW"/>
    <x v="69"/>
    <s v="2015-06-23T21:46:02.000Z"/>
    <x v="0"/>
    <x v="5"/>
    <s v="21:46:02"/>
    <x v="1"/>
    <s v="@VickiWasylak"/>
    <s v=""/>
    <n v="2"/>
    <n v="0"/>
    <n v="2"/>
    <n v="4"/>
    <s v="Low engagement"/>
    <b v="0"/>
    <b v="0"/>
    <b v="0"/>
    <x v="0"/>
  </r>
  <r>
    <s v="https://twitter.com/VW/status/613700110782849024"/>
    <s v="Volkswagen"/>
    <s v="@VW"/>
    <x v="70"/>
    <s v="2015-06-24T13:28:03.000Z"/>
    <x v="0"/>
    <x v="6"/>
    <s v="13:28:03"/>
    <x v="0"/>
    <s v=""/>
    <s v=""/>
    <n v="0"/>
    <n v="0"/>
    <n v="1"/>
    <n v="1"/>
    <s v="Low engagement"/>
    <b v="0"/>
    <b v="0"/>
    <b v="0"/>
    <x v="0"/>
  </r>
  <r>
    <s v="https://twitter.com/VW/status/613702242919563264"/>
    <s v="Volkswagen"/>
    <s v="@VW"/>
    <x v="71"/>
    <s v="2015-06-24T13:36:31.000Z"/>
    <x v="0"/>
    <x v="6"/>
    <s v="13:36:31"/>
    <x v="0"/>
    <s v="@HatfieId9k"/>
    <s v=""/>
    <n v="1"/>
    <n v="0"/>
    <n v="1"/>
    <n v="2"/>
    <s v="Low engagement"/>
    <b v="0"/>
    <b v="0"/>
    <b v="0"/>
    <x v="0"/>
  </r>
  <r>
    <s v="https://twitter.com/VW/status/613777889398358016"/>
    <s v="Volkswagen"/>
    <s v="@VW"/>
    <x v="72"/>
    <s v="2015-06-24T18:37:06.000Z"/>
    <x v="0"/>
    <x v="6"/>
    <s v="18:37:06"/>
    <x v="1"/>
    <s v="@Stevie_Alf"/>
    <s v=""/>
    <n v="0"/>
    <n v="0"/>
    <n v="1"/>
    <n v="1"/>
    <s v="Low engagement"/>
    <b v="0"/>
    <b v="0"/>
    <b v="1"/>
    <x v="3"/>
  </r>
  <r>
    <s v="https://twitter.com/VW/status/613777887758450693"/>
    <s v="Volkswagen"/>
    <s v="@VW"/>
    <x v="73"/>
    <s v="2015-06-24T18:37:06.000Z"/>
    <x v="0"/>
    <x v="6"/>
    <s v="18:37:06"/>
    <x v="1"/>
    <s v="@kimberly_hoff"/>
    <s v=""/>
    <n v="0"/>
    <n v="0"/>
    <n v="1"/>
    <n v="1"/>
    <s v="Low engagement"/>
    <b v="0"/>
    <b v="0"/>
    <b v="0"/>
    <x v="0"/>
  </r>
  <r>
    <s v="https://twitter.com/VW/status/613777893596901376"/>
    <s v="Volkswagen"/>
    <s v="@VW"/>
    <x v="74"/>
    <s v="2015-06-24T18:37:07.000Z"/>
    <x v="0"/>
    <x v="6"/>
    <s v="18:37:07"/>
    <x v="1"/>
    <s v="@mattyboy0912"/>
    <s v=""/>
    <n v="0"/>
    <n v="0"/>
    <n v="1"/>
    <n v="1"/>
    <s v="Low engagement"/>
    <b v="0"/>
    <b v="0"/>
    <b v="0"/>
    <x v="0"/>
  </r>
  <r>
    <s v="https://twitter.com/VW/status/614063459156635648"/>
    <s v="Volkswagen"/>
    <s v="@VW"/>
    <x v="75"/>
    <s v="2015-06-25T13:31:52.000Z"/>
    <x v="0"/>
    <x v="7"/>
    <s v="13:31:52"/>
    <x v="0"/>
    <s v=""/>
    <s v=""/>
    <n v="101"/>
    <n v="2"/>
    <n v="50"/>
    <n v="153"/>
    <s v="High engagement"/>
    <b v="0"/>
    <b v="1"/>
    <b v="0"/>
    <x v="2"/>
  </r>
  <r>
    <s v="https://twitter.com/VW/status/614101558066704384"/>
    <s v="Volkswagen"/>
    <s v="@VW"/>
    <x v="76"/>
    <s v="2015-06-25T16:03:15.000Z"/>
    <x v="0"/>
    <x v="7"/>
    <s v="16:03:15"/>
    <x v="3"/>
    <s v=""/>
    <s v=""/>
    <n v="0"/>
    <n v="0"/>
    <n v="1"/>
    <n v="1"/>
    <s v="Low engagement"/>
    <b v="0"/>
    <b v="0"/>
    <b v="0"/>
    <x v="0"/>
  </r>
  <r>
    <s v="https://twitter.com/VW/status/614190523171995648"/>
    <s v="Volkswagen"/>
    <s v="@VW"/>
    <x v="77"/>
    <s v="2015-06-25T21:56:46.000Z"/>
    <x v="0"/>
    <x v="7"/>
    <s v="21:56:46"/>
    <x v="1"/>
    <s v="@TheRealBranson"/>
    <s v=""/>
    <n v="0"/>
    <n v="0"/>
    <n v="1"/>
    <n v="1"/>
    <s v="Low engagement"/>
    <b v="0"/>
    <b v="0"/>
    <b v="0"/>
    <x v="0"/>
  </r>
  <r>
    <s v="https://twitter.com/VW/status/614192932489314305"/>
    <s v="Volkswagen"/>
    <s v="@VW"/>
    <x v="78"/>
    <s v="2015-06-25T22:06:20.000Z"/>
    <x v="0"/>
    <x v="7"/>
    <s v="22:06:20"/>
    <x v="1"/>
    <s v="@josh_deford"/>
    <s v=""/>
    <n v="1"/>
    <n v="0"/>
    <n v="1"/>
    <n v="2"/>
    <s v="Low engagement"/>
    <b v="0"/>
    <b v="0"/>
    <b v="0"/>
    <x v="0"/>
  </r>
  <r>
    <s v="https://twitter.com/VW/status/614431793094103040"/>
    <s v="Volkswagen"/>
    <s v="@VW"/>
    <x v="79"/>
    <s v="2015-06-26T13:55:29.000Z"/>
    <x v="0"/>
    <x v="8"/>
    <s v="13:55:29"/>
    <x v="0"/>
    <s v=""/>
    <s v=""/>
    <n v="42"/>
    <n v="9"/>
    <n v="25"/>
    <n v="76"/>
    <s v="High engagement"/>
    <b v="1"/>
    <b v="0"/>
    <b v="0"/>
    <x v="1"/>
  </r>
  <r>
    <s v="https://twitter.com/VW/status/614475157529194497"/>
    <s v="Volkswagen"/>
    <s v="@VW"/>
    <x v="80"/>
    <s v="2015-06-26T16:47:48.000Z"/>
    <x v="0"/>
    <x v="8"/>
    <s v="16:47:48"/>
    <x v="3"/>
    <s v=""/>
    <s v=""/>
    <n v="56"/>
    <n v="3"/>
    <n v="18"/>
    <n v="77"/>
    <s v="High engagement"/>
    <b v="1"/>
    <b v="0"/>
    <b v="0"/>
    <x v="1"/>
  </r>
  <r>
    <s v="https://twitter.com/VW/status/614586262498873344"/>
    <s v="Volkswagen"/>
    <s v="@VW"/>
    <x v="81"/>
    <s v="2015-06-27T00:09:18.000Z"/>
    <x v="0"/>
    <x v="9"/>
    <s v="00:09:18"/>
    <x v="4"/>
    <s v=""/>
    <s v=""/>
    <n v="61"/>
    <n v="2"/>
    <n v="23"/>
    <n v="86"/>
    <s v="High engagement"/>
    <b v="1"/>
    <b v="0"/>
    <b v="0"/>
    <x v="1"/>
  </r>
  <r>
    <s v="https://twitter.com/VW/status/614884595037634560"/>
    <s v="Volkswagen"/>
    <s v="@VW"/>
    <x v="82"/>
    <s v="2015-06-27T19:54:46.000Z"/>
    <x v="0"/>
    <x v="9"/>
    <s v="19:54:46"/>
    <x v="1"/>
    <s v=""/>
    <s v=""/>
    <n v="69"/>
    <n v="1"/>
    <n v="28"/>
    <n v="98"/>
    <s v="High engagement"/>
    <b v="1"/>
    <b v="0"/>
    <b v="0"/>
    <x v="1"/>
  </r>
  <r>
    <s v="https://twitter.com/VW/status/615017626377388032"/>
    <s v="Volkswagen"/>
    <s v="@VW"/>
    <x v="83"/>
    <s v="2015-06-28T04:43:23.000Z"/>
    <x v="0"/>
    <x v="10"/>
    <s v="04:43:23"/>
    <x v="4"/>
    <s v=""/>
    <s v=""/>
    <n v="132"/>
    <n v="2"/>
    <n v="47"/>
    <n v="181"/>
    <s v="High engagement"/>
    <b v="1"/>
    <b v="0"/>
    <b v="0"/>
    <x v="1"/>
  </r>
  <r>
    <s v="https://twitter.com/VW/status/615225403179839488"/>
    <s v="Volkswagen"/>
    <s v="@VW"/>
    <x v="84"/>
    <s v="2015-06-28T18:29:01.000Z"/>
    <x v="0"/>
    <x v="10"/>
    <s v="18:29:01"/>
    <x v="1"/>
    <s v=""/>
    <s v=""/>
    <n v="195"/>
    <n v="28"/>
    <n v="79"/>
    <n v="302"/>
    <s v="High engagement"/>
    <b v="1"/>
    <b v="0"/>
    <b v="0"/>
    <x v="1"/>
  </r>
  <r>
    <s v="https://twitter.com/VW/status/615232401724182528"/>
    <s v="Volkswagen"/>
    <s v="@VW"/>
    <x v="85"/>
    <s v="2015-06-28T18:56:49.000Z"/>
    <x v="0"/>
    <x v="10"/>
    <s v="18:56:49"/>
    <x v="1"/>
    <s v=""/>
    <s v=""/>
    <n v="114"/>
    <n v="3"/>
    <n v="45"/>
    <n v="162"/>
    <s v="High engagement"/>
    <b v="1"/>
    <b v="0"/>
    <b v="0"/>
    <x v="1"/>
  </r>
  <r>
    <s v="https://twitter.com/VW/status/615253829928398848"/>
    <s v="Volkswagen"/>
    <s v="@VW"/>
    <x v="86"/>
    <s v="2015-06-28T20:21:58.000Z"/>
    <x v="0"/>
    <x v="10"/>
    <s v="20:21:58"/>
    <x v="1"/>
    <s v=""/>
    <s v=""/>
    <n v="65"/>
    <n v="3"/>
    <n v="26"/>
    <n v="94"/>
    <s v="High engagement"/>
    <b v="1"/>
    <b v="0"/>
    <b v="0"/>
    <x v="1"/>
  </r>
  <r>
    <s v="https://twitter.com/VW/status/615275456447713280"/>
    <s v="Volkswagen"/>
    <s v="@VW"/>
    <x v="87"/>
    <s v="2015-06-28T21:47:54.000Z"/>
    <x v="0"/>
    <x v="10"/>
    <s v="21:47:54"/>
    <x v="1"/>
    <s v=""/>
    <s v=""/>
    <n v="104"/>
    <n v="4"/>
    <n v="51"/>
    <n v="159"/>
    <s v="High engagement"/>
    <b v="1"/>
    <b v="0"/>
    <b v="0"/>
    <x v="1"/>
  </r>
  <r>
    <s v="https://twitter.com/VW/status/615275949999783937"/>
    <s v="Volkswagen"/>
    <s v="@VW"/>
    <x v="88"/>
    <s v="2015-06-28T21:49:52.000Z"/>
    <x v="0"/>
    <x v="10"/>
    <s v="21:49:52"/>
    <x v="1"/>
    <s v="@JessWillllliams"/>
    <s v=""/>
    <n v="46"/>
    <n v="1"/>
    <n v="20"/>
    <n v="67"/>
    <s v="High engagement"/>
    <b v="1"/>
    <b v="0"/>
    <b v="0"/>
    <x v="1"/>
  </r>
  <r>
    <s v="https://twitter.com/VW/status/615283784959684608"/>
    <s v="Volkswagen"/>
    <s v="@VW"/>
    <x v="89"/>
    <s v="2015-06-28T22:21:00.000Z"/>
    <x v="0"/>
    <x v="10"/>
    <s v="22:21:00"/>
    <x v="1"/>
    <s v=""/>
    <s v=""/>
    <n v="136"/>
    <n v="11"/>
    <n v="74"/>
    <n v="221"/>
    <s v="High engagement"/>
    <b v="1"/>
    <b v="0"/>
    <b v="0"/>
    <x v="1"/>
  </r>
  <r>
    <s v="https://twitter.com/VW/status/615285679229042689"/>
    <s v="Volkswagen"/>
    <s v="@VW"/>
    <x v="90"/>
    <s v="2015-06-28T22:28:32.000Z"/>
    <x v="0"/>
    <x v="10"/>
    <s v="22:28:32"/>
    <x v="1"/>
    <s v=""/>
    <s v=""/>
    <n v="118"/>
    <n v="8"/>
    <n v="66"/>
    <n v="192"/>
    <s v="High engagement"/>
    <b v="1"/>
    <b v="0"/>
    <b v="0"/>
    <x v="1"/>
  </r>
  <r>
    <s v="https://twitter.com/VW/status/615302360038912001"/>
    <s v="Volkswagen"/>
    <s v="@VW"/>
    <x v="91"/>
    <s v="2015-06-28T23:34:49.000Z"/>
    <x v="0"/>
    <x v="10"/>
    <s v="23:34:49"/>
    <x v="1"/>
    <s v="@BullMarket4Dub"/>
    <s v=""/>
    <n v="0"/>
    <n v="0"/>
    <n v="0"/>
    <n v="0"/>
    <s v="No engagement"/>
    <b v="0"/>
    <b v="0"/>
    <b v="0"/>
    <x v="0"/>
  </r>
  <r>
    <s v="https://twitter.com/VW/status/615535767432003584"/>
    <s v="Volkswagen"/>
    <s v="@VW"/>
    <x v="92"/>
    <s v="2015-06-29T15:02:17.000Z"/>
    <x v="0"/>
    <x v="11"/>
    <s v="15:02:17"/>
    <x v="3"/>
    <s v="@dirtyboat"/>
    <s v=""/>
    <n v="0"/>
    <n v="1"/>
    <n v="0"/>
    <n v="1"/>
    <s v="Low engagement"/>
    <b v="0"/>
    <b v="0"/>
    <b v="0"/>
    <x v="0"/>
  </r>
  <r>
    <s v="https://twitter.com/VW/status/615535770359574528"/>
    <s v="Volkswagen"/>
    <s v="@VW"/>
    <x v="93"/>
    <s v="2015-06-29T15:02:18.000Z"/>
    <x v="0"/>
    <x v="11"/>
    <s v="15:02:18"/>
    <x v="3"/>
    <s v=""/>
    <s v=""/>
    <n v="0"/>
    <n v="0"/>
    <n v="0"/>
    <n v="0"/>
    <s v="No engagement"/>
    <b v="0"/>
    <b v="0"/>
    <b v="0"/>
    <x v="0"/>
  </r>
  <r>
    <s v="https://twitter.com/VW/status/615535769030004740"/>
    <s v="Volkswagen"/>
    <s v="@VW"/>
    <x v="94"/>
    <s v="2015-06-29T15:02:18.000Z"/>
    <x v="0"/>
    <x v="11"/>
    <s v="15:02:18"/>
    <x v="3"/>
    <s v="@dirtyboat"/>
    <s v=""/>
    <n v="0"/>
    <n v="0"/>
    <n v="0"/>
    <n v="0"/>
    <s v="No engagement"/>
    <b v="0"/>
    <b v="0"/>
    <b v="1"/>
    <x v="3"/>
  </r>
  <r>
    <s v="https://twitter.com/VW/status/615535773119438849"/>
    <s v="Volkswagen"/>
    <s v="@VW"/>
    <x v="95"/>
    <s v="2015-06-29T15:02:19.000Z"/>
    <x v="0"/>
    <x v="11"/>
    <s v="15:02:19"/>
    <x v="3"/>
    <s v=""/>
    <s v=""/>
    <n v="0"/>
    <n v="0"/>
    <n v="0"/>
    <n v="0"/>
    <s v="No engagement"/>
    <b v="0"/>
    <b v="0"/>
    <b v="0"/>
    <x v="0"/>
  </r>
  <r>
    <s v="https://twitter.com/VW/status/615536841765183491"/>
    <s v="Volkswagen"/>
    <s v="@VW"/>
    <x v="96"/>
    <s v="2015-06-29T15:06:33.000Z"/>
    <x v="0"/>
    <x v="11"/>
    <s v="15:06:33"/>
    <x v="3"/>
    <s v="@PrezAndrew"/>
    <s v=""/>
    <n v="0"/>
    <n v="0"/>
    <n v="1"/>
    <n v="1"/>
    <s v="Low engagement"/>
    <b v="0"/>
    <b v="0"/>
    <b v="0"/>
    <x v="0"/>
  </r>
  <r>
    <s v="https://twitter.com/VW/status/615593859620274176"/>
    <s v="Volkswagen"/>
    <s v="@VW"/>
    <x v="97"/>
    <s v="2015-06-29T18:53:07.000Z"/>
    <x v="0"/>
    <x v="11"/>
    <s v="18:53:07"/>
    <x v="1"/>
    <s v=""/>
    <s v=""/>
    <n v="0"/>
    <n v="0"/>
    <n v="1"/>
    <n v="1"/>
    <s v="Low engagement"/>
    <b v="0"/>
    <b v="0"/>
    <b v="0"/>
    <x v="0"/>
  </r>
  <r>
    <s v="https://twitter.com/VW/status/615593861507776512"/>
    <s v="Volkswagen"/>
    <s v="@VW"/>
    <x v="98"/>
    <s v="2015-06-29T18:53:08.000Z"/>
    <x v="0"/>
    <x v="11"/>
    <s v="18:53:08"/>
    <x v="1"/>
    <s v="@gmacek"/>
    <s v=""/>
    <n v="1"/>
    <n v="1"/>
    <n v="1"/>
    <n v="3"/>
    <s v="Low engagement"/>
    <b v="0"/>
    <b v="0"/>
    <b v="0"/>
    <x v="0"/>
  </r>
  <r>
    <s v="https://twitter.com/VW/status/615610161101606912"/>
    <s v="Volkswagen"/>
    <s v="@VW"/>
    <x v="99"/>
    <s v="2015-06-29T19:57:54.000Z"/>
    <x v="0"/>
    <x v="11"/>
    <s v="19:57:54"/>
    <x v="1"/>
    <s v=""/>
    <s v=""/>
    <n v="182"/>
    <n v="4"/>
    <n v="75"/>
    <n v="261"/>
    <s v="High engagement"/>
    <b v="0"/>
    <b v="1"/>
    <b v="0"/>
    <x v="2"/>
  </r>
  <r>
    <s v="https://twitter.com/VW/status/615875574234378241"/>
    <s v="Volkswagen"/>
    <s v="@VW"/>
    <x v="100"/>
    <s v="2015-06-30T13:32:33.000Z"/>
    <x v="0"/>
    <x v="12"/>
    <s v="13:32:33"/>
    <x v="0"/>
    <s v="@ganzigal"/>
    <s v=""/>
    <n v="0"/>
    <n v="0"/>
    <n v="0"/>
    <n v="0"/>
    <s v="No engagement"/>
    <b v="0"/>
    <b v="0"/>
    <b v="0"/>
    <x v="0"/>
  </r>
  <r>
    <s v="https://twitter.com/VW/status/615875576264462338"/>
    <s v="Volkswagen"/>
    <s v="@VW"/>
    <x v="101"/>
    <s v="2015-06-30T13:32:34.000Z"/>
    <x v="0"/>
    <x v="12"/>
    <s v="13:32:34"/>
    <x v="0"/>
    <s v="@ganzigal"/>
    <s v=""/>
    <n v="0"/>
    <n v="0"/>
    <n v="0"/>
    <n v="0"/>
    <s v="No engagement"/>
    <b v="0"/>
    <b v="0"/>
    <b v="0"/>
    <x v="0"/>
  </r>
  <r>
    <s v="https://twitter.com/VW/status/615878014425956352"/>
    <s v="Volkswagen"/>
    <s v="@VW"/>
    <x v="102"/>
    <s v="2015-06-30T13:42:15.000Z"/>
    <x v="0"/>
    <x v="12"/>
    <s v="13:42:15"/>
    <x v="0"/>
    <s v="@mtofAmanda"/>
    <s v=""/>
    <n v="0"/>
    <n v="0"/>
    <n v="0"/>
    <n v="0"/>
    <s v="No engagement"/>
    <b v="0"/>
    <b v="0"/>
    <b v="0"/>
    <x v="0"/>
  </r>
  <r>
    <s v="https://twitter.com/VW/status/615878018225999872"/>
    <s v="Volkswagen"/>
    <s v="@VW"/>
    <x v="103"/>
    <s v="2015-06-30T13:42:16.000Z"/>
    <x v="0"/>
    <x v="12"/>
    <s v="13:42:16"/>
    <x v="0"/>
    <s v="@cybrcar"/>
    <s v=""/>
    <n v="0"/>
    <n v="1"/>
    <n v="0"/>
    <n v="1"/>
    <s v="Low engagement"/>
    <b v="0"/>
    <b v="0"/>
    <b v="0"/>
    <x v="0"/>
  </r>
  <r>
    <s v="https://twitter.com/VW/status/615878016669843456"/>
    <s v="Volkswagen"/>
    <s v="@VW"/>
    <x v="104"/>
    <s v="2015-06-30T13:42:16.000Z"/>
    <x v="0"/>
    <x v="12"/>
    <s v="13:42:16"/>
    <x v="0"/>
    <s v="@mtofAmanda"/>
    <s v=""/>
    <n v="0"/>
    <n v="0"/>
    <n v="0"/>
    <n v="0"/>
    <s v="No engagement"/>
    <b v="0"/>
    <b v="0"/>
    <b v="0"/>
    <x v="0"/>
  </r>
  <r>
    <s v="https://twitter.com/VW/status/615878021174530048"/>
    <s v="Volkswagen"/>
    <s v="@VW"/>
    <x v="105"/>
    <s v="2015-06-30T13:42:17.000Z"/>
    <x v="0"/>
    <x v="12"/>
    <s v="13:42:17"/>
    <x v="0"/>
    <s v="@TheRichFuller"/>
    <s v=""/>
    <n v="0"/>
    <n v="0"/>
    <n v="0"/>
    <n v="0"/>
    <s v="No engagement"/>
    <b v="0"/>
    <b v="0"/>
    <b v="0"/>
    <x v="0"/>
  </r>
  <r>
    <s v="https://twitter.com/VW/status/615889116375334912"/>
    <s v="Volkswagen"/>
    <s v="@VW"/>
    <x v="106"/>
    <s v="2015-06-30T14:26:22.000Z"/>
    <x v="0"/>
    <x v="12"/>
    <s v="14:26:22"/>
    <x v="3"/>
    <s v=""/>
    <s v=""/>
    <n v="0"/>
    <n v="0"/>
    <n v="0"/>
    <n v="0"/>
    <s v="No engagement"/>
    <b v="0"/>
    <b v="0"/>
    <b v="0"/>
    <x v="0"/>
  </r>
  <r>
    <s v="https://twitter.com/VW/status/615917958502612992"/>
    <s v="Volkswagen"/>
    <s v="@VW"/>
    <x v="107"/>
    <s v="2015-06-30T16:20:59.000Z"/>
    <x v="0"/>
    <x v="12"/>
    <s v="16:20:59"/>
    <x v="3"/>
    <s v=""/>
    <s v=""/>
    <n v="1"/>
    <n v="0"/>
    <n v="0"/>
    <n v="1"/>
    <s v="Low engagement"/>
    <b v="0"/>
    <b v="0"/>
    <b v="0"/>
    <x v="0"/>
  </r>
  <r>
    <s v="https://twitter.com/VW/status/615919814708625408"/>
    <s v="Volkswagen"/>
    <s v="@VW"/>
    <x v="108"/>
    <s v="2015-06-30T16:28:21.000Z"/>
    <x v="0"/>
    <x v="12"/>
    <s v="16:28:21"/>
    <x v="3"/>
    <s v="@ekeohane"/>
    <s v=""/>
    <n v="0"/>
    <n v="0"/>
    <n v="0"/>
    <n v="0"/>
    <s v="No engagement"/>
    <b v="0"/>
    <b v="0"/>
    <b v="0"/>
    <x v="0"/>
  </r>
  <r>
    <s v="https://twitter.com/VW/status/615919816495333377"/>
    <s v="Volkswagen"/>
    <s v="@VW"/>
    <x v="109"/>
    <s v="2015-06-30T16:28:22.000Z"/>
    <x v="0"/>
    <x v="12"/>
    <s v="16:28:22"/>
    <x v="3"/>
    <s v="@ekeohane"/>
    <s v=""/>
    <n v="0"/>
    <n v="0"/>
    <n v="0"/>
    <n v="0"/>
    <s v="No engagement"/>
    <b v="0"/>
    <b v="0"/>
    <b v="0"/>
    <x v="0"/>
  </r>
  <r>
    <s v="https://twitter.com/VW/status/615963417807990784"/>
    <s v="Volkswagen"/>
    <s v="@VW"/>
    <x v="110"/>
    <s v="2015-06-30T19:21:37.000Z"/>
    <x v="0"/>
    <x v="12"/>
    <s v="19:21:37"/>
    <x v="1"/>
    <s v="@mraustinjq"/>
    <s v=""/>
    <n v="0"/>
    <n v="0"/>
    <n v="0"/>
    <n v="0"/>
    <s v="No engagement"/>
    <b v="0"/>
    <b v="0"/>
    <b v="0"/>
    <x v="0"/>
  </r>
  <r>
    <s v="https://twitter.com/VW/status/615963423734566912"/>
    <s v="Volkswagen"/>
    <s v="@VW"/>
    <x v="111"/>
    <s v="2015-06-30T19:21:38.000Z"/>
    <x v="0"/>
    <x v="12"/>
    <s v="19:21:38"/>
    <x v="1"/>
    <s v="@TheRichFuller"/>
    <s v=""/>
    <n v="0"/>
    <n v="0"/>
    <n v="0"/>
    <n v="0"/>
    <s v="No engagement"/>
    <b v="0"/>
    <b v="0"/>
    <b v="0"/>
    <x v="0"/>
  </r>
  <r>
    <s v="https://twitter.com/VW/status/615963422635659264"/>
    <s v="Volkswagen"/>
    <s v="@VW"/>
    <x v="112"/>
    <s v="2015-06-30T19:21:38.000Z"/>
    <x v="0"/>
    <x v="12"/>
    <s v="19:21:38"/>
    <x v="1"/>
    <s v="@rachelregal_"/>
    <s v=""/>
    <n v="0"/>
    <n v="0"/>
    <n v="0"/>
    <n v="0"/>
    <s v="No engagement"/>
    <b v="0"/>
    <b v="0"/>
    <b v="0"/>
    <x v="0"/>
  </r>
  <r>
    <s v="https://twitter.com/VW/status/615963421016653825"/>
    <s v="Volkswagen"/>
    <s v="@VW"/>
    <x v="113"/>
    <s v="2015-06-30T19:21:38.000Z"/>
    <x v="0"/>
    <x v="12"/>
    <s v="19:21:38"/>
    <x v="1"/>
    <s v="@rachelregal_"/>
    <s v=""/>
    <n v="0"/>
    <n v="0"/>
    <n v="0"/>
    <n v="0"/>
    <s v="No engagement"/>
    <b v="0"/>
    <b v="0"/>
    <b v="0"/>
    <x v="0"/>
  </r>
  <r>
    <s v="https://twitter.com/VW/status/615963419900915712"/>
    <s v="Volkswagen"/>
    <s v="@VW"/>
    <x v="114"/>
    <s v="2015-06-30T19:21:38.000Z"/>
    <x v="0"/>
    <x v="12"/>
    <s v="19:21:38"/>
    <x v="1"/>
    <s v="@mraustinjq"/>
    <s v=""/>
    <n v="0"/>
    <n v="0"/>
    <n v="0"/>
    <n v="0"/>
    <s v="No engagement"/>
    <b v="0"/>
    <b v="0"/>
    <b v="0"/>
    <x v="0"/>
  </r>
  <r>
    <s v="https://twitter.com/VW/status/615963425181532160"/>
    <s v="Volkswagen"/>
    <s v="@VW"/>
    <x v="115"/>
    <s v="2015-06-30T19:21:39.000Z"/>
    <x v="0"/>
    <x v="12"/>
    <s v="19:21:39"/>
    <x v="1"/>
    <s v="@ChrisEidd"/>
    <s v=""/>
    <n v="0"/>
    <n v="0"/>
    <n v="1"/>
    <n v="1"/>
    <s v="Low engagement"/>
    <b v="0"/>
    <b v="0"/>
    <b v="1"/>
    <x v="3"/>
  </r>
  <r>
    <s v="https://twitter.com/VW/status/615969292303990784"/>
    <s v="Volkswagen"/>
    <s v="@VW"/>
    <x v="116"/>
    <s v="2015-06-30T19:44:58.000Z"/>
    <x v="0"/>
    <x v="12"/>
    <s v="19:44:58"/>
    <x v="1"/>
    <s v="@Miss_Manhattan1"/>
    <s v=""/>
    <n v="0"/>
    <n v="1"/>
    <n v="1"/>
    <n v="2"/>
    <s v="Low engagement"/>
    <b v="0"/>
    <b v="0"/>
    <b v="0"/>
    <x v="0"/>
  </r>
  <r>
    <s v="https://twitter.com/VW/status/616020093915410432"/>
    <s v="Volkswagen"/>
    <s v="@VW"/>
    <x v="117"/>
    <s v="2015-06-30T23:06:50.000Z"/>
    <x v="0"/>
    <x v="12"/>
    <s v="23:06:50"/>
    <x v="1"/>
    <s v=""/>
    <s v=""/>
    <n v="62"/>
    <n v="4"/>
    <n v="35"/>
    <n v="101"/>
    <s v="High engagement"/>
    <b v="0"/>
    <b v="1"/>
    <b v="0"/>
    <x v="2"/>
  </r>
  <r>
    <s v="https://twitter.com/VW/status/616250285090996224"/>
    <s v="Volkswagen"/>
    <s v="@VW"/>
    <x v="118"/>
    <s v="2015-07-01T14:21:31.000Z"/>
    <x v="0"/>
    <x v="13"/>
    <s v="14:21:31"/>
    <x v="3"/>
    <s v=""/>
    <s v=""/>
    <n v="0"/>
    <n v="0"/>
    <n v="1"/>
    <n v="1"/>
    <s v="Low engagement"/>
    <b v="0"/>
    <b v="0"/>
    <b v="0"/>
    <x v="0"/>
  </r>
  <r>
    <s v="https://twitter.com/VW/status/616250283358752768"/>
    <s v="Volkswagen"/>
    <s v="@VW"/>
    <x v="119"/>
    <s v="2015-07-01T14:21:31.000Z"/>
    <x v="0"/>
    <x v="13"/>
    <s v="14:21:31"/>
    <x v="3"/>
    <s v="@Nick_The_Dick_"/>
    <s v=""/>
    <n v="1"/>
    <n v="0"/>
    <n v="1"/>
    <n v="2"/>
    <s v="Low engagement"/>
    <b v="0"/>
    <b v="0"/>
    <b v="0"/>
    <x v="0"/>
  </r>
  <r>
    <s v="https://twitter.com/VW/status/616250281785856000"/>
    <s v="Volkswagen"/>
    <s v="@VW"/>
    <x v="120"/>
    <s v="2015-07-01T14:21:31.000Z"/>
    <x v="0"/>
    <x v="13"/>
    <s v="14:21:31"/>
    <x v="3"/>
    <s v="@ScienceJesus"/>
    <s v=""/>
    <n v="0"/>
    <n v="2"/>
    <n v="0"/>
    <n v="2"/>
    <s v="Low engagement"/>
    <b v="0"/>
    <b v="0"/>
    <b v="1"/>
    <x v="3"/>
  </r>
  <r>
    <s v="https://twitter.com/VW/status/616251741110079488"/>
    <s v="Volkswagen"/>
    <s v="@VW"/>
    <x v="121"/>
    <s v="2015-07-01T14:27:19.000Z"/>
    <x v="0"/>
    <x v="13"/>
    <s v="14:27:19"/>
    <x v="3"/>
    <s v=""/>
    <s v=""/>
    <n v="0"/>
    <n v="1"/>
    <n v="0"/>
    <n v="1"/>
    <s v="Low engagement"/>
    <b v="0"/>
    <b v="0"/>
    <b v="0"/>
    <x v="0"/>
  </r>
  <r>
    <s v="https://twitter.com/VW/status/616301368047853568"/>
    <s v="Volkswagen"/>
    <s v="@VW"/>
    <x v="122"/>
    <s v="2015-07-01T17:44:31.000Z"/>
    <x v="0"/>
    <x v="13"/>
    <s v="17:44:31"/>
    <x v="3"/>
    <s v="@mart_fo"/>
    <s v=""/>
    <n v="0"/>
    <n v="0"/>
    <n v="0"/>
    <n v="0"/>
    <s v="No engagement"/>
    <b v="0"/>
    <b v="0"/>
    <b v="0"/>
    <x v="0"/>
  </r>
  <r>
    <s v="https://twitter.com/VW/status/616320780838699008"/>
    <s v="Volkswagen"/>
    <s v="@VW"/>
    <x v="123"/>
    <s v="2015-07-01T19:01:39.000Z"/>
    <x v="0"/>
    <x v="13"/>
    <s v="19:01:39"/>
    <x v="1"/>
    <s v=""/>
    <s v=""/>
    <n v="0"/>
    <n v="0"/>
    <n v="0"/>
    <n v="0"/>
    <s v="No engagement"/>
    <b v="0"/>
    <b v="0"/>
    <b v="0"/>
    <x v="0"/>
  </r>
  <r>
    <s v="https://twitter.com/VW/status/616323284146089984"/>
    <s v="Volkswagen"/>
    <s v="@VW"/>
    <x v="124"/>
    <s v="2015-07-01T19:11:36.000Z"/>
    <x v="0"/>
    <x v="13"/>
    <s v="19:11:36"/>
    <x v="1"/>
    <s v="@kellettejax"/>
    <s v=""/>
    <n v="0"/>
    <n v="1"/>
    <n v="0"/>
    <n v="1"/>
    <s v="Low engagement"/>
    <b v="0"/>
    <b v="0"/>
    <b v="0"/>
    <x v="0"/>
  </r>
  <r>
    <s v="https://twitter.com/VW/status/616326144598474752"/>
    <s v="Volkswagen"/>
    <s v="@VW"/>
    <x v="125"/>
    <s v="2015-07-01T19:22:58.000Z"/>
    <x v="0"/>
    <x v="13"/>
    <s v="19:22:58"/>
    <x v="1"/>
    <s v="@ujdsanskruti"/>
    <s v=""/>
    <n v="0"/>
    <n v="4"/>
    <n v="0"/>
    <n v="4"/>
    <s v="Low engagement"/>
    <b v="0"/>
    <b v="0"/>
    <b v="0"/>
    <x v="0"/>
  </r>
  <r>
    <s v="https://twitter.com/VW/status/616328945022013441"/>
    <s v="Volkswagen"/>
    <s v="@VW"/>
    <x v="126"/>
    <s v="2015-07-01T19:34:05.000Z"/>
    <x v="0"/>
    <x v="13"/>
    <s v="19:34:05"/>
    <x v="1"/>
    <s v="@JeffMoff"/>
    <s v=""/>
    <n v="0"/>
    <n v="0"/>
    <n v="0"/>
    <n v="0"/>
    <s v="No engagement"/>
    <b v="0"/>
    <b v="0"/>
    <b v="0"/>
    <x v="0"/>
  </r>
  <r>
    <s v="https://twitter.com/VW/status/616328948893396992"/>
    <s v="Volkswagen"/>
    <s v="@VW"/>
    <x v="127"/>
    <s v="2015-07-01T19:34:06.000Z"/>
    <x v="0"/>
    <x v="13"/>
    <s v="19:34:06"/>
    <x v="1"/>
    <s v="@PhotoAbigail"/>
    <s v=""/>
    <n v="0"/>
    <n v="0"/>
    <n v="0"/>
    <n v="0"/>
    <s v="No engagement"/>
    <b v="0"/>
    <b v="0"/>
    <b v="1"/>
    <x v="3"/>
  </r>
  <r>
    <s v="https://twitter.com/VW/status/616330834023309313"/>
    <s v="Volkswagen"/>
    <s v="@VW"/>
    <x v="128"/>
    <s v="2015-07-01T19:41:36.000Z"/>
    <x v="0"/>
    <x v="13"/>
    <s v="19:41:36"/>
    <x v="1"/>
    <s v="@jdunz91"/>
    <s v=""/>
    <n v="0"/>
    <n v="1"/>
    <n v="0"/>
    <n v="1"/>
    <s v="Low engagement"/>
    <b v="0"/>
    <b v="0"/>
    <b v="1"/>
    <x v="3"/>
  </r>
  <r>
    <s v="https://twitter.com/VW/status/616343719873089536"/>
    <s v="Volkswagen"/>
    <s v="@VW"/>
    <x v="129"/>
    <s v="2015-07-01T20:32:48.000Z"/>
    <x v="0"/>
    <x v="13"/>
    <s v="20:32:48"/>
    <x v="1"/>
    <s v="@FtwDew"/>
    <s v=""/>
    <n v="0"/>
    <n v="0"/>
    <n v="0"/>
    <n v="0"/>
    <s v="No engagement"/>
    <b v="0"/>
    <b v="0"/>
    <b v="0"/>
    <x v="0"/>
  </r>
  <r>
    <s v="https://twitter.com/VW/status/616343718023442432"/>
    <s v="Volkswagen"/>
    <s v="@VW"/>
    <x v="130"/>
    <s v="2015-07-01T20:32:48.000Z"/>
    <x v="0"/>
    <x v="13"/>
    <s v="20:32:48"/>
    <x v="1"/>
    <s v="@jdunz91"/>
    <s v=""/>
    <n v="0"/>
    <n v="0"/>
    <n v="0"/>
    <n v="0"/>
    <s v="No engagement"/>
    <b v="0"/>
    <b v="0"/>
    <b v="0"/>
    <x v="0"/>
  </r>
  <r>
    <s v="https://twitter.com/VW/status/616388142703050753"/>
    <s v="Volkswagen"/>
    <s v="@VW"/>
    <x v="131"/>
    <s v="2015-07-01T23:29:19.000Z"/>
    <x v="0"/>
    <x v="13"/>
    <s v="23:29:19"/>
    <x v="1"/>
    <s v=""/>
    <s v=""/>
    <n v="0"/>
    <n v="0"/>
    <n v="0"/>
    <n v="0"/>
    <s v="No engagement"/>
    <b v="0"/>
    <b v="0"/>
    <b v="0"/>
    <x v="0"/>
  </r>
  <r>
    <s v="https://twitter.com/VW/status/616388147161665537"/>
    <s v="Volkswagen"/>
    <s v="@VW"/>
    <x v="132"/>
    <s v="2015-07-01T23:29:20.000Z"/>
    <x v="0"/>
    <x v="13"/>
    <s v="23:29:20"/>
    <x v="1"/>
    <s v=""/>
    <s v=""/>
    <n v="0"/>
    <n v="0"/>
    <n v="1"/>
    <n v="1"/>
    <s v="Low engagement"/>
    <b v="0"/>
    <b v="0"/>
    <b v="1"/>
    <x v="3"/>
  </r>
  <r>
    <s v="https://twitter.com/VW/status/616388145412571136"/>
    <s v="Volkswagen"/>
    <s v="@VW"/>
    <x v="133"/>
    <s v="2015-07-01T23:29:20.000Z"/>
    <x v="0"/>
    <x v="13"/>
    <s v="23:29:20"/>
    <x v="1"/>
    <s v=""/>
    <s v=""/>
    <n v="0"/>
    <n v="0"/>
    <n v="0"/>
    <n v="0"/>
    <s v="No engagement"/>
    <b v="0"/>
    <b v="0"/>
    <b v="0"/>
    <x v="0"/>
  </r>
  <r>
    <s v="https://twitter.com/VW/status/616388144292691968"/>
    <s v="Volkswagen"/>
    <s v="@VW"/>
    <x v="134"/>
    <s v="2015-07-01T23:29:20.000Z"/>
    <x v="0"/>
    <x v="13"/>
    <s v="23:29:20"/>
    <x v="1"/>
    <s v=""/>
    <s v=""/>
    <n v="0"/>
    <n v="0"/>
    <n v="0"/>
    <n v="0"/>
    <s v="No engagement"/>
    <b v="0"/>
    <b v="0"/>
    <b v="0"/>
    <x v="0"/>
  </r>
  <r>
    <s v="https://twitter.com/VW/status/616392198775422976"/>
    <s v="Volkswagen"/>
    <s v="@VW"/>
    <x v="135"/>
    <s v="2015-07-01T23:45:26.000Z"/>
    <x v="0"/>
    <x v="13"/>
    <s v="23:45:26"/>
    <x v="1"/>
    <s v="@preciousmasumi"/>
    <s v=""/>
    <n v="0"/>
    <n v="0"/>
    <n v="0"/>
    <n v="0"/>
    <s v="No engagement"/>
    <b v="0"/>
    <b v="0"/>
    <b v="0"/>
    <x v="0"/>
  </r>
  <r>
    <s v="https://twitter.com/VW/status/616402719247437825"/>
    <s v="Volkswagen"/>
    <s v="@VW"/>
    <x v="136"/>
    <s v="2015-07-02T00:27:15.000Z"/>
    <x v="0"/>
    <x v="14"/>
    <s v="00:27:15"/>
    <x v="4"/>
    <s v="@bburgwyn"/>
    <s v=""/>
    <n v="0"/>
    <n v="0"/>
    <n v="1"/>
    <n v="1"/>
    <s v="Low engagement"/>
    <b v="0"/>
    <b v="0"/>
    <b v="1"/>
    <x v="3"/>
  </r>
  <r>
    <s v="https://twitter.com/VW/status/616405441203994624"/>
    <s v="Volkswagen"/>
    <s v="@VW"/>
    <x v="137"/>
    <s v="2015-07-02T00:38:04.000Z"/>
    <x v="0"/>
    <x v="14"/>
    <s v="00:38:04"/>
    <x v="4"/>
    <s v="@SP_McCormick"/>
    <s v=""/>
    <n v="0"/>
    <n v="0"/>
    <n v="0"/>
    <n v="0"/>
    <s v="No engagement"/>
    <b v="0"/>
    <b v="0"/>
    <b v="0"/>
    <x v="0"/>
  </r>
  <r>
    <s v="https://twitter.com/VW/status/616409839661551616"/>
    <s v="Volkswagen"/>
    <s v="@VW"/>
    <x v="138"/>
    <s v="2015-07-02T00:55:32.000Z"/>
    <x v="0"/>
    <x v="14"/>
    <s v="00:55:32"/>
    <x v="4"/>
    <s v=""/>
    <s v=""/>
    <n v="0"/>
    <n v="0"/>
    <n v="1"/>
    <n v="1"/>
    <s v="Low engagement"/>
    <b v="0"/>
    <b v="0"/>
    <b v="0"/>
    <x v="0"/>
  </r>
  <r>
    <s v="https://twitter.com/VW/status/616610765898801152"/>
    <s v="Volkswagen"/>
    <s v="@VW"/>
    <x v="139"/>
    <s v="2015-07-02T14:13:57.000Z"/>
    <x v="0"/>
    <x v="14"/>
    <s v="14:13:57"/>
    <x v="3"/>
    <s v="@RBPHISHED"/>
    <s v=""/>
    <n v="0"/>
    <n v="2"/>
    <n v="0"/>
    <n v="2"/>
    <s v="Low engagement"/>
    <b v="0"/>
    <b v="0"/>
    <b v="0"/>
    <x v="0"/>
  </r>
  <r>
    <s v="https://twitter.com/VW/status/616654850495938560"/>
    <s v="Volkswagen"/>
    <s v="@VW"/>
    <x v="140"/>
    <s v="2015-07-02T17:09:07.000Z"/>
    <x v="0"/>
    <x v="14"/>
    <s v="17:09:07"/>
    <x v="3"/>
    <s v="@mskamille"/>
    <s v=""/>
    <n v="0"/>
    <n v="1"/>
    <n v="1"/>
    <n v="2"/>
    <s v="Low engagement"/>
    <b v="0"/>
    <b v="0"/>
    <b v="1"/>
    <x v="3"/>
  </r>
  <r>
    <s v="https://twitter.com/VW/status/616668809554956288"/>
    <s v="Volkswagen"/>
    <s v="@VW"/>
    <x v="141"/>
    <s v="2015-07-02T18:04:36.000Z"/>
    <x v="0"/>
    <x v="14"/>
    <s v="18:04:36"/>
    <x v="1"/>
    <s v="@mskamille"/>
    <s v=""/>
    <n v="0"/>
    <n v="0"/>
    <n v="0"/>
    <n v="0"/>
    <s v="No engagement"/>
    <b v="0"/>
    <b v="0"/>
    <b v="0"/>
    <x v="0"/>
  </r>
  <r>
    <s v="https://twitter.com/VW/status/616674261873377280"/>
    <s v="Volkswagen"/>
    <s v="@VW"/>
    <x v="142"/>
    <s v="2015-07-02T18:26:15.000Z"/>
    <x v="0"/>
    <x v="14"/>
    <s v="18:26:15"/>
    <x v="1"/>
    <s v="@kelly42"/>
    <s v=""/>
    <n v="0"/>
    <n v="0"/>
    <n v="0"/>
    <n v="0"/>
    <s v="No engagement"/>
    <b v="0"/>
    <b v="0"/>
    <b v="0"/>
    <x v="0"/>
  </r>
  <r>
    <s v="https://twitter.com/VW/status/616674259189018625"/>
    <s v="Volkswagen"/>
    <s v="@VW"/>
    <x v="143"/>
    <s v="2015-07-02T18:26:15.000Z"/>
    <x v="0"/>
    <x v="14"/>
    <s v="18:26:15"/>
    <x v="1"/>
    <s v="@kelly42"/>
    <s v=""/>
    <n v="0"/>
    <n v="0"/>
    <n v="0"/>
    <n v="0"/>
    <s v="No engagement"/>
    <b v="0"/>
    <b v="0"/>
    <b v="0"/>
    <x v="0"/>
  </r>
  <r>
    <s v="https://twitter.com/VW/status/616674263949512704"/>
    <s v="Volkswagen"/>
    <s v="@VW"/>
    <x v="144"/>
    <s v="2015-07-02T18:26:16.000Z"/>
    <x v="0"/>
    <x v="14"/>
    <s v="18:26:16"/>
    <x v="1"/>
    <s v=""/>
    <s v=""/>
    <n v="0"/>
    <n v="1"/>
    <n v="0"/>
    <n v="1"/>
    <s v="Low engagement"/>
    <b v="0"/>
    <b v="0"/>
    <b v="0"/>
    <x v="0"/>
  </r>
  <r>
    <s v="https://twitter.com/VW/status/616674268219355136"/>
    <s v="Volkswagen"/>
    <s v="@VW"/>
    <x v="145"/>
    <s v="2015-07-02T18:26:17.000Z"/>
    <x v="0"/>
    <x v="14"/>
    <s v="18:26:17"/>
    <x v="1"/>
    <s v=""/>
    <s v=""/>
    <n v="0"/>
    <n v="0"/>
    <n v="1"/>
    <n v="1"/>
    <s v="Low engagement"/>
    <b v="0"/>
    <b v="0"/>
    <b v="0"/>
    <x v="0"/>
  </r>
  <r>
    <s v="https://twitter.com/VW/status/616685204070100992"/>
    <s v="Volkswagen"/>
    <s v="@VW"/>
    <x v="146"/>
    <s v="2015-07-02T19:09:44.000Z"/>
    <x v="0"/>
    <x v="14"/>
    <s v="19:09:44"/>
    <x v="1"/>
    <s v="@alyssaSritter"/>
    <s v=""/>
    <n v="0"/>
    <n v="0"/>
    <n v="0"/>
    <n v="0"/>
    <s v="No engagement"/>
    <b v="0"/>
    <b v="0"/>
    <b v="0"/>
    <x v="0"/>
  </r>
  <r>
    <s v="https://twitter.com/VW/status/616699301557710848"/>
    <s v="Volkswagen"/>
    <s v="@VW"/>
    <x v="147"/>
    <s v="2015-07-02T20:05:45.000Z"/>
    <x v="0"/>
    <x v="14"/>
    <s v="20:05:45"/>
    <x v="1"/>
    <s v="@DGERBUM"/>
    <s v=""/>
    <n v="0"/>
    <n v="0"/>
    <n v="1"/>
    <n v="1"/>
    <s v="Low engagement"/>
    <b v="0"/>
    <b v="0"/>
    <b v="0"/>
    <x v="0"/>
  </r>
  <r>
    <s v="https://twitter.com/VW/status/616699303533244416"/>
    <s v="Volkswagen"/>
    <s v="@VW"/>
    <x v="148"/>
    <s v="2015-07-02T20:05:46.000Z"/>
    <x v="0"/>
    <x v="14"/>
    <s v="20:05:46"/>
    <x v="1"/>
    <s v="@DGERBUM"/>
    <s v=""/>
    <n v="0"/>
    <n v="0"/>
    <n v="1"/>
    <n v="1"/>
    <s v="Low engagement"/>
    <b v="0"/>
    <b v="0"/>
    <b v="0"/>
    <x v="0"/>
  </r>
  <r>
    <s v="https://twitter.com/VW/status/616706862763786241"/>
    <s v="Volkswagen"/>
    <s v="@VW"/>
    <x v="149"/>
    <s v="2015-07-02T20:35:48.000Z"/>
    <x v="0"/>
    <x v="14"/>
    <s v="20:35:48"/>
    <x v="1"/>
    <s v="@JLFarms"/>
    <s v=""/>
    <n v="0"/>
    <n v="0"/>
    <n v="1"/>
    <n v="1"/>
    <s v="Low engagement"/>
    <b v="0"/>
    <b v="0"/>
    <b v="0"/>
    <x v="0"/>
  </r>
  <r>
    <s v="https://twitter.com/VW/status/616706865058091008"/>
    <s v="Volkswagen"/>
    <s v="@VW"/>
    <x v="150"/>
    <s v="2015-07-02T20:35:49.000Z"/>
    <x v="0"/>
    <x v="14"/>
    <s v="20:35:49"/>
    <x v="1"/>
    <s v="@JLFarms"/>
    <s v=""/>
    <n v="0"/>
    <n v="1"/>
    <n v="1"/>
    <n v="2"/>
    <s v="Low engagement"/>
    <b v="0"/>
    <b v="0"/>
    <b v="0"/>
    <x v="0"/>
  </r>
  <r>
    <s v="https://twitter.com/VW/status/616956124579786752"/>
    <s v="Volkswagen"/>
    <s v="@VW"/>
    <x v="151"/>
    <s v="2015-07-03T13:06:17.000Z"/>
    <x v="0"/>
    <x v="15"/>
    <s v="13:06:17"/>
    <x v="0"/>
    <s v=""/>
    <s v=""/>
    <n v="45"/>
    <n v="2"/>
    <n v="22"/>
    <n v="69"/>
    <s v="High engagement"/>
    <b v="1"/>
    <b v="0"/>
    <b v="0"/>
    <x v="1"/>
  </r>
  <r>
    <s v="https://twitter.com/VW/status/617003920267722753"/>
    <s v="Volkswagen"/>
    <s v="@VW"/>
    <x v="152"/>
    <s v="2015-07-03T16:16:12.000Z"/>
    <x v="0"/>
    <x v="15"/>
    <s v="16:16:12"/>
    <x v="3"/>
    <s v="@rysgam"/>
    <s v=""/>
    <n v="0"/>
    <n v="0"/>
    <n v="0"/>
    <n v="0"/>
    <s v="No engagement"/>
    <b v="0"/>
    <b v="0"/>
    <b v="0"/>
    <x v="0"/>
  </r>
  <r>
    <s v="https://twitter.com/VW/status/617003922541051904"/>
    <s v="Volkswagen"/>
    <s v="@VW"/>
    <x v="153"/>
    <s v="2015-07-03T16:16:13.000Z"/>
    <x v="0"/>
    <x v="15"/>
    <s v="16:16:13"/>
    <x v="3"/>
    <s v="@rysgam"/>
    <s v=""/>
    <n v="0"/>
    <n v="0"/>
    <n v="0"/>
    <n v="0"/>
    <s v="No engagement"/>
    <b v="0"/>
    <b v="0"/>
    <b v="0"/>
    <x v="0"/>
  </r>
  <r>
    <s v="https://twitter.com/VW/status/617007475590602752"/>
    <s v="Volkswagen"/>
    <s v="@VW"/>
    <x v="154"/>
    <s v="2015-07-03T16:30:20.000Z"/>
    <x v="0"/>
    <x v="15"/>
    <s v="16:30:20"/>
    <x v="3"/>
    <s v=""/>
    <s v=""/>
    <n v="33"/>
    <n v="2"/>
    <n v="16"/>
    <n v="51"/>
    <s v="High engagement"/>
    <b v="1"/>
    <b v="0"/>
    <b v="0"/>
    <x v="1"/>
  </r>
  <r>
    <s v="https://twitter.com/VW/status/617018024520871936"/>
    <s v="Volkswagen"/>
    <s v="@VW"/>
    <x v="155"/>
    <s v="2015-07-03T17:12:15.000Z"/>
    <x v="0"/>
    <x v="15"/>
    <s v="17:12:15"/>
    <x v="3"/>
    <s v=""/>
    <s v=""/>
    <n v="0"/>
    <n v="1"/>
    <n v="0"/>
    <n v="1"/>
    <s v="Low engagement"/>
    <b v="0"/>
    <b v="0"/>
    <b v="1"/>
    <x v="3"/>
  </r>
  <r>
    <s v="https://twitter.com/VW/status/617018889445048320"/>
    <s v="Volkswagen"/>
    <s v="@VW"/>
    <x v="156"/>
    <s v="2015-07-03T17:15:41.000Z"/>
    <x v="0"/>
    <x v="15"/>
    <s v="17:15:41"/>
    <x v="3"/>
    <s v="@travis1100"/>
    <s v=""/>
    <n v="0"/>
    <n v="2"/>
    <n v="0"/>
    <n v="2"/>
    <s v="Low engagement"/>
    <b v="0"/>
    <b v="0"/>
    <b v="0"/>
    <x v="0"/>
  </r>
  <r>
    <s v="https://twitter.com/VW/status/617020750369689600"/>
    <s v="Volkswagen"/>
    <s v="@VW"/>
    <x v="157"/>
    <s v="2015-07-03T17:23:05.000Z"/>
    <x v="0"/>
    <x v="15"/>
    <s v="17:23:05"/>
    <x v="3"/>
    <s v="@silkecacchick"/>
    <s v=""/>
    <n v="0"/>
    <n v="0"/>
    <n v="0"/>
    <n v="0"/>
    <s v="No engagement"/>
    <b v="0"/>
    <b v="0"/>
    <b v="0"/>
    <x v="0"/>
  </r>
  <r>
    <s v="https://twitter.com/VW/status/617021618200559616"/>
    <s v="Volkswagen"/>
    <s v="@VW"/>
    <x v="158"/>
    <s v="2015-07-03T17:26:32.000Z"/>
    <x v="0"/>
    <x v="15"/>
    <s v="17:26:32"/>
    <x v="3"/>
    <s v=""/>
    <s v=""/>
    <n v="0"/>
    <n v="0"/>
    <n v="0"/>
    <n v="0"/>
    <s v="No engagement"/>
    <b v="0"/>
    <b v="0"/>
    <b v="0"/>
    <x v="0"/>
  </r>
  <r>
    <s v="https://twitter.com/VW/status/617025140136677376"/>
    <s v="Volkswagen"/>
    <s v="@VW"/>
    <x v="159"/>
    <s v="2015-07-03T17:40:31.000Z"/>
    <x v="0"/>
    <x v="15"/>
    <s v="17:40:31"/>
    <x v="3"/>
    <s v=""/>
    <s v=""/>
    <n v="0"/>
    <n v="0"/>
    <n v="0"/>
    <n v="0"/>
    <s v="No engagement"/>
    <b v="0"/>
    <b v="0"/>
    <b v="0"/>
    <x v="0"/>
  </r>
  <r>
    <s v="https://twitter.com/VW/status/617025143378997248"/>
    <s v="Volkswagen"/>
    <s v="@VW"/>
    <x v="160"/>
    <s v="2015-07-03T17:40:32.000Z"/>
    <x v="0"/>
    <x v="15"/>
    <s v="17:40:32"/>
    <x v="3"/>
    <s v="@nathanyoung96"/>
    <s v=""/>
    <n v="1"/>
    <n v="0"/>
    <n v="0"/>
    <n v="1"/>
    <s v="Low engagement"/>
    <b v="0"/>
    <b v="0"/>
    <b v="1"/>
    <x v="3"/>
  </r>
  <r>
    <s v="https://twitter.com/VW/status/617025141789229056"/>
    <s v="Volkswagen"/>
    <s v="@VW"/>
    <x v="161"/>
    <s v="2015-07-03T17:40:32.000Z"/>
    <x v="0"/>
    <x v="15"/>
    <s v="17:40:32"/>
    <x v="3"/>
    <s v=""/>
    <s v=""/>
    <n v="0"/>
    <n v="0"/>
    <n v="0"/>
    <n v="0"/>
    <s v="No engagement"/>
    <b v="0"/>
    <b v="0"/>
    <b v="0"/>
    <x v="0"/>
  </r>
  <r>
    <s v="https://twitter.com/VW/status/617036952777457664"/>
    <s v="Volkswagen"/>
    <s v="@VW"/>
    <x v="162"/>
    <s v="2015-07-03T18:27:28.000Z"/>
    <x v="0"/>
    <x v="15"/>
    <s v="18:27:28"/>
    <x v="1"/>
    <s v=""/>
    <s v=""/>
    <n v="32"/>
    <n v="0"/>
    <n v="13"/>
    <n v="45"/>
    <s v="High engagement"/>
    <b v="1"/>
    <b v="0"/>
    <b v="0"/>
    <x v="1"/>
  </r>
  <r>
    <s v="https://twitter.com/VW/status/617077677678198784"/>
    <s v="Volkswagen"/>
    <s v="@VW"/>
    <x v="163"/>
    <s v="2015-07-03T21:09:17.000Z"/>
    <x v="0"/>
    <x v="15"/>
    <s v="21:09:17"/>
    <x v="1"/>
    <s v=""/>
    <s v=""/>
    <n v="0"/>
    <n v="0"/>
    <n v="0"/>
    <n v="0"/>
    <s v="No engagement"/>
    <b v="0"/>
    <b v="0"/>
    <b v="0"/>
    <x v="0"/>
  </r>
  <r>
    <s v="https://twitter.com/VW/status/617079462354530304"/>
    <s v="Volkswagen"/>
    <s v="@VW"/>
    <x v="164"/>
    <s v="2015-07-03T21:16:23.000Z"/>
    <x v="0"/>
    <x v="15"/>
    <s v="21:16:23"/>
    <x v="1"/>
    <s v="@dirtyboat"/>
    <s v=""/>
    <n v="1"/>
    <n v="0"/>
    <n v="0"/>
    <n v="1"/>
    <s v="Low engagement"/>
    <b v="0"/>
    <b v="0"/>
    <b v="1"/>
    <x v="3"/>
  </r>
  <r>
    <s v="https://twitter.com/VW/status/617083913618325504"/>
    <s v="Volkswagen"/>
    <s v="@VW"/>
    <x v="165"/>
    <s v="2015-07-03T21:34:04.000Z"/>
    <x v="0"/>
    <x v="15"/>
    <s v="21:34:04"/>
    <x v="1"/>
    <s v="@brookeperez__"/>
    <s v=""/>
    <n v="0"/>
    <n v="0"/>
    <n v="1"/>
    <n v="1"/>
    <s v="Low engagement"/>
    <b v="0"/>
    <b v="0"/>
    <b v="1"/>
    <x v="3"/>
  </r>
  <r>
    <s v="https://twitter.com/VW/status/617083912003530752"/>
    <s v="Volkswagen"/>
    <s v="@VW"/>
    <x v="166"/>
    <s v="2015-07-03T21:34:04.000Z"/>
    <x v="0"/>
    <x v="15"/>
    <s v="21:34:04"/>
    <x v="1"/>
    <s v="@brookeperez__"/>
    <s v=""/>
    <n v="0"/>
    <n v="0"/>
    <n v="1"/>
    <n v="1"/>
    <s v="Low engagement"/>
    <b v="0"/>
    <b v="0"/>
    <b v="0"/>
    <x v="0"/>
  </r>
  <r>
    <s v="https://twitter.com/VW/status/617086351327014913"/>
    <s v="Volkswagen"/>
    <s v="@VW"/>
    <x v="167"/>
    <s v="2015-07-03T21:43:45.000Z"/>
    <x v="0"/>
    <x v="15"/>
    <s v="21:43:45"/>
    <x v="1"/>
    <s v=""/>
    <s v=""/>
    <n v="35"/>
    <n v="2"/>
    <n v="14"/>
    <n v="51"/>
    <s v="High engagement"/>
    <b v="1"/>
    <b v="0"/>
    <b v="0"/>
    <x v="1"/>
  </r>
  <r>
    <s v="https://twitter.com/VW/status/617086582785314816"/>
    <s v="Volkswagen"/>
    <s v="@VW"/>
    <x v="168"/>
    <s v="2015-07-03T21:44:40.000Z"/>
    <x v="0"/>
    <x v="15"/>
    <s v="21:44:40"/>
    <x v="1"/>
    <s v="@xpuppystompx"/>
    <s v=""/>
    <n v="1"/>
    <n v="0"/>
    <n v="1"/>
    <n v="2"/>
    <s v="Low engagement"/>
    <b v="0"/>
    <b v="0"/>
    <b v="0"/>
    <x v="0"/>
  </r>
  <r>
    <s v="https://twitter.com/VW/status/617086580927246336"/>
    <s v="Volkswagen"/>
    <s v="@VW"/>
    <x v="169"/>
    <s v="2015-07-03T21:44:40.000Z"/>
    <x v="0"/>
    <x v="15"/>
    <s v="21:44:40"/>
    <x v="1"/>
    <s v="@xpuppystompx"/>
    <s v=""/>
    <n v="0"/>
    <n v="0"/>
    <n v="1"/>
    <n v="1"/>
    <s v="Low engagement"/>
    <b v="0"/>
    <b v="0"/>
    <b v="0"/>
    <x v="0"/>
  </r>
  <r>
    <s v="https://twitter.com/VW/status/617088371328835585"/>
    <s v="Volkswagen"/>
    <s v="@VW"/>
    <x v="170"/>
    <s v="2015-07-03T21:51:47.000Z"/>
    <x v="0"/>
    <x v="15"/>
    <s v="21:51:47"/>
    <x v="1"/>
    <s v="@BlizzardCookie"/>
    <s v=""/>
    <n v="0"/>
    <n v="0"/>
    <n v="1"/>
    <n v="1"/>
    <s v="Low engagement"/>
    <b v="0"/>
    <b v="0"/>
    <b v="0"/>
    <x v="0"/>
  </r>
  <r>
    <s v="https://twitter.com/VW/status/617110597960880129"/>
    <s v="Volkswagen"/>
    <s v="@VW"/>
    <x v="171"/>
    <s v="2015-07-03T23:20:06.000Z"/>
    <x v="0"/>
    <x v="15"/>
    <s v="23:20:06"/>
    <x v="1"/>
    <s v=""/>
    <s v=""/>
    <n v="32"/>
    <n v="0"/>
    <n v="18"/>
    <n v="50"/>
    <s v="High engagement"/>
    <b v="1"/>
    <b v="0"/>
    <b v="0"/>
    <x v="1"/>
  </r>
  <r>
    <s v="https://twitter.com/VW/status/617179043222269952"/>
    <s v="Volkswagen"/>
    <s v="@VW"/>
    <x v="172"/>
    <s v="2015-07-04T03:52:05.000Z"/>
    <x v="0"/>
    <x v="16"/>
    <s v="03:52:05"/>
    <x v="4"/>
    <s v="@bvanoudtshoorn"/>
    <s v=""/>
    <n v="1"/>
    <n v="0"/>
    <n v="0"/>
    <n v="1"/>
    <s v="Low engagement"/>
    <b v="0"/>
    <b v="0"/>
    <b v="1"/>
    <x v="3"/>
  </r>
  <r>
    <s v="https://twitter.com/VW/status/617687361095356417"/>
    <s v="Volkswagen"/>
    <s v="@VW"/>
    <x v="173"/>
    <s v="2015-07-05T13:31:57.000Z"/>
    <x v="0"/>
    <x v="17"/>
    <s v="13:31:57"/>
    <x v="0"/>
    <s v=""/>
    <s v=""/>
    <n v="45"/>
    <n v="0"/>
    <n v="24"/>
    <n v="69"/>
    <s v="High engagement"/>
    <b v="1"/>
    <b v="0"/>
    <b v="0"/>
    <x v="1"/>
  </r>
  <r>
    <s v="https://twitter.com/VW/status/617698859242889216"/>
    <s v="Volkswagen"/>
    <s v="@VW"/>
    <x v="174"/>
    <s v="2015-07-05T14:17:38.000Z"/>
    <x v="0"/>
    <x v="17"/>
    <s v="14:17:38"/>
    <x v="3"/>
    <s v=""/>
    <s v=""/>
    <n v="38"/>
    <n v="1"/>
    <n v="15"/>
    <n v="54"/>
    <s v="High engagement"/>
    <b v="1"/>
    <b v="0"/>
    <b v="0"/>
    <x v="1"/>
  </r>
  <r>
    <s v="https://twitter.com/VW/status/617712653159526400"/>
    <s v="Volkswagen"/>
    <s v="@VW"/>
    <x v="175"/>
    <s v="2015-07-05T15:12:27.000Z"/>
    <x v="0"/>
    <x v="17"/>
    <s v="15:12:27"/>
    <x v="3"/>
    <s v=""/>
    <s v=""/>
    <n v="25"/>
    <n v="1"/>
    <n v="9"/>
    <n v="35"/>
    <s v="High engagement"/>
    <b v="1"/>
    <b v="0"/>
    <b v="0"/>
    <x v="1"/>
  </r>
  <r>
    <s v="https://twitter.com/VW/status/617713887375400960"/>
    <s v="Volkswagen"/>
    <s v="@VW"/>
    <x v="176"/>
    <s v="2015-07-05T15:17:21.000Z"/>
    <x v="0"/>
    <x v="17"/>
    <s v="15:17:21"/>
    <x v="3"/>
    <s v=""/>
    <s v=""/>
    <n v="37"/>
    <n v="3"/>
    <n v="23"/>
    <n v="63"/>
    <s v="High engagement"/>
    <b v="1"/>
    <b v="0"/>
    <b v="0"/>
    <x v="1"/>
  </r>
  <r>
    <s v="https://twitter.com/VW/status/617728635768668160"/>
    <s v="Volkswagen"/>
    <s v="@VW"/>
    <x v="177"/>
    <s v="2015-07-05T16:15:58.000Z"/>
    <x v="0"/>
    <x v="17"/>
    <s v="16:15:58"/>
    <x v="3"/>
    <s v=""/>
    <s v=""/>
    <n v="19"/>
    <n v="0"/>
    <n v="15"/>
    <n v="34"/>
    <s v="High engagement"/>
    <b v="1"/>
    <b v="0"/>
    <b v="0"/>
    <x v="1"/>
  </r>
  <r>
    <s v="https://twitter.com/VW/status/617757340285169664"/>
    <s v="Volkswagen"/>
    <s v="@VW"/>
    <x v="178"/>
    <s v="2015-07-05T18:10:01.000Z"/>
    <x v="0"/>
    <x v="17"/>
    <s v="18:10:01"/>
    <x v="1"/>
    <s v=""/>
    <s v=""/>
    <n v="18"/>
    <n v="0"/>
    <n v="10"/>
    <n v="28"/>
    <s v="High engagement"/>
    <b v="1"/>
    <b v="0"/>
    <b v="0"/>
    <x v="1"/>
  </r>
  <r>
    <s v="https://twitter.com/VW/status/617766941881729024"/>
    <s v="Volkswagen"/>
    <s v="@VW"/>
    <x v="179"/>
    <s v="2015-07-05T18:48:11.000Z"/>
    <x v="0"/>
    <x v="17"/>
    <s v="18:48:11"/>
    <x v="1"/>
    <s v=""/>
    <s v=""/>
    <n v="6"/>
    <n v="0"/>
    <n v="2"/>
    <n v="8"/>
    <s v="Moderate engagement"/>
    <b v="1"/>
    <b v="0"/>
    <b v="0"/>
    <x v="1"/>
  </r>
  <r>
    <s v="https://twitter.com/VW/status/617779597619404800"/>
    <s v="Volkswagen"/>
    <s v="@VW"/>
    <x v="180"/>
    <s v="2015-07-05T19:38:28.000Z"/>
    <x v="0"/>
    <x v="17"/>
    <s v="19:38:28"/>
    <x v="1"/>
    <s v=""/>
    <s v=""/>
    <n v="43"/>
    <n v="0"/>
    <n v="25"/>
    <n v="68"/>
    <s v="High engagement"/>
    <b v="1"/>
    <b v="0"/>
    <b v="0"/>
    <x v="1"/>
  </r>
  <r>
    <s v="https://twitter.com/VW/status/617821839469867008"/>
    <s v="Volkswagen"/>
    <s v="@VW"/>
    <x v="181"/>
    <s v="2015-07-05T22:26:19.000Z"/>
    <x v="0"/>
    <x v="17"/>
    <s v="22:26:19"/>
    <x v="1"/>
    <s v="@ruinedbyreality"/>
    <s v=""/>
    <n v="0"/>
    <n v="0"/>
    <n v="1"/>
    <n v="1"/>
    <s v="Low engagement"/>
    <b v="0"/>
    <b v="0"/>
    <b v="0"/>
    <x v="0"/>
  </r>
  <r>
    <s v="https://twitter.com/VW/status/617821837242667008"/>
    <s v="Volkswagen"/>
    <s v="@VW"/>
    <x v="182"/>
    <s v="2015-07-05T22:26:19.000Z"/>
    <x v="0"/>
    <x v="17"/>
    <s v="22:26:19"/>
    <x v="1"/>
    <s v="@ruinedbyreality"/>
    <s v=""/>
    <n v="0"/>
    <n v="0"/>
    <n v="1"/>
    <n v="1"/>
    <s v="Low engagement"/>
    <b v="0"/>
    <b v="0"/>
    <b v="0"/>
    <x v="0"/>
  </r>
  <r>
    <s v="https://twitter.com/VW/status/617827653018632192"/>
    <s v="Volkswagen"/>
    <s v="@VW"/>
    <x v="183"/>
    <s v="2015-07-05T22:49:25.000Z"/>
    <x v="0"/>
    <x v="17"/>
    <s v="22:49:25"/>
    <x v="1"/>
    <s v=""/>
    <s v=""/>
    <n v="31"/>
    <n v="2"/>
    <n v="17"/>
    <n v="50"/>
    <s v="High engagement"/>
    <b v="1"/>
    <b v="0"/>
    <b v="0"/>
    <x v="1"/>
  </r>
  <r>
    <s v="https://twitter.com/VW/status/618067330237489152"/>
    <s v="Volkswagen"/>
    <s v="@VW"/>
    <x v="184"/>
    <s v="2015-07-06T14:41:49.000Z"/>
    <x v="0"/>
    <x v="18"/>
    <s v="14:41:49"/>
    <x v="3"/>
    <s v=""/>
    <s v=""/>
    <n v="626"/>
    <n v="42"/>
    <n v="181"/>
    <n v="849"/>
    <s v="High engagement"/>
    <b v="1"/>
    <b v="1"/>
    <b v="1"/>
    <x v="1"/>
  </r>
  <r>
    <s v="https://twitter.com/VW/status/618068048021303301"/>
    <s v="Volkswagen"/>
    <s v="@VW"/>
    <x v="185"/>
    <s v="2015-07-06T14:44:40.000Z"/>
    <x v="0"/>
    <x v="18"/>
    <s v="14:44:40"/>
    <x v="3"/>
    <s v=""/>
    <s v=""/>
    <n v="306"/>
    <n v="21"/>
    <n v="88"/>
    <n v="415"/>
    <s v="High engagement"/>
    <b v="1"/>
    <b v="1"/>
    <b v="1"/>
    <x v="1"/>
  </r>
  <r>
    <s v="https://twitter.com/VW/status/618069254387011584"/>
    <s v="Volkswagen"/>
    <s v="@VW"/>
    <x v="186"/>
    <s v="2015-07-06T14:49:28.000Z"/>
    <x v="0"/>
    <x v="18"/>
    <s v="14:49:28"/>
    <x v="3"/>
    <s v=""/>
    <s v=""/>
    <n v="223"/>
    <n v="24"/>
    <n v="81"/>
    <n v="328"/>
    <s v="High engagement"/>
    <b v="1"/>
    <b v="1"/>
    <b v="1"/>
    <x v="1"/>
  </r>
  <r>
    <s v="https://twitter.com/VW/status/618091929167728640"/>
    <s v="Volkswagen"/>
    <s v="@VW"/>
    <x v="187"/>
    <s v="2015-07-06T16:19:34.000Z"/>
    <x v="0"/>
    <x v="18"/>
    <s v="16:19:34"/>
    <x v="3"/>
    <s v="@PhotoAbigail"/>
    <s v=""/>
    <n v="0"/>
    <n v="0"/>
    <n v="0"/>
    <n v="0"/>
    <s v="No engagement"/>
    <b v="0"/>
    <b v="0"/>
    <b v="0"/>
    <x v="0"/>
  </r>
  <r>
    <s v="https://twitter.com/VW/status/618132532412858368"/>
    <s v="Volkswagen"/>
    <s v="@VW"/>
    <x v="188"/>
    <s v="2015-07-06T19:00:54.000Z"/>
    <x v="0"/>
    <x v="18"/>
    <s v="19:00:54"/>
    <x v="1"/>
    <s v="@DetroitBruce"/>
    <s v=""/>
    <n v="0"/>
    <n v="0"/>
    <n v="0"/>
    <n v="0"/>
    <s v="No engagement"/>
    <b v="0"/>
    <b v="0"/>
    <b v="0"/>
    <x v="0"/>
  </r>
  <r>
    <s v="https://twitter.com/VW/status/618132530529570816"/>
    <s v="Volkswagen"/>
    <s v="@VW"/>
    <x v="189"/>
    <s v="2015-07-06T19:00:54.000Z"/>
    <x v="0"/>
    <x v="18"/>
    <s v="19:00:54"/>
    <x v="1"/>
    <s v="@DetroitBruce"/>
    <s v=""/>
    <n v="1"/>
    <n v="2"/>
    <n v="2"/>
    <n v="5"/>
    <s v="Moderate engagement"/>
    <b v="0"/>
    <b v="0"/>
    <b v="0"/>
    <x v="0"/>
  </r>
  <r>
    <s v="https://twitter.com/VW/status/618132529577504768"/>
    <s v="Volkswagen"/>
    <s v="@VW"/>
    <x v="190"/>
    <s v="2015-07-06T19:00:54.000Z"/>
    <x v="0"/>
    <x v="18"/>
    <s v="19:00:54"/>
    <x v="1"/>
    <s v="@DetroitBruce"/>
    <s v=""/>
    <n v="5"/>
    <n v="2"/>
    <n v="2"/>
    <n v="9"/>
    <s v="Moderate engagement"/>
    <b v="0"/>
    <b v="0"/>
    <b v="0"/>
    <x v="0"/>
  </r>
  <r>
    <s v="https://twitter.com/VW/status/618139602306490368"/>
    <s v="Volkswagen"/>
    <s v="@VW"/>
    <x v="191"/>
    <s v="2015-07-06T19:29:00.000Z"/>
    <x v="0"/>
    <x v="18"/>
    <s v="19:29:00"/>
    <x v="1"/>
    <s v=""/>
    <s v=""/>
    <n v="0"/>
    <n v="0"/>
    <n v="0"/>
    <n v="0"/>
    <s v="No engagement"/>
    <b v="0"/>
    <b v="0"/>
    <b v="0"/>
    <x v="0"/>
  </r>
  <r>
    <s v="https://twitter.com/VW/status/618142183401504768"/>
    <s v="Volkswagen"/>
    <s v="@VW"/>
    <x v="192"/>
    <s v="2015-07-06T19:39:15.000Z"/>
    <x v="0"/>
    <x v="18"/>
    <s v="19:39:15"/>
    <x v="1"/>
    <s v=""/>
    <s v=""/>
    <n v="1"/>
    <n v="0"/>
    <n v="0"/>
    <n v="1"/>
    <s v="Low engagement"/>
    <b v="0"/>
    <b v="0"/>
    <b v="0"/>
    <x v="0"/>
  </r>
  <r>
    <s v="https://twitter.com/VW/status/618142181824421888"/>
    <s v="Volkswagen"/>
    <s v="@VW"/>
    <x v="193"/>
    <s v="2015-07-06T19:39:15.000Z"/>
    <x v="0"/>
    <x v="18"/>
    <s v="19:39:15"/>
    <x v="1"/>
    <s v=""/>
    <s v=""/>
    <n v="0"/>
    <n v="0"/>
    <n v="0"/>
    <n v="0"/>
    <s v="No engagement"/>
    <b v="0"/>
    <b v="0"/>
    <b v="0"/>
    <x v="0"/>
  </r>
  <r>
    <s v="https://twitter.com/VW/status/618143836141817856"/>
    <s v="Volkswagen"/>
    <s v="@VW"/>
    <x v="194"/>
    <s v="2015-07-06T19:45:49.000Z"/>
    <x v="0"/>
    <x v="18"/>
    <s v="19:45:49"/>
    <x v="1"/>
    <s v="@airmj23"/>
    <s v=""/>
    <n v="0"/>
    <n v="0"/>
    <n v="0"/>
    <n v="0"/>
    <s v="No engagement"/>
    <b v="0"/>
    <b v="0"/>
    <b v="0"/>
    <x v="0"/>
  </r>
  <r>
    <s v="https://twitter.com/VW/status/618157097826451456"/>
    <s v="Volkswagen"/>
    <s v="@VW"/>
    <x v="195"/>
    <s v="2015-07-06T20:38:31.000Z"/>
    <x v="0"/>
    <x v="18"/>
    <s v="20:38:31"/>
    <x v="1"/>
    <s v="@MMMoneyyyy"/>
    <s v=""/>
    <n v="0"/>
    <n v="0"/>
    <n v="0"/>
    <n v="0"/>
    <s v="No engagement"/>
    <b v="0"/>
    <b v="0"/>
    <b v="0"/>
    <x v="0"/>
  </r>
  <r>
    <s v="https://twitter.com/VW/status/618157096043806720"/>
    <s v="Volkswagen"/>
    <s v="@VW"/>
    <x v="196"/>
    <s v="2015-07-06T20:38:31.000Z"/>
    <x v="0"/>
    <x v="18"/>
    <s v="20:38:31"/>
    <x v="1"/>
    <s v="@BuzzFeces"/>
    <s v=""/>
    <n v="0"/>
    <n v="0"/>
    <n v="0"/>
    <n v="0"/>
    <s v="No engagement"/>
    <b v="0"/>
    <b v="0"/>
    <b v="0"/>
    <x v="0"/>
  </r>
  <r>
    <s v="https://twitter.com/VW/status/618157100238155776"/>
    <s v="Volkswagen"/>
    <s v="@VW"/>
    <x v="197"/>
    <s v="2015-07-06T20:38:32.000Z"/>
    <x v="0"/>
    <x v="18"/>
    <s v="20:38:32"/>
    <x v="1"/>
    <s v=""/>
    <s v=""/>
    <n v="0"/>
    <n v="0"/>
    <n v="0"/>
    <n v="0"/>
    <s v="No engagement"/>
    <b v="0"/>
    <b v="0"/>
    <b v="0"/>
    <x v="0"/>
  </r>
  <r>
    <s v="https://twitter.com/VW/status/618157937131851777"/>
    <s v="Volkswagen"/>
    <s v="@VW"/>
    <x v="198"/>
    <s v="2015-07-06T20:41:51.000Z"/>
    <x v="0"/>
    <x v="18"/>
    <s v="20:41:51"/>
    <x v="1"/>
    <s v=""/>
    <s v=""/>
    <n v="1"/>
    <n v="0"/>
    <n v="0"/>
    <n v="1"/>
    <s v="Low engagement"/>
    <b v="0"/>
    <b v="0"/>
    <b v="0"/>
    <x v="0"/>
  </r>
  <r>
    <s v="https://twitter.com/VW/status/618217092899168256"/>
    <s v="Volkswagen"/>
    <s v="@VW"/>
    <x v="199"/>
    <s v="2015-07-07T00:36:55.000Z"/>
    <x v="0"/>
    <x v="19"/>
    <s v="00:36:55"/>
    <x v="4"/>
    <s v="@CcKimble"/>
    <s v=""/>
    <n v="0"/>
    <n v="0"/>
    <n v="1"/>
    <n v="1"/>
    <s v="Low engagement"/>
    <b v="0"/>
    <b v="0"/>
    <b v="0"/>
    <x v="0"/>
  </r>
  <r>
    <s v="https://twitter.com/VW/status/618217091267596289"/>
    <s v="Volkswagen"/>
    <s v="@VW"/>
    <x v="200"/>
    <s v="2015-07-07T00:36:55.000Z"/>
    <x v="0"/>
    <x v="19"/>
    <s v="00:36:55"/>
    <x v="4"/>
    <s v="@Qulnnlng"/>
    <s v=""/>
    <n v="1"/>
    <n v="0"/>
    <n v="0"/>
    <n v="1"/>
    <s v="Low engagement"/>
    <b v="0"/>
    <b v="0"/>
    <b v="0"/>
    <x v="0"/>
  </r>
  <r>
    <s v="https://twitter.com/VW/status/618217936671518720"/>
    <s v="Volkswagen"/>
    <s v="@VW"/>
    <x v="201"/>
    <s v="2015-07-07T00:40:16.000Z"/>
    <x v="0"/>
    <x v="19"/>
    <s v="00:40:16"/>
    <x v="4"/>
    <s v="@bellaagianna"/>
    <s v=""/>
    <n v="0"/>
    <n v="0"/>
    <n v="0"/>
    <n v="0"/>
    <s v="No engagement"/>
    <b v="0"/>
    <b v="0"/>
    <b v="0"/>
    <x v="0"/>
  </r>
  <r>
    <s v="https://twitter.com/VW/status/618217941490728960"/>
    <s v="Volkswagen"/>
    <s v="@VW"/>
    <x v="202"/>
    <s v="2015-07-07T00:40:17.000Z"/>
    <x v="0"/>
    <x v="19"/>
    <s v="00:40:17"/>
    <x v="4"/>
    <s v="@D_IsHere2PAWTY"/>
    <s v=""/>
    <n v="0"/>
    <n v="2"/>
    <n v="0"/>
    <n v="2"/>
    <s v="Low engagement"/>
    <b v="0"/>
    <b v="0"/>
    <b v="0"/>
    <x v="0"/>
  </r>
  <r>
    <s v="https://twitter.com/VW/status/618217938818957312"/>
    <s v="Volkswagen"/>
    <s v="@VW"/>
    <x v="203"/>
    <s v="2015-07-07T00:40:17.000Z"/>
    <x v="0"/>
    <x v="19"/>
    <s v="00:40:17"/>
    <x v="4"/>
    <s v="@D_IsHere2PAWTY"/>
    <s v=""/>
    <n v="0"/>
    <n v="1"/>
    <n v="0"/>
    <n v="1"/>
    <s v="Low engagement"/>
    <b v="0"/>
    <b v="0"/>
    <b v="0"/>
    <x v="0"/>
  </r>
  <r>
    <s v="https://twitter.com/VW/status/618218813801140224"/>
    <s v="Volkswagen"/>
    <s v="@VW"/>
    <x v="204"/>
    <s v="2015-07-07T00:43:45.000Z"/>
    <x v="0"/>
    <x v="19"/>
    <s v="00:43:45"/>
    <x v="4"/>
    <s v=""/>
    <s v=""/>
    <n v="0"/>
    <n v="0"/>
    <n v="0"/>
    <n v="0"/>
    <s v="No engagement"/>
    <b v="0"/>
    <b v="0"/>
    <b v="0"/>
    <x v="0"/>
  </r>
  <r>
    <s v="https://twitter.com/VW/status/618218815617249280"/>
    <s v="Volkswagen"/>
    <s v="@VW"/>
    <x v="205"/>
    <s v="2015-07-07T00:43:46.000Z"/>
    <x v="0"/>
    <x v="19"/>
    <s v="00:43:46"/>
    <x v="4"/>
    <s v=""/>
    <s v=""/>
    <n v="0"/>
    <n v="0"/>
    <n v="1"/>
    <n v="1"/>
    <s v="Low engagement"/>
    <b v="0"/>
    <b v="0"/>
    <b v="1"/>
    <x v="3"/>
  </r>
  <r>
    <s v="https://twitter.com/VW/status/618219703706628096"/>
    <s v="Volkswagen"/>
    <s v="@VW"/>
    <x v="206"/>
    <s v="2015-07-07T00:47:17.000Z"/>
    <x v="0"/>
    <x v="19"/>
    <s v="00:47:17"/>
    <x v="4"/>
    <s v="@HeyMikeJackson"/>
    <s v=""/>
    <n v="0"/>
    <n v="0"/>
    <n v="1"/>
    <n v="1"/>
    <s v="Low engagement"/>
    <b v="0"/>
    <b v="0"/>
    <b v="1"/>
    <x v="3"/>
  </r>
  <r>
    <s v="https://twitter.com/VW/status/618219701953429504"/>
    <s v="Volkswagen"/>
    <s v="@VW"/>
    <x v="207"/>
    <s v="2015-07-07T00:47:17.000Z"/>
    <x v="0"/>
    <x v="19"/>
    <s v="00:47:17"/>
    <x v="4"/>
    <s v="@HeyMikeJackson"/>
    <s v=""/>
    <n v="0"/>
    <n v="0"/>
    <n v="1"/>
    <n v="1"/>
    <s v="Low engagement"/>
    <b v="0"/>
    <b v="0"/>
    <b v="0"/>
    <x v="0"/>
  </r>
  <r>
    <s v="https://twitter.com/VW/status/618219700191821824"/>
    <s v="Volkswagen"/>
    <s v="@VW"/>
    <x v="208"/>
    <s v="2015-07-07T00:47:17.000Z"/>
    <x v="0"/>
    <x v="19"/>
    <s v="00:47:17"/>
    <x v="4"/>
    <s v="@EnginerdMama"/>
    <s v=""/>
    <n v="0"/>
    <n v="0"/>
    <n v="1"/>
    <n v="1"/>
    <s v="Low engagement"/>
    <b v="0"/>
    <b v="0"/>
    <b v="0"/>
    <x v="0"/>
  </r>
  <r>
    <s v="https://twitter.com/VW/status/618223152326291456"/>
    <s v="Volkswagen"/>
    <s v="@VW"/>
    <x v="209"/>
    <s v="2015-07-07T01:01:00.000Z"/>
    <x v="0"/>
    <x v="19"/>
    <s v="01:01:00"/>
    <x v="4"/>
    <s v="@ScoGood"/>
    <s v=""/>
    <n v="1"/>
    <n v="0"/>
    <n v="1"/>
    <n v="2"/>
    <s v="Low engagement"/>
    <b v="0"/>
    <b v="0"/>
    <b v="1"/>
    <x v="3"/>
  </r>
  <r>
    <s v="https://twitter.com/VW/status/618545318922072064"/>
    <s v="Volkswagen"/>
    <s v="@VW"/>
    <x v="210"/>
    <s v="2015-07-07T22:21:10.000Z"/>
    <x v="0"/>
    <x v="19"/>
    <s v="22:21:10"/>
    <x v="1"/>
    <s v="@RyanAmirault"/>
    <s v=""/>
    <n v="0"/>
    <n v="0"/>
    <n v="0"/>
    <n v="0"/>
    <s v="No engagement"/>
    <b v="0"/>
    <b v="0"/>
    <b v="0"/>
    <x v="0"/>
  </r>
  <r>
    <s v="https://twitter.com/VW/status/618545322566901761"/>
    <s v="Volkswagen"/>
    <s v="@VW"/>
    <x v="211"/>
    <s v="2015-07-07T22:21:11.000Z"/>
    <x v="0"/>
    <x v="19"/>
    <s v="22:21:11"/>
    <x v="1"/>
    <s v="@bactires"/>
    <s v=""/>
    <n v="1"/>
    <n v="0"/>
    <n v="0"/>
    <n v="1"/>
    <s v="Low engagement"/>
    <b v="0"/>
    <b v="0"/>
    <b v="0"/>
    <x v="0"/>
  </r>
  <r>
    <s v="https://twitter.com/VW/status/618545321107259392"/>
    <s v="Volkswagen"/>
    <s v="@VW"/>
    <x v="212"/>
    <s v="2015-07-07T22:21:11.000Z"/>
    <x v="0"/>
    <x v="19"/>
    <s v="22:21:11"/>
    <x v="1"/>
    <s v="@RyanAmirault"/>
    <s v=""/>
    <n v="0"/>
    <n v="1"/>
    <n v="0"/>
    <n v="1"/>
    <s v="Low engagement"/>
    <b v="0"/>
    <b v="0"/>
    <b v="1"/>
    <x v="3"/>
  </r>
  <r>
    <s v="https://twitter.com/VW/status/618545324726980609"/>
    <s v="Volkswagen"/>
    <s v="@VW"/>
    <x v="213"/>
    <s v="2015-07-07T22:21:12.000Z"/>
    <x v="0"/>
    <x v="19"/>
    <s v="22:21:12"/>
    <x v="1"/>
    <s v="@bactires"/>
    <s v=""/>
    <n v="1"/>
    <n v="0"/>
    <n v="1"/>
    <n v="2"/>
    <s v="Low engagement"/>
    <b v="0"/>
    <b v="0"/>
    <b v="0"/>
    <x v="0"/>
  </r>
  <r>
    <s v="https://twitter.com/VW/status/618755164917239808"/>
    <s v="Volkswagen"/>
    <s v="@VW"/>
    <x v="214"/>
    <s v="2015-07-08T12:15:01.000Z"/>
    <x v="0"/>
    <x v="20"/>
    <s v="12:15:01"/>
    <x v="0"/>
    <s v="@Sarah_BA"/>
    <s v=""/>
    <n v="0"/>
    <n v="1"/>
    <n v="0"/>
    <n v="1"/>
    <s v="Low engagement"/>
    <b v="0"/>
    <b v="0"/>
    <b v="0"/>
    <x v="0"/>
  </r>
  <r>
    <s v="https://twitter.com/VW/status/618755162690039808"/>
    <s v="Volkswagen"/>
    <s v="@VW"/>
    <x v="215"/>
    <s v="2015-07-08T12:15:01.000Z"/>
    <x v="0"/>
    <x v="20"/>
    <s v="12:15:01"/>
    <x v="0"/>
    <s v="@Jackielove_g"/>
    <s v=""/>
    <n v="0"/>
    <n v="0"/>
    <n v="0"/>
    <n v="0"/>
    <s v="No engagement"/>
    <b v="0"/>
    <b v="0"/>
    <b v="0"/>
    <x v="0"/>
  </r>
  <r>
    <s v="https://twitter.com/VW/status/618756161844592641"/>
    <s v="Volkswagen"/>
    <s v="@VW"/>
    <x v="216"/>
    <s v="2015-07-08T12:18:59.000Z"/>
    <x v="0"/>
    <x v="20"/>
    <s v="12:18:59"/>
    <x v="0"/>
    <s v="@Sarah_BA"/>
    <s v=""/>
    <n v="0"/>
    <n v="0"/>
    <n v="1"/>
    <n v="1"/>
    <s v="Low engagement"/>
    <b v="0"/>
    <b v="0"/>
    <b v="0"/>
    <x v="0"/>
  </r>
  <r>
    <s v="https://twitter.com/VW/status/618756164369526784"/>
    <s v="Volkswagen"/>
    <s v="@VW"/>
    <x v="217"/>
    <s v="2015-07-08T12:19:00.000Z"/>
    <x v="0"/>
    <x v="20"/>
    <s v="12:19:00"/>
    <x v="0"/>
    <s v="@AyyBayyBayy_"/>
    <s v=""/>
    <n v="0"/>
    <n v="0"/>
    <n v="2"/>
    <n v="2"/>
    <s v="Low engagement"/>
    <b v="0"/>
    <b v="0"/>
    <b v="0"/>
    <x v="0"/>
  </r>
  <r>
    <s v="https://twitter.com/VW/status/618809358789390338"/>
    <s v="Volkswagen"/>
    <s v="@VW"/>
    <x v="218"/>
    <s v="2015-07-08T15:50:22.000Z"/>
    <x v="0"/>
    <x v="20"/>
    <s v="15:50:22"/>
    <x v="3"/>
    <s v="@TheJasonProject"/>
    <s v=""/>
    <n v="0"/>
    <n v="0"/>
    <n v="0"/>
    <n v="0"/>
    <s v="No engagement"/>
    <b v="0"/>
    <b v="0"/>
    <b v="1"/>
    <x v="3"/>
  </r>
  <r>
    <s v="https://twitter.com/VW/status/618820686853738496"/>
    <s v="Volkswagen"/>
    <s v="@VW"/>
    <x v="219"/>
    <s v="2015-07-08T16:35:23.000Z"/>
    <x v="0"/>
    <x v="20"/>
    <s v="16:35:23"/>
    <x v="3"/>
    <s v="@ujdsanskruti"/>
    <s v=""/>
    <n v="0"/>
    <n v="0"/>
    <n v="0"/>
    <n v="0"/>
    <s v="No engagement"/>
    <b v="0"/>
    <b v="0"/>
    <b v="0"/>
    <x v="0"/>
  </r>
  <r>
    <s v="https://twitter.com/VW/status/618820690532134912"/>
    <s v="Volkswagen"/>
    <s v="@VW"/>
    <x v="220"/>
    <s v="2015-07-08T16:35:24.000Z"/>
    <x v="0"/>
    <x v="20"/>
    <s v="16:35:24"/>
    <x v="3"/>
    <s v=""/>
    <s v=""/>
    <n v="2"/>
    <n v="0"/>
    <n v="0"/>
    <n v="2"/>
    <s v="Low engagement"/>
    <b v="0"/>
    <b v="0"/>
    <b v="0"/>
    <x v="0"/>
  </r>
  <r>
    <s v="https://twitter.com/VW/status/618826118590627840"/>
    <s v="Volkswagen"/>
    <s v="@VW"/>
    <x v="221"/>
    <s v="2015-07-08T16:56:58.000Z"/>
    <x v="0"/>
    <x v="20"/>
    <s v="16:56:58"/>
    <x v="3"/>
    <s v=""/>
    <s v=""/>
    <n v="0"/>
    <n v="0"/>
    <n v="0"/>
    <n v="0"/>
    <s v="No engagement"/>
    <b v="0"/>
    <b v="0"/>
    <b v="0"/>
    <x v="0"/>
  </r>
  <r>
    <s v="https://twitter.com/VW/status/618826120545222656"/>
    <s v="Volkswagen"/>
    <s v="@VW"/>
    <x v="222"/>
    <s v="2015-07-08T16:56:59.000Z"/>
    <x v="0"/>
    <x v="20"/>
    <s v="16:56:59"/>
    <x v="3"/>
    <s v=""/>
    <s v=""/>
    <n v="0"/>
    <n v="0"/>
    <n v="0"/>
    <n v="0"/>
    <s v="No engagement"/>
    <b v="0"/>
    <b v="0"/>
    <b v="0"/>
    <x v="0"/>
  </r>
  <r>
    <s v="https://twitter.com/VW/status/618838185573879808"/>
    <s v="Volkswagen"/>
    <s v="@VW"/>
    <x v="223"/>
    <s v="2015-07-08T17:44:55.000Z"/>
    <x v="0"/>
    <x v="20"/>
    <s v="17:44:55"/>
    <x v="3"/>
    <s v="@anticopdoge"/>
    <s v=""/>
    <n v="0"/>
    <n v="0"/>
    <n v="0"/>
    <n v="0"/>
    <s v="No engagement"/>
    <b v="0"/>
    <b v="0"/>
    <b v="0"/>
    <x v="0"/>
  </r>
  <r>
    <s v="https://twitter.com/VW/status/618838187981471744"/>
    <s v="Volkswagen"/>
    <s v="@VW"/>
    <x v="224"/>
    <s v="2015-07-08T17:44:56.000Z"/>
    <x v="0"/>
    <x v="20"/>
    <s v="17:44:56"/>
    <x v="3"/>
    <s v="@anticopdoge"/>
    <s v=""/>
    <n v="0"/>
    <n v="1"/>
    <n v="0"/>
    <n v="1"/>
    <s v="Low engagement"/>
    <b v="0"/>
    <b v="0"/>
    <b v="0"/>
    <x v="0"/>
  </r>
  <r>
    <s v="https://twitter.com/VW/status/618841702325977089"/>
    <s v="Volkswagen"/>
    <s v="@VW"/>
    <x v="225"/>
    <s v="2015-07-08T17:58:54.000Z"/>
    <x v="0"/>
    <x v="20"/>
    <s v="17:58:54"/>
    <x v="3"/>
    <s v=""/>
    <s v=""/>
    <n v="61"/>
    <n v="2"/>
    <n v="51"/>
    <n v="114"/>
    <s v="High engagement"/>
    <b v="1"/>
    <b v="0"/>
    <b v="1"/>
    <x v="1"/>
  </r>
  <r>
    <s v="https://twitter.com/VW/status/618873321963171842"/>
    <s v="Volkswagen"/>
    <s v="@VW"/>
    <x v="226"/>
    <s v="2015-07-08T20:04:32.000Z"/>
    <x v="0"/>
    <x v="20"/>
    <s v="20:04:32"/>
    <x v="1"/>
    <s v="@McCollisterN"/>
    <s v=""/>
    <n v="0"/>
    <n v="0"/>
    <n v="0"/>
    <n v="0"/>
    <s v="No engagement"/>
    <b v="0"/>
    <b v="0"/>
    <b v="0"/>
    <x v="0"/>
  </r>
  <r>
    <s v="https://twitter.com/VW/status/618873320298033152"/>
    <s v="Volkswagen"/>
    <s v="@VW"/>
    <x v="227"/>
    <s v="2015-07-08T20:04:32.000Z"/>
    <x v="0"/>
    <x v="20"/>
    <s v="20:04:32"/>
    <x v="1"/>
    <s v=""/>
    <s v=""/>
    <n v="0"/>
    <n v="0"/>
    <n v="0"/>
    <n v="0"/>
    <s v="No engagement"/>
    <b v="0"/>
    <b v="0"/>
    <b v="0"/>
    <x v="0"/>
  </r>
  <r>
    <s v="https://twitter.com/VW/status/618873324991442944"/>
    <s v="Volkswagen"/>
    <s v="@VW"/>
    <x v="228"/>
    <s v="2015-07-08T20:04:33.000Z"/>
    <x v="0"/>
    <x v="20"/>
    <s v="20:04:33"/>
    <x v="1"/>
    <s v=""/>
    <s v=""/>
    <n v="0"/>
    <n v="0"/>
    <n v="0"/>
    <n v="0"/>
    <s v="No engagement"/>
    <b v="0"/>
    <b v="0"/>
    <b v="1"/>
    <x v="3"/>
  </r>
  <r>
    <s v="https://twitter.com/VW/status/618873323464757248"/>
    <s v="Volkswagen"/>
    <s v="@VW"/>
    <x v="229"/>
    <s v="2015-07-08T20:04:33.000Z"/>
    <x v="0"/>
    <x v="20"/>
    <s v="20:04:33"/>
    <x v="1"/>
    <s v=""/>
    <s v=""/>
    <n v="0"/>
    <n v="0"/>
    <n v="0"/>
    <n v="0"/>
    <s v="No engagement"/>
    <b v="0"/>
    <b v="0"/>
    <b v="0"/>
    <x v="0"/>
  </r>
  <r>
    <s v="https://twitter.com/VW/status/618873328086876160"/>
    <s v="Volkswagen"/>
    <s v="@VW"/>
    <x v="230"/>
    <s v="2015-07-08T20:04:34.000Z"/>
    <x v="0"/>
    <x v="20"/>
    <s v="20:04:34"/>
    <x v="1"/>
    <s v="@jordanreeed"/>
    <s v=""/>
    <n v="1"/>
    <n v="0"/>
    <n v="0"/>
    <n v="1"/>
    <s v="Low engagement"/>
    <b v="0"/>
    <b v="0"/>
    <b v="0"/>
    <x v="0"/>
  </r>
  <r>
    <s v="https://twitter.com/VW/status/618879323123027968"/>
    <s v="Volkswagen"/>
    <s v="@VW"/>
    <x v="231"/>
    <s v="2015-07-08T20:28:23.000Z"/>
    <x v="0"/>
    <x v="20"/>
    <s v="20:28:23"/>
    <x v="1"/>
    <s v=""/>
    <s v=""/>
    <n v="1"/>
    <n v="0"/>
    <n v="0"/>
    <n v="1"/>
    <s v="Low engagement"/>
    <b v="0"/>
    <b v="0"/>
    <b v="0"/>
    <x v="0"/>
  </r>
  <r>
    <s v="https://twitter.com/VW/status/618900913206341633"/>
    <s v="Volkswagen"/>
    <s v="@VW"/>
    <x v="232"/>
    <s v="2015-07-08T21:54:10.000Z"/>
    <x v="0"/>
    <x v="20"/>
    <s v="21:54:10"/>
    <x v="1"/>
    <s v="@SeanPeter24"/>
    <s v=""/>
    <n v="2"/>
    <n v="0"/>
    <n v="1"/>
    <n v="3"/>
    <s v="Low engagement"/>
    <b v="0"/>
    <b v="0"/>
    <b v="0"/>
    <x v="0"/>
  </r>
  <r>
    <s v="https://twitter.com/VW/status/618939207776493568"/>
    <s v="Volkswagen"/>
    <s v="@VW"/>
    <x v="233"/>
    <s v="2015-07-09T00:26:21.000Z"/>
    <x v="0"/>
    <x v="21"/>
    <s v="00:26:21"/>
    <x v="4"/>
    <s v=""/>
    <s v=""/>
    <n v="0"/>
    <n v="0"/>
    <n v="1"/>
    <n v="1"/>
    <s v="Low engagement"/>
    <b v="0"/>
    <b v="0"/>
    <b v="0"/>
    <x v="0"/>
  </r>
  <r>
    <s v="https://twitter.com/VW/status/618940981056942080"/>
    <s v="Volkswagen"/>
    <s v="@VW"/>
    <x v="234"/>
    <s v="2015-07-09T00:33:23.000Z"/>
    <x v="0"/>
    <x v="21"/>
    <s v="00:33:23"/>
    <x v="4"/>
    <s v="@AvilesGab"/>
    <s v=""/>
    <n v="0"/>
    <n v="0"/>
    <n v="1"/>
    <n v="1"/>
    <s v="Low engagement"/>
    <b v="0"/>
    <b v="0"/>
    <b v="0"/>
    <x v="0"/>
  </r>
  <r>
    <s v="https://twitter.com/VW/status/618940982743072768"/>
    <s v="Volkswagen"/>
    <s v="@VW"/>
    <x v="235"/>
    <s v="2015-07-09T00:33:24.000Z"/>
    <x v="0"/>
    <x v="21"/>
    <s v="00:33:24"/>
    <x v="4"/>
    <s v="@AvilesGab"/>
    <s v=""/>
    <n v="0"/>
    <n v="0"/>
    <n v="1"/>
    <n v="1"/>
    <s v="Low engagement"/>
    <b v="0"/>
    <b v="0"/>
    <b v="0"/>
    <x v="0"/>
  </r>
  <r>
    <s v="https://twitter.com/VW/status/619185411416436736"/>
    <s v="Volkswagen"/>
    <s v="@VW"/>
    <x v="236"/>
    <s v="2015-07-09T16:44:40.000Z"/>
    <x v="0"/>
    <x v="21"/>
    <s v="16:44:40"/>
    <x v="3"/>
    <s v="@colin_swanson"/>
    <s v=""/>
    <n v="0"/>
    <n v="0"/>
    <n v="1"/>
    <n v="1"/>
    <s v="Low engagement"/>
    <b v="0"/>
    <b v="0"/>
    <b v="0"/>
    <x v="0"/>
  </r>
  <r>
    <s v="https://twitter.com/VW/status/619185413853331457"/>
    <s v="Volkswagen"/>
    <s v="@VW"/>
    <x v="237"/>
    <s v="2015-07-09T16:44:41.000Z"/>
    <x v="0"/>
    <x v="21"/>
    <s v="16:44:41"/>
    <x v="3"/>
    <s v="@colin_swanson"/>
    <s v=""/>
    <n v="0"/>
    <n v="0"/>
    <n v="1"/>
    <n v="1"/>
    <s v="Low engagement"/>
    <b v="0"/>
    <b v="0"/>
    <b v="0"/>
    <x v="0"/>
  </r>
  <r>
    <s v="https://twitter.com/VW/status/619221516371259392"/>
    <s v="Volkswagen"/>
    <s v="@VW"/>
    <x v="238"/>
    <s v="2015-07-09T19:08:08.000Z"/>
    <x v="0"/>
    <x v="21"/>
    <s v="19:08:08"/>
    <x v="1"/>
    <s v="@RyanAmirault"/>
    <s v=""/>
    <n v="0"/>
    <n v="0"/>
    <n v="1"/>
    <n v="1"/>
    <s v="Low engagement"/>
    <b v="0"/>
    <b v="0"/>
    <b v="0"/>
    <x v="0"/>
  </r>
  <r>
    <s v="https://twitter.com/VW/status/619221521471545344"/>
    <s v="Volkswagen"/>
    <s v="@VW"/>
    <x v="239"/>
    <s v="2015-07-09T19:08:09.000Z"/>
    <x v="0"/>
    <x v="21"/>
    <s v="19:08:09"/>
    <x v="1"/>
    <s v="@bgoodsonjr"/>
    <s v=""/>
    <n v="0"/>
    <n v="2"/>
    <n v="1"/>
    <n v="3"/>
    <s v="Low engagement"/>
    <b v="0"/>
    <b v="0"/>
    <b v="0"/>
    <x v="0"/>
  </r>
  <r>
    <s v="https://twitter.com/VW/status/619221519043022848"/>
    <s v="Volkswagen"/>
    <s v="@VW"/>
    <x v="240"/>
    <s v="2015-07-09T19:08:09.000Z"/>
    <x v="0"/>
    <x v="21"/>
    <s v="19:08:09"/>
    <x v="1"/>
    <s v=""/>
    <s v=""/>
    <n v="0"/>
    <n v="0"/>
    <n v="2"/>
    <n v="2"/>
    <s v="Low engagement"/>
    <b v="0"/>
    <b v="0"/>
    <b v="0"/>
    <x v="0"/>
  </r>
  <r>
    <s v="https://twitter.com/VW/status/619221525774893056"/>
    <s v="Volkswagen"/>
    <s v="@VW"/>
    <x v="241"/>
    <s v="2015-07-09T19:08:10.000Z"/>
    <x v="0"/>
    <x v="21"/>
    <s v="19:08:10"/>
    <x v="1"/>
    <s v="@Drawbridge303"/>
    <s v=""/>
    <n v="0"/>
    <n v="0"/>
    <n v="0"/>
    <n v="0"/>
    <s v="No engagement"/>
    <b v="0"/>
    <b v="0"/>
    <b v="0"/>
    <x v="0"/>
  </r>
  <r>
    <s v="https://twitter.com/VW/status/619221523736457216"/>
    <s v="Volkswagen"/>
    <s v="@VW"/>
    <x v="242"/>
    <s v="2015-07-09T19:08:10.000Z"/>
    <x v="0"/>
    <x v="21"/>
    <s v="19:08:10"/>
    <x v="1"/>
    <s v="@bgoodsonjr"/>
    <s v=""/>
    <n v="0"/>
    <n v="1"/>
    <n v="0"/>
    <n v="1"/>
    <s v="Low engagement"/>
    <b v="0"/>
    <b v="0"/>
    <b v="0"/>
    <x v="0"/>
  </r>
  <r>
    <s v="https://twitter.com/VW/status/619221528031416320"/>
    <s v="Volkswagen"/>
    <s v="@VW"/>
    <x v="243"/>
    <s v="2015-07-09T19:08:11.000Z"/>
    <x v="0"/>
    <x v="21"/>
    <s v="19:08:11"/>
    <x v="1"/>
    <s v="@Drawbridge303"/>
    <s v=""/>
    <n v="0"/>
    <n v="0"/>
    <n v="1"/>
    <n v="1"/>
    <s v="Low engagement"/>
    <b v="0"/>
    <b v="0"/>
    <b v="0"/>
    <x v="0"/>
  </r>
  <r>
    <s v="https://twitter.com/VW/status/619222396759863296"/>
    <s v="Volkswagen"/>
    <s v="@VW"/>
    <x v="244"/>
    <s v="2015-07-09T19:11:38.000Z"/>
    <x v="0"/>
    <x v="21"/>
    <s v="19:11:38"/>
    <x v="1"/>
    <s v="@johnny_morrison"/>
    <s v=""/>
    <n v="0"/>
    <n v="0"/>
    <n v="1"/>
    <n v="1"/>
    <s v="Low engagement"/>
    <b v="0"/>
    <b v="0"/>
    <b v="0"/>
    <x v="0"/>
  </r>
  <r>
    <s v="https://twitter.com/VW/status/619223244801986561"/>
    <s v="Volkswagen"/>
    <s v="@VW"/>
    <x v="245"/>
    <s v="2015-07-09T19:15:00.000Z"/>
    <x v="0"/>
    <x v="21"/>
    <s v="19:15:00"/>
    <x v="1"/>
    <s v="@RealChrisReese"/>
    <s v=""/>
    <n v="0"/>
    <n v="0"/>
    <n v="0"/>
    <n v="0"/>
    <s v="No engagement"/>
    <b v="0"/>
    <b v="0"/>
    <b v="0"/>
    <x v="0"/>
  </r>
  <r>
    <s v="https://twitter.com/VW/status/619223247507300352"/>
    <s v="Volkswagen"/>
    <s v="@VW"/>
    <x v="246"/>
    <s v="2015-07-09T19:15:01.000Z"/>
    <x v="0"/>
    <x v="21"/>
    <s v="19:15:01"/>
    <x v="1"/>
    <s v="@RealChrisReese"/>
    <s v=""/>
    <n v="0"/>
    <n v="0"/>
    <n v="1"/>
    <n v="1"/>
    <s v="Low engagement"/>
    <b v="0"/>
    <b v="0"/>
    <b v="0"/>
    <x v="0"/>
  </r>
  <r>
    <s v="https://twitter.com/VW/status/619282189000126464"/>
    <s v="Volkswagen"/>
    <s v="@VW"/>
    <x v="247"/>
    <s v="2015-07-09T23:09:14.000Z"/>
    <x v="0"/>
    <x v="21"/>
    <s v="23:09:14"/>
    <x v="1"/>
    <s v="@JR39_"/>
    <s v=""/>
    <n v="0"/>
    <n v="1"/>
    <n v="1"/>
    <n v="2"/>
    <s v="Low engagement"/>
    <b v="0"/>
    <b v="0"/>
    <b v="0"/>
    <x v="0"/>
  </r>
  <r>
    <s v="https://twitter.com/VW/status/619486031197306881"/>
    <s v="Volkswagen"/>
    <s v="@VW"/>
    <x v="248"/>
    <s v="2015-07-10T12:39:13.000Z"/>
    <x v="0"/>
    <x v="22"/>
    <s v="12:39:13"/>
    <x v="0"/>
    <s v=""/>
    <s v=""/>
    <n v="0"/>
    <n v="0"/>
    <n v="1"/>
    <n v="1"/>
    <s v="Low engagement"/>
    <b v="0"/>
    <b v="0"/>
    <b v="0"/>
    <x v="0"/>
  </r>
  <r>
    <s v="https://twitter.com/VW/status/619490453704957953"/>
    <s v="Volkswagen"/>
    <s v="@VW"/>
    <x v="249"/>
    <s v="2015-07-10T12:56:48.000Z"/>
    <x v="0"/>
    <x v="22"/>
    <s v="12:56:48"/>
    <x v="0"/>
    <s v=""/>
    <s v=""/>
    <n v="0"/>
    <n v="0"/>
    <n v="0"/>
    <n v="0"/>
    <s v="No engagement"/>
    <b v="0"/>
    <b v="0"/>
    <b v="1"/>
    <x v="3"/>
  </r>
  <r>
    <s v="https://twitter.com/VW/status/619654476236886016"/>
    <s v="Volkswagen"/>
    <s v="@VW"/>
    <x v="250"/>
    <s v="2015-07-10T23:48:34.000Z"/>
    <x v="0"/>
    <x v="22"/>
    <s v="23:48:34"/>
    <x v="1"/>
    <s v="@morgancoletta"/>
    <s v=""/>
    <n v="1"/>
    <n v="0"/>
    <n v="0"/>
    <n v="1"/>
    <s v="Low engagement"/>
    <b v="0"/>
    <b v="0"/>
    <b v="1"/>
    <x v="3"/>
  </r>
  <r>
    <s v="https://twitter.com/VW/status/620267127216345088"/>
    <s v="Volkswagen"/>
    <s v="@VW"/>
    <x v="251"/>
    <s v="2015-07-12T16:23:01.000Z"/>
    <x v="0"/>
    <x v="23"/>
    <s v="16:23:01"/>
    <x v="3"/>
    <s v="@dana_leavitt"/>
    <s v=""/>
    <n v="0"/>
    <n v="0"/>
    <n v="1"/>
    <n v="1"/>
    <s v="Low engagement"/>
    <b v="0"/>
    <b v="0"/>
    <b v="0"/>
    <x v="0"/>
  </r>
  <r>
    <s v="https://twitter.com/VW/status/620267125454667776"/>
    <s v="Volkswagen"/>
    <s v="@VW"/>
    <x v="252"/>
    <s v="2015-07-12T16:23:01.000Z"/>
    <x v="0"/>
    <x v="23"/>
    <s v="16:23:01"/>
    <x v="3"/>
    <s v="@dana_leavitt"/>
    <s v=""/>
    <n v="0"/>
    <n v="0"/>
    <n v="1"/>
    <n v="1"/>
    <s v="Low engagement"/>
    <b v="0"/>
    <b v="0"/>
    <b v="0"/>
    <x v="0"/>
  </r>
  <r>
    <s v="https://twitter.com/VW/status/620267130521415680"/>
    <s v="Volkswagen"/>
    <s v="@VW"/>
    <x v="253"/>
    <s v="2015-07-12T16:23:02.000Z"/>
    <x v="0"/>
    <x v="23"/>
    <s v="16:23:02"/>
    <x v="3"/>
    <s v="@Joc_Gee"/>
    <s v=""/>
    <n v="0"/>
    <n v="0"/>
    <n v="1"/>
    <n v="1"/>
    <s v="Low engagement"/>
    <b v="0"/>
    <b v="0"/>
    <b v="0"/>
    <x v="0"/>
  </r>
  <r>
    <s v="https://twitter.com/VW/status/620267128730464256"/>
    <s v="Volkswagen"/>
    <s v="@VW"/>
    <x v="254"/>
    <s v="2015-07-12T16:23:02.000Z"/>
    <x v="0"/>
    <x v="23"/>
    <s v="16:23:02"/>
    <x v="3"/>
    <s v="@Joc_Gee"/>
    <s v=""/>
    <n v="0"/>
    <n v="0"/>
    <n v="1"/>
    <n v="1"/>
    <s v="Low engagement"/>
    <b v="0"/>
    <b v="0"/>
    <b v="0"/>
    <x v="0"/>
  </r>
  <r>
    <s v="https://twitter.com/VW/status/620569623788793857"/>
    <s v="Volkswagen"/>
    <s v="@VW"/>
    <x v="255"/>
    <s v="2015-07-13T12:25:02.000Z"/>
    <x v="0"/>
    <x v="24"/>
    <s v="12:25:02"/>
    <x v="0"/>
    <s v="@KevinMo4351"/>
    <s v=""/>
    <n v="0"/>
    <n v="0"/>
    <n v="1"/>
    <n v="1"/>
    <s v="Low engagement"/>
    <b v="0"/>
    <b v="0"/>
    <b v="1"/>
    <x v="3"/>
  </r>
  <r>
    <s v="https://twitter.com/VW/status/620600379995099136"/>
    <s v="Volkswagen"/>
    <s v="@VW"/>
    <x v="256"/>
    <s v="2015-07-13T14:27:15.000Z"/>
    <x v="0"/>
    <x v="24"/>
    <s v="14:27:15"/>
    <x v="3"/>
    <s v=""/>
    <s v=""/>
    <n v="0"/>
    <n v="0"/>
    <n v="1"/>
    <n v="1"/>
    <s v="Low engagement"/>
    <b v="0"/>
    <b v="0"/>
    <b v="0"/>
    <x v="0"/>
  </r>
  <r>
    <s v="https://twitter.com/VW/status/620678663957184512"/>
    <s v="Volkswagen"/>
    <s v="@VW"/>
    <x v="257"/>
    <s v="2015-07-13T19:38:19.000Z"/>
    <x v="0"/>
    <x v="24"/>
    <s v="19:38:19"/>
    <x v="1"/>
    <s v=""/>
    <s v=""/>
    <n v="0"/>
    <n v="0"/>
    <n v="1"/>
    <n v="1"/>
    <s v="Low engagement"/>
    <b v="0"/>
    <b v="0"/>
    <b v="0"/>
    <x v="0"/>
  </r>
  <r>
    <s v="https://twitter.com/VW/status/620678665655877632"/>
    <s v="Volkswagen"/>
    <s v="@VW"/>
    <x v="258"/>
    <s v="2015-07-13T19:38:20.000Z"/>
    <x v="0"/>
    <x v="24"/>
    <s v="19:38:20"/>
    <x v="1"/>
    <s v=""/>
    <s v=""/>
    <n v="0"/>
    <n v="0"/>
    <n v="1"/>
    <n v="1"/>
    <s v="Low engagement"/>
    <b v="0"/>
    <b v="0"/>
    <b v="0"/>
    <x v="0"/>
  </r>
  <r>
    <s v="https://twitter.com/VW/status/620680450290233344"/>
    <s v="Volkswagen"/>
    <s v="@VW"/>
    <x v="259"/>
    <s v="2015-07-13T19:45:25.000Z"/>
    <x v="0"/>
    <x v="24"/>
    <s v="19:45:25"/>
    <x v="1"/>
    <s v="@cdfornya"/>
    <s v=""/>
    <n v="0"/>
    <n v="1"/>
    <n v="1"/>
    <n v="2"/>
    <s v="Low engagement"/>
    <b v="0"/>
    <b v="0"/>
    <b v="0"/>
    <x v="0"/>
  </r>
  <r>
    <s v="https://twitter.com/VW/status/620958408263471104"/>
    <s v="Volkswagen"/>
    <s v="@VW"/>
    <x v="260"/>
    <s v="2015-07-14T14:09:56.000Z"/>
    <x v="0"/>
    <x v="25"/>
    <s v="14:09:56"/>
    <x v="3"/>
    <s v=""/>
    <s v=""/>
    <n v="52"/>
    <n v="9"/>
    <n v="31"/>
    <n v="92"/>
    <s v="High engagement"/>
    <b v="1"/>
    <b v="1"/>
    <b v="1"/>
    <x v="1"/>
  </r>
  <r>
    <s v="https://twitter.com/VW/status/621041286875713536"/>
    <s v="Volkswagen"/>
    <s v="@VW"/>
    <x v="261"/>
    <s v="2015-07-14T19:39:15.000Z"/>
    <x v="0"/>
    <x v="25"/>
    <s v="19:39:15"/>
    <x v="1"/>
    <s v="@JohnSwafford13"/>
    <s v=""/>
    <n v="1"/>
    <n v="2"/>
    <n v="1"/>
    <n v="4"/>
    <s v="Low engagement"/>
    <b v="0"/>
    <b v="0"/>
    <b v="0"/>
    <x v="0"/>
  </r>
  <r>
    <s v="https://twitter.com/VW/status/621041283490975745"/>
    <s v="Volkswagen"/>
    <s v="@VW"/>
    <x v="262"/>
    <s v="2015-07-14T19:39:15.000Z"/>
    <x v="0"/>
    <x v="25"/>
    <s v="19:39:15"/>
    <x v="1"/>
    <s v="@JohnSwafford13"/>
    <s v=""/>
    <n v="1"/>
    <n v="0"/>
    <n v="1"/>
    <n v="2"/>
    <s v="Low engagement"/>
    <b v="0"/>
    <b v="0"/>
    <b v="0"/>
    <x v="0"/>
  </r>
  <r>
    <s v="https://twitter.com/VW/status/621044667426082816"/>
    <s v="Volkswagen"/>
    <s v="@VW"/>
    <x v="263"/>
    <s v="2015-07-14T19:52:41.000Z"/>
    <x v="0"/>
    <x v="25"/>
    <s v="19:52:41"/>
    <x v="1"/>
    <s v="@mason_aaron"/>
    <s v=""/>
    <n v="0"/>
    <n v="0"/>
    <n v="0"/>
    <n v="0"/>
    <s v="No engagement"/>
    <b v="0"/>
    <b v="0"/>
    <b v="0"/>
    <x v="0"/>
  </r>
  <r>
    <s v="https://twitter.com/VW/status/621071838441943040"/>
    <s v="Volkswagen"/>
    <s v="@VW"/>
    <x v="264"/>
    <s v="2015-07-14T21:40:39.000Z"/>
    <x v="0"/>
    <x v="25"/>
    <s v="21:40:39"/>
    <x v="1"/>
    <s v=""/>
    <s v=""/>
    <n v="0"/>
    <n v="0"/>
    <n v="0"/>
    <n v="0"/>
    <s v="No engagement"/>
    <b v="0"/>
    <b v="0"/>
    <b v="0"/>
    <x v="0"/>
  </r>
  <r>
    <s v="https://twitter.com/VW/status/621071841583456257"/>
    <s v="Volkswagen"/>
    <s v="@VW"/>
    <x v="265"/>
    <s v="2015-07-14T21:40:40.000Z"/>
    <x v="0"/>
    <x v="25"/>
    <s v="21:40:40"/>
    <x v="1"/>
    <s v="@MrBlank"/>
    <s v=""/>
    <n v="0"/>
    <n v="0"/>
    <n v="0"/>
    <n v="0"/>
    <s v="No engagement"/>
    <b v="0"/>
    <b v="0"/>
    <b v="0"/>
    <x v="0"/>
  </r>
  <r>
    <s v="https://twitter.com/VW/status/621071840279015424"/>
    <s v="Volkswagen"/>
    <s v="@VW"/>
    <x v="266"/>
    <s v="2015-07-14T21:40:40.000Z"/>
    <x v="0"/>
    <x v="25"/>
    <s v="21:40:40"/>
    <x v="1"/>
    <s v=""/>
    <s v=""/>
    <n v="0"/>
    <n v="0"/>
    <n v="0"/>
    <n v="0"/>
    <s v="No engagement"/>
    <b v="0"/>
    <b v="0"/>
    <b v="0"/>
    <x v="0"/>
  </r>
  <r>
    <s v="https://twitter.com/VW/status/621082613013331968"/>
    <s v="Volkswagen"/>
    <s v="@VW"/>
    <x v="267"/>
    <s v="2015-07-14T22:23:28.000Z"/>
    <x v="0"/>
    <x v="25"/>
    <s v="22:23:28"/>
    <x v="1"/>
    <s v="@_rickmoore_"/>
    <s v=""/>
    <n v="0"/>
    <n v="0"/>
    <n v="0"/>
    <n v="0"/>
    <s v="No engagement"/>
    <b v="0"/>
    <b v="0"/>
    <b v="0"/>
    <x v="0"/>
  </r>
  <r>
    <s v="https://twitter.com/VW/status/621082616507166721"/>
    <s v="Volkswagen"/>
    <s v="@VW"/>
    <x v="268"/>
    <s v="2015-07-14T22:23:29.000Z"/>
    <x v="0"/>
    <x v="25"/>
    <s v="22:23:29"/>
    <x v="1"/>
    <s v=""/>
    <s v=""/>
    <n v="0"/>
    <n v="0"/>
    <n v="0"/>
    <n v="0"/>
    <s v="No engagement"/>
    <b v="0"/>
    <b v="0"/>
    <b v="0"/>
    <x v="0"/>
  </r>
  <r>
    <s v="https://twitter.com/VW/status/621082615148232704"/>
    <s v="Volkswagen"/>
    <s v="@VW"/>
    <x v="269"/>
    <s v="2015-07-14T22:23:29.000Z"/>
    <x v="0"/>
    <x v="25"/>
    <s v="22:23:29"/>
    <x v="1"/>
    <s v="@_rickmoore_"/>
    <s v=""/>
    <n v="0"/>
    <n v="0"/>
    <n v="0"/>
    <n v="0"/>
    <s v="No engagement"/>
    <b v="0"/>
    <b v="0"/>
    <b v="0"/>
    <x v="0"/>
  </r>
  <r>
    <s v="https://twitter.com/VW/status/621082621469036544"/>
    <s v="Volkswagen"/>
    <s v="@VW"/>
    <x v="270"/>
    <s v="2015-07-14T22:23:30.000Z"/>
    <x v="0"/>
    <x v="25"/>
    <s v="22:23:30"/>
    <x v="1"/>
    <s v="@Mungub"/>
    <s v=""/>
    <n v="1"/>
    <n v="0"/>
    <n v="0"/>
    <n v="1"/>
    <s v="Low engagement"/>
    <b v="0"/>
    <b v="0"/>
    <b v="0"/>
    <x v="0"/>
  </r>
  <r>
    <s v="https://twitter.com/VW/status/621082619782926336"/>
    <s v="Volkswagen"/>
    <s v="@VW"/>
    <x v="271"/>
    <s v="2015-07-14T22:23:30.000Z"/>
    <x v="0"/>
    <x v="25"/>
    <s v="22:23:30"/>
    <x v="1"/>
    <s v="@kaharpe"/>
    <s v=""/>
    <n v="0"/>
    <n v="0"/>
    <n v="0"/>
    <n v="0"/>
    <s v="No engagement"/>
    <b v="0"/>
    <b v="0"/>
    <b v="0"/>
    <x v="0"/>
  </r>
  <r>
    <s v="https://twitter.com/VW/status/621082618474270722"/>
    <s v="Volkswagen"/>
    <s v="@VW"/>
    <x v="272"/>
    <s v="2015-07-14T22:23:30.000Z"/>
    <x v="0"/>
    <x v="25"/>
    <s v="22:23:30"/>
    <x v="1"/>
    <s v=""/>
    <s v=""/>
    <n v="0"/>
    <n v="0"/>
    <n v="0"/>
    <n v="0"/>
    <s v="No engagement"/>
    <b v="0"/>
    <b v="0"/>
    <b v="0"/>
    <x v="0"/>
  </r>
  <r>
    <s v="https://twitter.com/VW/status/621100845921275912"/>
    <s v="Volkswagen"/>
    <s v="@VW"/>
    <x v="273"/>
    <s v="2015-07-14T23:35:55.000Z"/>
    <x v="0"/>
    <x v="25"/>
    <s v="23:35:55"/>
    <x v="1"/>
    <s v="@TimBlaze"/>
    <s v=""/>
    <n v="0"/>
    <n v="0"/>
    <n v="0"/>
    <n v="0"/>
    <s v="No engagement"/>
    <b v="0"/>
    <b v="0"/>
    <b v="0"/>
    <x v="0"/>
  </r>
  <r>
    <s v="https://twitter.com/VW/status/621100844277067777"/>
    <s v="Volkswagen"/>
    <s v="@VW"/>
    <x v="274"/>
    <s v="2015-07-14T23:35:55.000Z"/>
    <x v="0"/>
    <x v="25"/>
    <s v="23:35:55"/>
    <x v="1"/>
    <s v="@TimBlaze"/>
    <s v=""/>
    <n v="0"/>
    <n v="0"/>
    <n v="0"/>
    <n v="0"/>
    <s v="No engagement"/>
    <b v="0"/>
    <b v="0"/>
    <b v="0"/>
    <x v="0"/>
  </r>
  <r>
    <s v="https://twitter.com/VW/status/621100848655921153"/>
    <s v="Volkswagen"/>
    <s v="@VW"/>
    <x v="275"/>
    <s v="2015-07-14T23:35:56.000Z"/>
    <x v="0"/>
    <x v="25"/>
    <s v="23:35:56"/>
    <x v="1"/>
    <s v=""/>
    <s v=""/>
    <n v="0"/>
    <n v="0"/>
    <n v="1"/>
    <n v="1"/>
    <s v="Low engagement"/>
    <b v="0"/>
    <b v="0"/>
    <b v="0"/>
    <x v="0"/>
  </r>
  <r>
    <s v="https://twitter.com/VW/status/621100847074705408"/>
    <s v="Volkswagen"/>
    <s v="@VW"/>
    <x v="276"/>
    <s v="2015-07-14T23:35:56.000Z"/>
    <x v="0"/>
    <x v="25"/>
    <s v="23:35:56"/>
    <x v="1"/>
    <s v="@cdengKSU"/>
    <s v=""/>
    <n v="0"/>
    <n v="0"/>
    <n v="1"/>
    <n v="1"/>
    <s v="Low engagement"/>
    <b v="0"/>
    <b v="0"/>
    <b v="0"/>
    <x v="0"/>
  </r>
  <r>
    <s v="https://twitter.com/VW/status/621106072271458304"/>
    <s v="Volkswagen"/>
    <s v="@VW"/>
    <x v="277"/>
    <s v="2015-07-14T23:56:41.000Z"/>
    <x v="0"/>
    <x v="25"/>
    <s v="23:56:41"/>
    <x v="1"/>
    <s v=""/>
    <s v=""/>
    <n v="0"/>
    <n v="0"/>
    <n v="1"/>
    <n v="1"/>
    <s v="Low engagement"/>
    <b v="0"/>
    <b v="0"/>
    <b v="0"/>
    <x v="0"/>
  </r>
  <r>
    <s v="https://twitter.com/VW/status/621119913839607808"/>
    <s v="Volkswagen"/>
    <s v="@VW"/>
    <x v="278"/>
    <s v="2015-07-15T00:51:41.000Z"/>
    <x v="0"/>
    <x v="26"/>
    <s v="00:51:41"/>
    <x v="4"/>
    <s v=""/>
    <s v=""/>
    <n v="0"/>
    <n v="0"/>
    <n v="1"/>
    <n v="1"/>
    <s v="Low engagement"/>
    <b v="0"/>
    <b v="0"/>
    <b v="0"/>
    <x v="0"/>
  </r>
  <r>
    <s v="https://twitter.com/VW/status/621318179961352193"/>
    <s v="Volkswagen"/>
    <s v="@VW"/>
    <x v="279"/>
    <s v="2015-07-15T13:59:32.000Z"/>
    <x v="0"/>
    <x v="26"/>
    <s v="13:59:32"/>
    <x v="0"/>
    <s v=""/>
    <s v=""/>
    <n v="10"/>
    <n v="1"/>
    <n v="4"/>
    <n v="15"/>
    <s v="High engagement"/>
    <b v="1"/>
    <b v="0"/>
    <b v="1"/>
    <x v="1"/>
  </r>
  <r>
    <s v="https://twitter.com/VW/status/621363696128905217"/>
    <s v="Volkswagen"/>
    <s v="@VW"/>
    <x v="280"/>
    <s v="2015-07-15T17:00:24.000Z"/>
    <x v="0"/>
    <x v="26"/>
    <s v="17:00:24"/>
    <x v="3"/>
    <s v=""/>
    <s v=""/>
    <n v="13"/>
    <n v="0"/>
    <n v="12"/>
    <n v="25"/>
    <s v="High engagement"/>
    <b v="0"/>
    <b v="0"/>
    <b v="0"/>
    <x v="0"/>
  </r>
  <r>
    <s v="https://twitter.com/VW/status/621380362866855936"/>
    <s v="Volkswagen"/>
    <s v="@VW"/>
    <x v="281"/>
    <s v="2015-07-15T18:06:37.000Z"/>
    <x v="0"/>
    <x v="26"/>
    <s v="18:06:37"/>
    <x v="1"/>
    <s v="@UglyGoatHerder"/>
    <s v=""/>
    <n v="0"/>
    <n v="0"/>
    <n v="0"/>
    <n v="0"/>
    <s v="No engagement"/>
    <b v="0"/>
    <b v="0"/>
    <b v="0"/>
    <x v="0"/>
  </r>
  <r>
    <s v="https://twitter.com/VW/status/621385773154078721"/>
    <s v="Volkswagen"/>
    <s v="@VW"/>
    <x v="282"/>
    <s v="2015-07-15T18:28:07.000Z"/>
    <x v="0"/>
    <x v="26"/>
    <s v="18:28:07"/>
    <x v="1"/>
    <s v="@cchamelin"/>
    <s v=""/>
    <n v="0"/>
    <n v="0"/>
    <n v="0"/>
    <n v="0"/>
    <s v="No engagement"/>
    <b v="0"/>
    <b v="0"/>
    <b v="0"/>
    <x v="0"/>
  </r>
  <r>
    <s v="https://twitter.com/VW/status/621385776815669250"/>
    <s v="Volkswagen"/>
    <s v="@VW"/>
    <x v="283"/>
    <s v="2015-07-15T18:28:08.000Z"/>
    <x v="0"/>
    <x v="26"/>
    <s v="18:28:08"/>
    <x v="1"/>
    <s v="@daddyrush_"/>
    <s v=""/>
    <n v="0"/>
    <n v="0"/>
    <n v="0"/>
    <n v="0"/>
    <s v="No engagement"/>
    <b v="0"/>
    <b v="0"/>
    <b v="0"/>
    <x v="0"/>
  </r>
  <r>
    <s v="https://twitter.com/VW/status/621388365464612864"/>
    <s v="Volkswagen"/>
    <s v="@VW"/>
    <x v="284"/>
    <s v="2015-07-15T18:38:25.000Z"/>
    <x v="0"/>
    <x v="26"/>
    <s v="18:38:25"/>
    <x v="1"/>
    <s v="@olygeeks"/>
    <s v=""/>
    <n v="0"/>
    <n v="0"/>
    <n v="0"/>
    <n v="0"/>
    <s v="No engagement"/>
    <b v="0"/>
    <b v="0"/>
    <b v="0"/>
    <x v="0"/>
  </r>
  <r>
    <s v="https://twitter.com/VW/status/621401468961058816"/>
    <s v="Volkswagen"/>
    <s v="@VW"/>
    <x v="285"/>
    <s v="2015-07-15T19:30:29.000Z"/>
    <x v="0"/>
    <x v="26"/>
    <s v="19:30:29"/>
    <x v="1"/>
    <s v="@kfishal"/>
    <s v=""/>
    <n v="1"/>
    <n v="0"/>
    <n v="1"/>
    <n v="2"/>
    <s v="Low engagement"/>
    <b v="0"/>
    <b v="0"/>
    <b v="0"/>
    <x v="0"/>
  </r>
  <r>
    <s v="https://twitter.com/VW/status/621401470416502784"/>
    <s v="Volkswagen"/>
    <s v="@VW"/>
    <x v="286"/>
    <s v="2015-07-15T19:30:30.000Z"/>
    <x v="0"/>
    <x v="26"/>
    <s v="19:30:30"/>
    <x v="1"/>
    <s v="@kfishal"/>
    <s v=""/>
    <n v="1"/>
    <n v="1"/>
    <n v="1"/>
    <n v="3"/>
    <s v="Low engagement"/>
    <b v="0"/>
    <b v="0"/>
    <b v="1"/>
    <x v="3"/>
  </r>
  <r>
    <s v="https://twitter.com/VW/status/621467550635937792"/>
    <s v="Volkswagen"/>
    <s v="@VW"/>
    <x v="287"/>
    <s v="2015-07-15T23:53:05.000Z"/>
    <x v="0"/>
    <x v="26"/>
    <s v="23:53:05"/>
    <x v="1"/>
    <s v=""/>
    <s v=""/>
    <n v="24"/>
    <n v="1"/>
    <n v="12"/>
    <n v="37"/>
    <s v="High engagement"/>
    <b v="1"/>
    <b v="0"/>
    <b v="0"/>
    <x v="1"/>
  </r>
  <r>
    <s v="https://twitter.com/VW/status/621494467187478528"/>
    <s v="Volkswagen"/>
    <s v="@VW"/>
    <x v="288"/>
    <s v="2015-07-16T01:40:02.000Z"/>
    <x v="0"/>
    <x v="27"/>
    <s v="01:40:02"/>
    <x v="4"/>
    <s v="@FranklinHolly"/>
    <s v=""/>
    <n v="1"/>
    <n v="0"/>
    <n v="2"/>
    <n v="3"/>
    <s v="Low engagement"/>
    <b v="0"/>
    <b v="0"/>
    <b v="0"/>
    <x v="0"/>
  </r>
  <r>
    <s v="https://twitter.com/VW/status/621494465404891136"/>
    <s v="Volkswagen"/>
    <s v="@VW"/>
    <x v="289"/>
    <s v="2015-07-16T01:40:02.000Z"/>
    <x v="0"/>
    <x v="27"/>
    <s v="01:40:02"/>
    <x v="4"/>
    <s v="@FranklinHolly"/>
    <s v=""/>
    <n v="1"/>
    <n v="0"/>
    <n v="2"/>
    <n v="3"/>
    <s v="Low engagement"/>
    <b v="0"/>
    <b v="0"/>
    <b v="0"/>
    <x v="0"/>
  </r>
  <r>
    <s v="https://twitter.com/VW/status/621655452288286720"/>
    <s v="Volkswagen"/>
    <s v="@VW"/>
    <x v="290"/>
    <s v="2015-07-16T12:19:44.000Z"/>
    <x v="0"/>
    <x v="27"/>
    <s v="12:19:44"/>
    <x v="0"/>
    <s v="@bicoastalwitch"/>
    <s v=""/>
    <n v="1"/>
    <n v="0"/>
    <n v="0"/>
    <n v="1"/>
    <s v="Low engagement"/>
    <b v="0"/>
    <b v="0"/>
    <b v="0"/>
    <x v="0"/>
  </r>
  <r>
    <s v="https://twitter.com/VW/status/621656382106808320"/>
    <s v="Volkswagen"/>
    <s v="@VW"/>
    <x v="291"/>
    <s v="2015-07-16T12:23:25.000Z"/>
    <x v="0"/>
    <x v="27"/>
    <s v="12:23:25"/>
    <x v="0"/>
    <s v="@scottmoberly"/>
    <s v=""/>
    <n v="1"/>
    <n v="0"/>
    <n v="0"/>
    <n v="1"/>
    <s v="Low engagement"/>
    <b v="0"/>
    <b v="0"/>
    <b v="0"/>
    <x v="0"/>
  </r>
  <r>
    <s v="https://twitter.com/VW/status/621656380064149505"/>
    <s v="Volkswagen"/>
    <s v="@VW"/>
    <x v="292"/>
    <s v="2015-07-16T12:23:25.000Z"/>
    <x v="0"/>
    <x v="27"/>
    <s v="12:23:25"/>
    <x v="0"/>
    <s v="@scottmoberly"/>
    <s v=""/>
    <n v="1"/>
    <n v="0"/>
    <n v="0"/>
    <n v="1"/>
    <s v="Low engagement"/>
    <b v="0"/>
    <b v="0"/>
    <b v="0"/>
    <x v="0"/>
  </r>
  <r>
    <s v="https://twitter.com/VW/status/621656378885541888"/>
    <s v="Volkswagen"/>
    <s v="@VW"/>
    <x v="293"/>
    <s v="2015-07-16T12:23:25.000Z"/>
    <x v="0"/>
    <x v="27"/>
    <s v="12:23:25"/>
    <x v="0"/>
    <s v="@bicoastalwitch"/>
    <s v=""/>
    <n v="1"/>
    <n v="1"/>
    <n v="0"/>
    <n v="2"/>
    <s v="Low engagement"/>
    <b v="0"/>
    <b v="0"/>
    <b v="0"/>
    <x v="0"/>
  </r>
  <r>
    <s v="https://twitter.com/VW/status/621657257533517825"/>
    <s v="Volkswagen"/>
    <s v="@VW"/>
    <x v="294"/>
    <s v="2015-07-16T12:26:54.000Z"/>
    <x v="0"/>
    <x v="27"/>
    <s v="12:26:54"/>
    <x v="0"/>
    <s v=""/>
    <s v=""/>
    <n v="1"/>
    <n v="0"/>
    <n v="0"/>
    <n v="1"/>
    <s v="Low engagement"/>
    <b v="0"/>
    <b v="0"/>
    <b v="1"/>
    <x v="3"/>
  </r>
  <r>
    <s v="https://twitter.com/VW/status/621657255193128960"/>
    <s v="Volkswagen"/>
    <s v="@VW"/>
    <x v="295"/>
    <s v="2015-07-16T12:26:54.000Z"/>
    <x v="0"/>
    <x v="27"/>
    <s v="12:26:54"/>
    <x v="0"/>
    <s v=""/>
    <s v=""/>
    <n v="1"/>
    <n v="0"/>
    <n v="0"/>
    <n v="1"/>
    <s v="Low engagement"/>
    <b v="0"/>
    <b v="0"/>
    <b v="0"/>
    <x v="0"/>
  </r>
  <r>
    <s v="https://twitter.com/VW/status/621657261325205504"/>
    <s v="Volkswagen"/>
    <s v="@VW"/>
    <x v="296"/>
    <s v="2015-07-16T12:26:55.000Z"/>
    <x v="0"/>
    <x v="27"/>
    <s v="12:26:55"/>
    <x v="0"/>
    <s v="@trager_emma"/>
    <s v=""/>
    <n v="1"/>
    <n v="0"/>
    <n v="0"/>
    <n v="1"/>
    <s v="Low engagement"/>
    <b v="0"/>
    <b v="0"/>
    <b v="0"/>
    <x v="0"/>
  </r>
  <r>
    <s v="https://twitter.com/VW/status/621657259618123776"/>
    <s v="Volkswagen"/>
    <s v="@VW"/>
    <x v="297"/>
    <s v="2015-07-16T12:26:55.000Z"/>
    <x v="0"/>
    <x v="27"/>
    <s v="12:26:55"/>
    <x v="0"/>
    <s v="@trager_emma"/>
    <s v=""/>
    <n v="1"/>
    <n v="0"/>
    <n v="0"/>
    <n v="1"/>
    <s v="Low engagement"/>
    <b v="0"/>
    <b v="0"/>
    <b v="0"/>
    <x v="0"/>
  </r>
  <r>
    <s v="https://twitter.com/VW/status/621731507019714560"/>
    <s v="Volkswagen"/>
    <s v="@VW"/>
    <x v="298"/>
    <s v="2015-07-16T17:21:57.000Z"/>
    <x v="0"/>
    <x v="27"/>
    <s v="17:21:57"/>
    <x v="3"/>
    <s v="@MeKnite"/>
    <s v=""/>
    <n v="1"/>
    <n v="0"/>
    <n v="1"/>
    <n v="2"/>
    <s v="Low engagement"/>
    <b v="0"/>
    <b v="0"/>
    <b v="1"/>
    <x v="3"/>
  </r>
  <r>
    <s v="https://twitter.com/VW/status/621836260475166720"/>
    <s v="Volkswagen"/>
    <s v="@VW"/>
    <x v="299"/>
    <s v="2015-07-17T00:18:12.000Z"/>
    <x v="0"/>
    <x v="28"/>
    <s v="00:18:12"/>
    <x v="4"/>
    <s v=""/>
    <s v=""/>
    <n v="42"/>
    <n v="0"/>
    <n v="10"/>
    <n v="52"/>
    <s v="High engagement"/>
    <b v="1"/>
    <b v="0"/>
    <b v="0"/>
    <x v="1"/>
  </r>
  <r>
    <s v="https://twitter.com/VW/status/621842158929063936"/>
    <s v="Volkswagen"/>
    <s v="@VW"/>
    <x v="300"/>
    <s v="2015-07-17T00:41:38.000Z"/>
    <x v="0"/>
    <x v="28"/>
    <s v="00:41:38"/>
    <x v="4"/>
    <s v=""/>
    <s v=""/>
    <n v="31"/>
    <n v="0"/>
    <n v="14"/>
    <n v="45"/>
    <s v="High engagement"/>
    <b v="1"/>
    <b v="0"/>
    <b v="0"/>
    <x v="1"/>
  </r>
  <r>
    <s v="https://twitter.com/VW/status/622022598503706624"/>
    <s v="Volkswagen"/>
    <s v="@VW"/>
    <x v="301"/>
    <s v="2015-07-17T12:38:38.000Z"/>
    <x v="0"/>
    <x v="28"/>
    <s v="12:38:38"/>
    <x v="0"/>
    <s v="@pgolo"/>
    <s v=""/>
    <n v="0"/>
    <n v="0"/>
    <n v="1"/>
    <n v="1"/>
    <s v="Low engagement"/>
    <b v="0"/>
    <b v="0"/>
    <b v="0"/>
    <x v="0"/>
  </r>
  <r>
    <s v="https://twitter.com/VW/status/622022596830171136"/>
    <s v="Volkswagen"/>
    <s v="@VW"/>
    <x v="302"/>
    <s v="2015-07-17T12:38:38.000Z"/>
    <x v="0"/>
    <x v="28"/>
    <s v="12:38:38"/>
    <x v="0"/>
    <s v="@pgolo"/>
    <s v=""/>
    <n v="0"/>
    <n v="0"/>
    <n v="0"/>
    <n v="0"/>
    <s v="No engagement"/>
    <b v="0"/>
    <b v="0"/>
    <b v="0"/>
    <x v="0"/>
  </r>
  <r>
    <s v="https://twitter.com/VW/status/622024721341751296"/>
    <s v="Volkswagen"/>
    <s v="@VW"/>
    <x v="303"/>
    <s v="2015-07-17T12:47:04.000Z"/>
    <x v="0"/>
    <x v="28"/>
    <s v="12:47:04"/>
    <x v="0"/>
    <s v=""/>
    <s v=""/>
    <n v="138"/>
    <n v="2"/>
    <n v="64"/>
    <n v="204"/>
    <s v="High engagement"/>
    <b v="1"/>
    <b v="0"/>
    <b v="1"/>
    <x v="1"/>
  </r>
  <r>
    <s v="https://twitter.com/VW/status/622083736709013504"/>
    <s v="Volkswagen"/>
    <s v="@VW"/>
    <x v="304"/>
    <s v="2015-07-17T16:41:35.000Z"/>
    <x v="0"/>
    <x v="28"/>
    <s v="16:41:35"/>
    <x v="3"/>
    <s v=""/>
    <s v=""/>
    <n v="68"/>
    <n v="0"/>
    <n v="22"/>
    <n v="90"/>
    <s v="High engagement"/>
    <b v="1"/>
    <b v="0"/>
    <b v="0"/>
    <x v="1"/>
  </r>
  <r>
    <s v="https://twitter.com/VW/status/622083905999474688"/>
    <s v="Volkswagen"/>
    <s v="@VW"/>
    <x v="305"/>
    <s v="2015-07-17T16:42:15.000Z"/>
    <x v="0"/>
    <x v="28"/>
    <s v="16:42:15"/>
    <x v="3"/>
    <s v=""/>
    <s v=""/>
    <n v="29"/>
    <n v="0"/>
    <n v="7"/>
    <n v="36"/>
    <s v="High engagement"/>
    <b v="1"/>
    <b v="0"/>
    <b v="1"/>
    <x v="1"/>
  </r>
  <r>
    <s v="https://twitter.com/VW/status/622085614511517700"/>
    <s v="Volkswagen"/>
    <s v="@VW"/>
    <x v="306"/>
    <s v="2015-07-17T16:49:02.000Z"/>
    <x v="0"/>
    <x v="28"/>
    <s v="16:49:02"/>
    <x v="3"/>
    <s v=""/>
    <s v=""/>
    <n v="9"/>
    <n v="0"/>
    <n v="8"/>
    <n v="17"/>
    <s v="High engagement"/>
    <b v="0"/>
    <b v="0"/>
    <b v="1"/>
    <x v="3"/>
  </r>
  <r>
    <s v="https://twitter.com/VW/status/622094128331911168"/>
    <s v="Volkswagen"/>
    <s v="@VW"/>
    <x v="307"/>
    <s v="2015-07-17T17:22:52.000Z"/>
    <x v="0"/>
    <x v="28"/>
    <s v="17:22:52"/>
    <x v="3"/>
    <s v="@KevinGibbsPGA"/>
    <s v=""/>
    <n v="1"/>
    <n v="0"/>
    <n v="0"/>
    <n v="1"/>
    <s v="Low engagement"/>
    <b v="0"/>
    <b v="0"/>
    <b v="0"/>
    <x v="0"/>
  </r>
  <r>
    <s v="https://twitter.com/VW/status/622094132811448320"/>
    <s v="Volkswagen"/>
    <s v="@VW"/>
    <x v="308"/>
    <s v="2015-07-17T17:22:53.000Z"/>
    <x v="0"/>
    <x v="28"/>
    <s v="17:22:53"/>
    <x v="3"/>
    <s v="@KevinGibbsPGA"/>
    <s v=""/>
    <n v="0"/>
    <n v="0"/>
    <n v="0"/>
    <n v="0"/>
    <s v="No engagement"/>
    <b v="0"/>
    <b v="0"/>
    <b v="0"/>
    <x v="0"/>
  </r>
  <r>
    <s v="https://twitter.com/VW/status/622106728046264320"/>
    <s v="Volkswagen"/>
    <s v="@VW"/>
    <x v="309"/>
    <s v="2015-07-17T18:12:56.000Z"/>
    <x v="0"/>
    <x v="28"/>
    <s v="18:12:56"/>
    <x v="1"/>
    <s v=""/>
    <s v=""/>
    <n v="0"/>
    <n v="0"/>
    <n v="0"/>
    <n v="0"/>
    <s v="No engagement"/>
    <b v="0"/>
    <b v="0"/>
    <b v="0"/>
    <x v="0"/>
  </r>
  <r>
    <s v="https://twitter.com/VW/status/622124982160748545"/>
    <s v="Volkswagen"/>
    <s v="@VW"/>
    <x v="310"/>
    <s v="2015-07-17T19:25:28.000Z"/>
    <x v="0"/>
    <x v="28"/>
    <s v="19:25:28"/>
    <x v="1"/>
    <s v=""/>
    <s v=""/>
    <n v="26"/>
    <n v="0"/>
    <n v="10"/>
    <n v="36"/>
    <s v="High engagement"/>
    <b v="1"/>
    <b v="0"/>
    <b v="0"/>
    <x v="1"/>
  </r>
  <r>
    <s v="https://twitter.com/VW/status/622125437376839681"/>
    <s v="Volkswagen"/>
    <s v="@VW"/>
    <x v="311"/>
    <s v="2015-07-17T19:27:17.000Z"/>
    <x v="0"/>
    <x v="28"/>
    <s v="19:27:17"/>
    <x v="1"/>
    <s v=""/>
    <s v=""/>
    <n v="49"/>
    <n v="2"/>
    <n v="22"/>
    <n v="73"/>
    <s v="High engagement"/>
    <b v="1"/>
    <b v="0"/>
    <b v="0"/>
    <x v="1"/>
  </r>
  <r>
    <s v="https://twitter.com/VW/status/622136820218863617"/>
    <s v="Volkswagen"/>
    <s v="@VW"/>
    <x v="312"/>
    <s v="2015-07-17T20:12:31.000Z"/>
    <x v="0"/>
    <x v="28"/>
    <s v="20:12:31"/>
    <x v="1"/>
    <s v=""/>
    <s v=""/>
    <n v="67"/>
    <n v="2"/>
    <n v="18"/>
    <n v="87"/>
    <s v="High engagement"/>
    <b v="1"/>
    <b v="0"/>
    <b v="0"/>
    <x v="1"/>
  </r>
  <r>
    <s v="https://twitter.com/VW/status/622148550026264576"/>
    <s v="Volkswagen"/>
    <s v="@VW"/>
    <x v="313"/>
    <s v="2015-07-17T20:59:07.000Z"/>
    <x v="0"/>
    <x v="28"/>
    <s v="20:59:07"/>
    <x v="1"/>
    <s v=""/>
    <s v=""/>
    <n v="65"/>
    <n v="0"/>
    <n v="14"/>
    <n v="79"/>
    <s v="High engagement"/>
    <b v="1"/>
    <b v="0"/>
    <b v="0"/>
    <x v="1"/>
  </r>
  <r>
    <s v="https://twitter.com/VW/status/622163482587361280"/>
    <s v="Volkswagen"/>
    <s v="@VW"/>
    <x v="314"/>
    <s v="2015-07-17T21:58:28.000Z"/>
    <x v="0"/>
    <x v="28"/>
    <s v="21:58:28"/>
    <x v="1"/>
    <s v=""/>
    <s v=""/>
    <n v="68"/>
    <n v="14"/>
    <n v="27"/>
    <n v="109"/>
    <s v="High engagement"/>
    <b v="1"/>
    <b v="0"/>
    <b v="0"/>
    <x v="1"/>
  </r>
  <r>
    <s v="https://twitter.com/VW/status/622187746292039680"/>
    <s v="Volkswagen"/>
    <s v="@VW"/>
    <x v="315"/>
    <s v="2015-07-17T23:34:53.000Z"/>
    <x v="0"/>
    <x v="28"/>
    <s v="23:34:53"/>
    <x v="1"/>
    <s v=""/>
    <s v=""/>
    <n v="19"/>
    <n v="0"/>
    <n v="6"/>
    <n v="25"/>
    <s v="High engagement"/>
    <b v="1"/>
    <b v="0"/>
    <b v="0"/>
    <x v="1"/>
  </r>
  <r>
    <s v="https://twitter.com/VW/status/622214738873724928"/>
    <s v="Volkswagen"/>
    <s v="@VW"/>
    <x v="316"/>
    <s v="2015-07-18T01:22:08.000Z"/>
    <x v="0"/>
    <x v="29"/>
    <s v="01:22:08"/>
    <x v="4"/>
    <s v="@911bris"/>
    <s v=""/>
    <n v="0"/>
    <n v="0"/>
    <n v="1"/>
    <n v="1"/>
    <s v="Low engagement"/>
    <b v="0"/>
    <b v="0"/>
    <b v="0"/>
    <x v="0"/>
  </r>
  <r>
    <s v="https://twitter.com/VW/status/622395047858802688"/>
    <s v="Volkswagen"/>
    <s v="@VW"/>
    <x v="317"/>
    <s v="2015-07-18T13:18:37.000Z"/>
    <x v="0"/>
    <x v="29"/>
    <s v="13:18:37"/>
    <x v="0"/>
    <s v=""/>
    <s v=""/>
    <n v="94"/>
    <n v="3"/>
    <n v="43"/>
    <n v="140"/>
    <s v="High engagement"/>
    <b v="1"/>
    <b v="0"/>
    <b v="0"/>
    <x v="1"/>
  </r>
  <r>
    <s v="https://twitter.com/VW/status/622403319466729472"/>
    <s v="Volkswagen"/>
    <s v="@VW"/>
    <x v="318"/>
    <s v="2015-07-18T13:51:29.000Z"/>
    <x v="0"/>
    <x v="29"/>
    <s v="13:51:29"/>
    <x v="0"/>
    <s v=""/>
    <s v=""/>
    <n v="56"/>
    <n v="3"/>
    <n v="23"/>
    <n v="82"/>
    <s v="High engagement"/>
    <b v="1"/>
    <b v="0"/>
    <b v="0"/>
    <x v="1"/>
  </r>
  <r>
    <s v="https://twitter.com/VW/status/622410961882886144"/>
    <s v="Volkswagen"/>
    <s v="@VW"/>
    <x v="319"/>
    <s v="2015-07-18T14:21:51.000Z"/>
    <x v="0"/>
    <x v="29"/>
    <s v="14:21:51"/>
    <x v="3"/>
    <s v=""/>
    <s v=""/>
    <n v="34"/>
    <n v="4"/>
    <n v="10"/>
    <n v="48"/>
    <s v="High engagement"/>
    <b v="1"/>
    <b v="0"/>
    <b v="0"/>
    <x v="1"/>
  </r>
  <r>
    <s v="https://twitter.com/VW/status/622418686821945344"/>
    <s v="Volkswagen"/>
    <s v="@VW"/>
    <x v="320"/>
    <s v="2015-07-18T14:52:33.000Z"/>
    <x v="0"/>
    <x v="29"/>
    <s v="14:52:33"/>
    <x v="3"/>
    <s v=""/>
    <s v=""/>
    <n v="55"/>
    <n v="1"/>
    <n v="20"/>
    <n v="76"/>
    <s v="High engagement"/>
    <b v="1"/>
    <b v="0"/>
    <b v="0"/>
    <x v="1"/>
  </r>
  <r>
    <s v="https://twitter.com/VW/status/622459970525605888"/>
    <s v="Volkswagen"/>
    <s v="@VW"/>
    <x v="321"/>
    <s v="2015-07-18T17:36:36.000Z"/>
    <x v="0"/>
    <x v="29"/>
    <s v="17:36:36"/>
    <x v="3"/>
    <s v=""/>
    <s v=""/>
    <n v="41"/>
    <n v="3"/>
    <n v="12"/>
    <n v="56"/>
    <s v="High engagement"/>
    <b v="1"/>
    <b v="0"/>
    <b v="0"/>
    <x v="1"/>
  </r>
  <r>
    <s v="https://twitter.com/VW/status/622463500175028224"/>
    <s v="Volkswagen"/>
    <s v="@VW"/>
    <x v="322"/>
    <s v="2015-07-18T17:50:37.000Z"/>
    <x v="0"/>
    <x v="29"/>
    <s v="17:50:37"/>
    <x v="3"/>
    <s v=""/>
    <s v=""/>
    <n v="8"/>
    <n v="1"/>
    <n v="5"/>
    <n v="14"/>
    <s v="High engagement"/>
    <b v="1"/>
    <b v="0"/>
    <b v="0"/>
    <x v="1"/>
  </r>
  <r>
    <s v="https://twitter.com/VW/status/622493288021557248"/>
    <s v="Volkswagen"/>
    <s v="@VW"/>
    <x v="323"/>
    <s v="2015-07-18T19:48:59.000Z"/>
    <x v="0"/>
    <x v="29"/>
    <s v="19:48:59"/>
    <x v="1"/>
    <s v=""/>
    <s v=""/>
    <n v="54"/>
    <n v="0"/>
    <n v="23"/>
    <n v="77"/>
    <s v="High engagement"/>
    <b v="1"/>
    <b v="0"/>
    <b v="0"/>
    <x v="1"/>
  </r>
  <r>
    <s v="https://twitter.com/VW/status/622502639905935364"/>
    <s v="Volkswagen"/>
    <s v="@VW"/>
    <x v="324"/>
    <s v="2015-07-18T20:26:09.000Z"/>
    <x v="0"/>
    <x v="29"/>
    <s v="20:26:09"/>
    <x v="1"/>
    <s v=""/>
    <s v=""/>
    <n v="161"/>
    <n v="11"/>
    <n v="95"/>
    <n v="267"/>
    <s v="High engagement"/>
    <b v="1"/>
    <b v="0"/>
    <b v="0"/>
    <x v="1"/>
  </r>
  <r>
    <s v="https://twitter.com/VW/status/622513287914221568"/>
    <s v="Volkswagen"/>
    <s v="@VW"/>
    <x v="325"/>
    <s v="2015-07-18T21:08:28.000Z"/>
    <x v="0"/>
    <x v="29"/>
    <s v="21:08:28"/>
    <x v="1"/>
    <s v=""/>
    <s v=""/>
    <n v="45"/>
    <n v="1"/>
    <n v="21"/>
    <n v="67"/>
    <s v="High engagement"/>
    <b v="1"/>
    <b v="0"/>
    <b v="0"/>
    <x v="1"/>
  </r>
  <r>
    <s v="https://twitter.com/VW/status/622522408264712192"/>
    <s v="Volkswagen"/>
    <s v="@VW"/>
    <x v="326"/>
    <s v="2015-07-18T21:44:42.000Z"/>
    <x v="0"/>
    <x v="29"/>
    <s v="21:44:42"/>
    <x v="1"/>
    <s v=""/>
    <s v=""/>
    <n v="68"/>
    <n v="2"/>
    <n v="38"/>
    <n v="108"/>
    <s v="High engagement"/>
    <b v="1"/>
    <b v="0"/>
    <b v="0"/>
    <x v="1"/>
  </r>
  <r>
    <s v="https://twitter.com/VW/status/622753152417329152"/>
    <s v="Volkswagen"/>
    <s v="@VW"/>
    <x v="327"/>
    <s v="2015-07-19T13:01:36.000Z"/>
    <x v="0"/>
    <x v="30"/>
    <s v="13:01:36"/>
    <x v="0"/>
    <s v=""/>
    <s v=""/>
    <n v="36"/>
    <n v="0"/>
    <n v="15"/>
    <n v="51"/>
    <s v="High engagement"/>
    <b v="1"/>
    <b v="0"/>
    <b v="0"/>
    <x v="1"/>
  </r>
  <r>
    <s v="https://twitter.com/VW/status/622763865009467392"/>
    <s v="Volkswagen"/>
    <s v="@VW"/>
    <x v="328"/>
    <s v="2015-07-19T13:44:10.000Z"/>
    <x v="0"/>
    <x v="30"/>
    <s v="13:44:10"/>
    <x v="0"/>
    <s v=""/>
    <s v=""/>
    <n v="45"/>
    <n v="0"/>
    <n v="18"/>
    <n v="63"/>
    <s v="High engagement"/>
    <b v="1"/>
    <b v="0"/>
    <b v="0"/>
    <x v="1"/>
  </r>
  <r>
    <s v="https://twitter.com/VW/status/622769388358365185"/>
    <s v="Volkswagen"/>
    <s v="@VW"/>
    <x v="329"/>
    <s v="2015-07-19T14:06:07.000Z"/>
    <x v="0"/>
    <x v="30"/>
    <s v="14:06:07"/>
    <x v="3"/>
    <s v=""/>
    <s v=""/>
    <n v="45"/>
    <n v="4"/>
    <n v="20"/>
    <n v="69"/>
    <s v="High engagement"/>
    <b v="1"/>
    <b v="0"/>
    <b v="0"/>
    <x v="1"/>
  </r>
  <r>
    <s v="https://twitter.com/VW/status/622783029245820928"/>
    <s v="Volkswagen"/>
    <s v="@VW"/>
    <x v="330"/>
    <s v="2015-07-19T15:00:19.000Z"/>
    <x v="0"/>
    <x v="30"/>
    <s v="15:00:19"/>
    <x v="3"/>
    <s v=""/>
    <s v=""/>
    <n v="34"/>
    <n v="1"/>
    <n v="15"/>
    <n v="50"/>
    <s v="High engagement"/>
    <b v="1"/>
    <b v="0"/>
    <b v="0"/>
    <x v="1"/>
  </r>
  <r>
    <s v="https://twitter.com/VW/status/622791238555705345"/>
    <s v="Volkswagen"/>
    <s v="@VW"/>
    <x v="331"/>
    <s v="2015-07-19T15:32:56.000Z"/>
    <x v="0"/>
    <x v="30"/>
    <s v="15:32:56"/>
    <x v="3"/>
    <s v=""/>
    <s v=""/>
    <n v="42"/>
    <n v="1"/>
    <n v="24"/>
    <n v="67"/>
    <s v="High engagement"/>
    <b v="1"/>
    <b v="0"/>
    <b v="0"/>
    <x v="1"/>
  </r>
  <r>
    <s v="https://twitter.com/VW/status/622806509563412480"/>
    <s v="Volkswagen"/>
    <s v="@VW"/>
    <x v="332"/>
    <s v="2015-07-19T16:33:37.000Z"/>
    <x v="0"/>
    <x v="30"/>
    <s v="16:33:37"/>
    <x v="3"/>
    <s v=""/>
    <s v=""/>
    <n v="40"/>
    <n v="1"/>
    <n v="20"/>
    <n v="61"/>
    <s v="High engagement"/>
    <b v="1"/>
    <b v="0"/>
    <b v="0"/>
    <x v="1"/>
  </r>
  <r>
    <s v="https://twitter.com/VW/status/622848508387831808"/>
    <s v="Volkswagen"/>
    <s v="@VW"/>
    <x v="333"/>
    <s v="2015-07-19T19:20:31.000Z"/>
    <x v="0"/>
    <x v="30"/>
    <s v="19:20:31"/>
    <x v="1"/>
    <s v=""/>
    <s v=""/>
    <n v="72"/>
    <n v="4"/>
    <n v="43"/>
    <n v="119"/>
    <s v="High engagement"/>
    <b v="1"/>
    <b v="0"/>
    <b v="0"/>
    <x v="1"/>
  </r>
  <r>
    <s v="https://twitter.com/VW/status/622856636416266240"/>
    <s v="Volkswagen"/>
    <s v="@VW"/>
    <x v="334"/>
    <s v="2015-07-19T19:52:48.000Z"/>
    <x v="0"/>
    <x v="30"/>
    <s v="19:52:48"/>
    <x v="1"/>
    <s v=""/>
    <s v=""/>
    <n v="101"/>
    <n v="4"/>
    <n v="74"/>
    <n v="179"/>
    <s v="High engagement"/>
    <b v="1"/>
    <b v="0"/>
    <b v="0"/>
    <x v="1"/>
  </r>
  <r>
    <s v="https://twitter.com/VW/status/622885435375755264"/>
    <s v="Volkswagen"/>
    <s v="@VW"/>
    <x v="335"/>
    <s v="2015-07-19T21:47:15.000Z"/>
    <x v="0"/>
    <x v="30"/>
    <s v="21:47:15"/>
    <x v="1"/>
    <s v=""/>
    <s v=""/>
    <n v="38"/>
    <n v="0"/>
    <n v="13"/>
    <n v="51"/>
    <s v="High engagement"/>
    <b v="1"/>
    <b v="0"/>
    <b v="0"/>
    <x v="1"/>
  </r>
  <r>
    <s v="https://twitter.com/VW/status/622896500763414529"/>
    <s v="Volkswagen"/>
    <s v="@VW"/>
    <x v="336"/>
    <s v="2015-07-19T22:31:13.000Z"/>
    <x v="0"/>
    <x v="30"/>
    <s v="22:31:13"/>
    <x v="1"/>
    <s v=""/>
    <s v=""/>
    <n v="108"/>
    <n v="5"/>
    <n v="85"/>
    <n v="198"/>
    <s v="High engagement"/>
    <b v="1"/>
    <b v="1"/>
    <b v="0"/>
    <x v="1"/>
  </r>
  <r>
    <s v="https://twitter.com/VW/status/623167831857762305"/>
    <s v="Volkswagen"/>
    <s v="@VW"/>
    <x v="337"/>
    <s v="2015-07-20T16:29:23.000Z"/>
    <x v="0"/>
    <x v="31"/>
    <s v="16:29:23"/>
    <x v="3"/>
    <s v="@taygillespie"/>
    <s v=""/>
    <n v="0"/>
    <n v="0"/>
    <n v="0"/>
    <n v="0"/>
    <s v="No engagement"/>
    <b v="0"/>
    <b v="0"/>
    <b v="0"/>
    <x v="0"/>
  </r>
  <r>
    <s v="https://twitter.com/VW/status/623167834621751296"/>
    <s v="Volkswagen"/>
    <s v="@VW"/>
    <x v="338"/>
    <s v="2015-07-20T16:29:24.000Z"/>
    <x v="0"/>
    <x v="31"/>
    <s v="16:29:24"/>
    <x v="3"/>
    <s v="@taygillespie"/>
    <s v=""/>
    <n v="0"/>
    <n v="0"/>
    <n v="0"/>
    <n v="0"/>
    <s v="No engagement"/>
    <b v="0"/>
    <b v="0"/>
    <b v="0"/>
    <x v="0"/>
  </r>
  <r>
    <s v="https://twitter.com/VW/status/623187239560843264"/>
    <s v="Volkswagen"/>
    <s v="@VW"/>
    <x v="339"/>
    <s v="2015-07-20T17:46:30.000Z"/>
    <x v="0"/>
    <x v="31"/>
    <s v="17:46:30"/>
    <x v="3"/>
    <s v="@JaimeVotaw"/>
    <s v=""/>
    <n v="1"/>
    <n v="1"/>
    <n v="0"/>
    <n v="2"/>
    <s v="Low engagement"/>
    <b v="0"/>
    <b v="0"/>
    <b v="0"/>
    <x v="0"/>
  </r>
  <r>
    <s v="https://twitter.com/VW/status/623187244057145345"/>
    <s v="Volkswagen"/>
    <s v="@VW"/>
    <x v="340"/>
    <s v="2015-07-20T17:46:31.000Z"/>
    <x v="0"/>
    <x v="31"/>
    <s v="17:46:31"/>
    <x v="3"/>
    <s v="@RichBecker"/>
    <s v=""/>
    <n v="2"/>
    <n v="0"/>
    <n v="0"/>
    <n v="2"/>
    <s v="Low engagement"/>
    <b v="0"/>
    <b v="0"/>
    <b v="0"/>
    <x v="0"/>
  </r>
  <r>
    <s v="https://twitter.com/VW/status/623187242039705600"/>
    <s v="Volkswagen"/>
    <s v="@VW"/>
    <x v="341"/>
    <s v="2015-07-20T17:46:31.000Z"/>
    <x v="0"/>
    <x v="31"/>
    <s v="17:46:31"/>
    <x v="3"/>
    <s v="@JaimeVotaw"/>
    <s v=""/>
    <n v="2"/>
    <n v="2"/>
    <n v="0"/>
    <n v="4"/>
    <s v="Low engagement"/>
    <b v="0"/>
    <b v="0"/>
    <b v="0"/>
    <x v="0"/>
  </r>
  <r>
    <s v="https://twitter.com/VW/status/623187250608640000"/>
    <s v="Volkswagen"/>
    <s v="@VW"/>
    <x v="342"/>
    <s v="2015-07-20T17:46:33.000Z"/>
    <x v="0"/>
    <x v="31"/>
    <s v="17:46:33"/>
    <x v="3"/>
    <s v="@vw32167"/>
    <s v=""/>
    <n v="0"/>
    <n v="1"/>
    <n v="0"/>
    <n v="1"/>
    <s v="Low engagement"/>
    <b v="0"/>
    <b v="0"/>
    <b v="0"/>
    <x v="0"/>
  </r>
  <r>
    <s v="https://twitter.com/VW/status/623187248964485120"/>
    <s v="Volkswagen"/>
    <s v="@VW"/>
    <x v="343"/>
    <s v="2015-07-20T17:46:33.000Z"/>
    <x v="0"/>
    <x v="31"/>
    <s v="17:46:33"/>
    <x v="3"/>
    <s v="@RichBecker"/>
    <s v=""/>
    <n v="2"/>
    <n v="1"/>
    <n v="0"/>
    <n v="3"/>
    <s v="Low engagement"/>
    <b v="0"/>
    <b v="0"/>
    <b v="1"/>
    <x v="3"/>
  </r>
  <r>
    <s v="https://twitter.com/VW/status/623187255075540992"/>
    <s v="Volkswagen"/>
    <s v="@VW"/>
    <x v="344"/>
    <s v="2015-07-20T17:46:34.000Z"/>
    <x v="0"/>
    <x v="31"/>
    <s v="17:46:34"/>
    <x v="3"/>
    <s v="@jason25cali"/>
    <s v=""/>
    <n v="0"/>
    <n v="0"/>
    <n v="0"/>
    <n v="0"/>
    <s v="No engagement"/>
    <b v="0"/>
    <b v="0"/>
    <b v="0"/>
    <x v="0"/>
  </r>
  <r>
    <s v="https://twitter.com/VW/status/623187253284597760"/>
    <s v="Volkswagen"/>
    <s v="@VW"/>
    <x v="345"/>
    <s v="2015-07-20T17:46:34.000Z"/>
    <x v="0"/>
    <x v="31"/>
    <s v="17:46:34"/>
    <x v="3"/>
    <s v="@vw32167"/>
    <s v=""/>
    <n v="0"/>
    <n v="1"/>
    <n v="0"/>
    <n v="1"/>
    <s v="Low engagement"/>
    <b v="0"/>
    <b v="0"/>
    <b v="0"/>
    <x v="0"/>
  </r>
  <r>
    <s v="https://twitter.com/VW/status/623187260133904384"/>
    <s v="Volkswagen"/>
    <s v="@VW"/>
    <x v="346"/>
    <s v="2015-07-20T17:46:35.000Z"/>
    <x v="0"/>
    <x v="31"/>
    <s v="17:46:35"/>
    <x v="3"/>
    <s v="@BHEC"/>
    <s v=""/>
    <n v="0"/>
    <n v="0"/>
    <n v="0"/>
    <n v="0"/>
    <s v="No engagement"/>
    <b v="0"/>
    <b v="0"/>
    <b v="0"/>
    <x v="0"/>
  </r>
  <r>
    <s v="https://twitter.com/VW/status/623187258405826560"/>
    <s v="Volkswagen"/>
    <s v="@VW"/>
    <x v="347"/>
    <s v="2015-07-20T17:46:35.000Z"/>
    <x v="0"/>
    <x v="31"/>
    <s v="17:46:35"/>
    <x v="3"/>
    <s v="@jason25cali"/>
    <s v=""/>
    <n v="0"/>
    <n v="0"/>
    <n v="0"/>
    <n v="0"/>
    <s v="No engagement"/>
    <b v="0"/>
    <b v="0"/>
    <b v="0"/>
    <x v="0"/>
  </r>
  <r>
    <s v="https://twitter.com/VW/status/623187264189825024"/>
    <s v="Volkswagen"/>
    <s v="@VW"/>
    <x v="348"/>
    <s v="2015-07-20T17:46:36.000Z"/>
    <x v="0"/>
    <x v="31"/>
    <s v="17:46:36"/>
    <x v="3"/>
    <s v="@BHEC"/>
    <s v=""/>
    <n v="0"/>
    <n v="0"/>
    <n v="0"/>
    <n v="0"/>
    <s v="No engagement"/>
    <b v="0"/>
    <b v="0"/>
    <b v="0"/>
    <x v="0"/>
  </r>
  <r>
    <s v="https://twitter.com/VW/status/623187267075510272"/>
    <s v="Volkswagen"/>
    <s v="@VW"/>
    <x v="349"/>
    <s v="2015-07-20T17:46:37.000Z"/>
    <x v="0"/>
    <x v="31"/>
    <s v="17:46:37"/>
    <x v="3"/>
    <s v=""/>
    <s v=""/>
    <n v="0"/>
    <n v="0"/>
    <n v="1"/>
    <n v="1"/>
    <s v="Low engagement"/>
    <b v="0"/>
    <b v="0"/>
    <b v="0"/>
    <x v="0"/>
  </r>
  <r>
    <s v="https://twitter.com/VW/status/623187271370477568"/>
    <s v="Volkswagen"/>
    <s v="@VW"/>
    <x v="350"/>
    <s v="2015-07-20T17:46:38.000Z"/>
    <x v="0"/>
    <x v="31"/>
    <s v="17:46:38"/>
    <x v="3"/>
    <s v=""/>
    <s v=""/>
    <n v="1"/>
    <n v="0"/>
    <n v="1"/>
    <n v="2"/>
    <s v="Low engagement"/>
    <b v="0"/>
    <b v="0"/>
    <b v="0"/>
    <x v="0"/>
  </r>
  <r>
    <s v="https://twitter.com/VW/status/623187275489251328"/>
    <s v="Volkswagen"/>
    <s v="@VW"/>
    <x v="351"/>
    <s v="2015-07-20T17:46:39.000Z"/>
    <x v="0"/>
    <x v="31"/>
    <s v="17:46:39"/>
    <x v="3"/>
    <s v=""/>
    <s v=""/>
    <n v="1"/>
    <n v="0"/>
    <n v="0"/>
    <n v="1"/>
    <s v="Low engagement"/>
    <b v="0"/>
    <b v="0"/>
    <b v="0"/>
    <x v="0"/>
  </r>
  <r>
    <s v="https://twitter.com/VW/status/623194077874425857"/>
    <s v="Volkswagen"/>
    <s v="@VW"/>
    <x v="352"/>
    <s v="2015-07-20T18:13:41.000Z"/>
    <x v="0"/>
    <x v="31"/>
    <s v="18:13:41"/>
    <x v="1"/>
    <s v="@EVossburg"/>
    <s v=""/>
    <n v="0"/>
    <n v="0"/>
    <n v="1"/>
    <n v="1"/>
    <s v="Low engagement"/>
    <b v="0"/>
    <b v="0"/>
    <b v="0"/>
    <x v="0"/>
  </r>
  <r>
    <s v="https://twitter.com/VW/status/623196873323581441"/>
    <s v="Volkswagen"/>
    <s v="@VW"/>
    <x v="353"/>
    <s v="2015-07-20T18:24:47.000Z"/>
    <x v="0"/>
    <x v="31"/>
    <s v="18:24:47"/>
    <x v="1"/>
    <s v=""/>
    <s v=""/>
    <n v="11"/>
    <n v="0"/>
    <n v="6"/>
    <n v="17"/>
    <s v="High engagement"/>
    <b v="0"/>
    <b v="0"/>
    <b v="1"/>
    <x v="3"/>
  </r>
  <r>
    <s v="https://twitter.com/VW/status/623357276712079360"/>
    <s v="Volkswagen"/>
    <s v="@VW"/>
    <x v="354"/>
    <s v="2015-07-21T05:02:10.000Z"/>
    <x v="0"/>
    <x v="32"/>
    <s v="05:02:10"/>
    <x v="4"/>
    <s v=""/>
    <s v=""/>
    <n v="23"/>
    <n v="2"/>
    <n v="17"/>
    <n v="42"/>
    <s v="High engagement"/>
    <b v="1"/>
    <b v="0"/>
    <b v="0"/>
    <x v="1"/>
  </r>
  <r>
    <s v="https://twitter.com/VW/status/623479291334955008"/>
    <s v="Volkswagen"/>
    <s v="@VW"/>
    <x v="355"/>
    <s v="2015-07-21T13:07:01.000Z"/>
    <x v="0"/>
    <x v="32"/>
    <s v="13:07:01"/>
    <x v="0"/>
    <s v=""/>
    <s v=""/>
    <n v="0"/>
    <n v="0"/>
    <n v="1"/>
    <n v="1"/>
    <s v="Low engagement"/>
    <b v="0"/>
    <b v="0"/>
    <b v="0"/>
    <x v="0"/>
  </r>
  <r>
    <s v="https://twitter.com/VW/status/623557102607298560"/>
    <s v="Volkswagen"/>
    <s v="@VW"/>
    <x v="356"/>
    <s v="2015-07-21T18:16:13.000Z"/>
    <x v="0"/>
    <x v="32"/>
    <s v="18:16:13"/>
    <x v="1"/>
    <s v="@JaimeVotaw"/>
    <s v=""/>
    <n v="0"/>
    <n v="0"/>
    <n v="0"/>
    <n v="0"/>
    <s v="No engagement"/>
    <b v="0"/>
    <b v="0"/>
    <b v="0"/>
    <x v="0"/>
  </r>
  <r>
    <s v="https://twitter.com/VW/status/623560702423252992"/>
    <s v="Volkswagen"/>
    <s v="@VW"/>
    <x v="357"/>
    <s v="2015-07-21T18:30:31.000Z"/>
    <x v="0"/>
    <x v="32"/>
    <s v="18:30:31"/>
    <x v="1"/>
    <s v="@gweniphur"/>
    <s v=""/>
    <n v="0"/>
    <n v="0"/>
    <n v="0"/>
    <n v="0"/>
    <s v="No engagement"/>
    <b v="0"/>
    <b v="0"/>
    <b v="0"/>
    <x v="0"/>
  </r>
  <r>
    <s v="https://twitter.com/VW/status/623562018684043264"/>
    <s v="Volkswagen"/>
    <s v="@VW"/>
    <x v="358"/>
    <s v="2015-07-21T18:35:45.000Z"/>
    <x v="0"/>
    <x v="32"/>
    <s v="18:35:45"/>
    <x v="1"/>
    <s v=""/>
    <s v=""/>
    <n v="14"/>
    <n v="1"/>
    <n v="10"/>
    <n v="25"/>
    <s v="High engagement"/>
    <b v="0"/>
    <b v="0"/>
    <b v="1"/>
    <x v="3"/>
  </r>
  <r>
    <s v="https://twitter.com/VW/status/623570002596098048"/>
    <s v="Volkswagen"/>
    <s v="@VW"/>
    <x v="359"/>
    <s v="2015-07-21T19:07:28.000Z"/>
    <x v="0"/>
    <x v="32"/>
    <s v="19:07:28"/>
    <x v="1"/>
    <s v="@melenagandara"/>
    <s v=""/>
    <n v="0"/>
    <n v="0"/>
    <n v="0"/>
    <n v="0"/>
    <s v="No engagement"/>
    <b v="0"/>
    <b v="0"/>
    <b v="0"/>
    <x v="0"/>
  </r>
  <r>
    <s v="https://twitter.com/VW/status/623570000742236160"/>
    <s v="Volkswagen"/>
    <s v="@VW"/>
    <x v="360"/>
    <s v="2015-07-21T19:07:28.000Z"/>
    <x v="0"/>
    <x v="32"/>
    <s v="19:07:28"/>
    <x v="1"/>
    <s v="@melenagandara"/>
    <s v=""/>
    <n v="0"/>
    <n v="0"/>
    <n v="0"/>
    <n v="0"/>
    <s v="No engagement"/>
    <b v="0"/>
    <b v="0"/>
    <b v="0"/>
    <x v="0"/>
  </r>
  <r>
    <s v="https://twitter.com/VW/status/623596890479681536"/>
    <s v="Volkswagen"/>
    <s v="@VW"/>
    <x v="361"/>
    <s v="2015-07-21T20:54:19.000Z"/>
    <x v="0"/>
    <x v="32"/>
    <s v="20:54:19"/>
    <x v="1"/>
    <s v=""/>
    <s v=""/>
    <n v="0"/>
    <n v="0"/>
    <n v="1"/>
    <n v="1"/>
    <s v="Low engagement"/>
    <b v="0"/>
    <b v="0"/>
    <b v="0"/>
    <x v="0"/>
  </r>
  <r>
    <s v="https://twitter.com/VW/status/623604635044065280"/>
    <s v="Volkswagen"/>
    <s v="@VW"/>
    <x v="362"/>
    <s v="2015-07-21T21:25:05.000Z"/>
    <x v="0"/>
    <x v="32"/>
    <s v="21:25:05"/>
    <x v="1"/>
    <s v=""/>
    <s v=""/>
    <n v="21"/>
    <n v="0"/>
    <n v="12"/>
    <n v="33"/>
    <s v="High engagement"/>
    <b v="1"/>
    <b v="0"/>
    <b v="1"/>
    <x v="1"/>
  </r>
  <r>
    <s v="https://twitter.com/VW/status/623607857846464512"/>
    <s v="Volkswagen"/>
    <s v="@VW"/>
    <x v="363"/>
    <s v="2015-07-21T21:37:54.000Z"/>
    <x v="0"/>
    <x v="32"/>
    <s v="21:37:54"/>
    <x v="1"/>
    <s v=""/>
    <s v=""/>
    <n v="51"/>
    <n v="0"/>
    <n v="17"/>
    <n v="68"/>
    <s v="High engagement"/>
    <b v="1"/>
    <b v="0"/>
    <b v="1"/>
    <x v="1"/>
  </r>
  <r>
    <s v="https://twitter.com/VW/status/623838540191784960"/>
    <s v="Volkswagen"/>
    <s v="@VW"/>
    <x v="364"/>
    <s v="2015-07-22T12:54:32.000Z"/>
    <x v="0"/>
    <x v="33"/>
    <s v="12:54:32"/>
    <x v="0"/>
    <s v="@Rockandbrock"/>
    <s v=""/>
    <n v="0"/>
    <n v="0"/>
    <n v="1"/>
    <n v="1"/>
    <s v="Low engagement"/>
    <b v="0"/>
    <b v="0"/>
    <b v="0"/>
    <x v="0"/>
  </r>
  <r>
    <s v="https://twitter.com/VW/status/623910261133438976"/>
    <s v="Volkswagen"/>
    <s v="@VW"/>
    <x v="365"/>
    <s v="2015-07-22T17:39:32.000Z"/>
    <x v="0"/>
    <x v="33"/>
    <s v="17:39:32"/>
    <x v="3"/>
    <s v=""/>
    <s v=""/>
    <n v="0"/>
    <n v="0"/>
    <n v="0"/>
    <n v="0"/>
    <s v="No engagement"/>
    <b v="0"/>
    <b v="0"/>
    <b v="0"/>
    <x v="0"/>
  </r>
  <r>
    <s v="https://twitter.com/VW/status/623910264136577024"/>
    <s v="Volkswagen"/>
    <s v="@VW"/>
    <x v="366"/>
    <s v="2015-07-22T17:39:33.000Z"/>
    <x v="0"/>
    <x v="33"/>
    <s v="17:39:33"/>
    <x v="3"/>
    <s v="@wrotte"/>
    <s v=""/>
    <n v="0"/>
    <n v="0"/>
    <n v="0"/>
    <n v="0"/>
    <s v="No engagement"/>
    <b v="0"/>
    <b v="0"/>
    <b v="0"/>
    <x v="0"/>
  </r>
  <r>
    <s v="https://twitter.com/VW/status/623940300440928257"/>
    <s v="Volkswagen"/>
    <s v="@VW"/>
    <x v="367"/>
    <s v="2015-07-22T19:38:54.000Z"/>
    <x v="0"/>
    <x v="33"/>
    <s v="19:38:54"/>
    <x v="1"/>
    <s v="@HungerfordKatie"/>
    <s v=""/>
    <n v="0"/>
    <n v="0"/>
    <n v="0"/>
    <n v="0"/>
    <s v="No engagement"/>
    <b v="0"/>
    <b v="0"/>
    <b v="0"/>
    <x v="0"/>
  </r>
  <r>
    <s v="https://twitter.com/VW/status/623949436327034880"/>
    <s v="Volkswagen"/>
    <s v="@VW"/>
    <x v="368"/>
    <s v="2015-07-22T20:15:12.000Z"/>
    <x v="0"/>
    <x v="33"/>
    <s v="20:15:12"/>
    <x v="1"/>
    <s v="@NathanD726"/>
    <s v=""/>
    <n v="0"/>
    <n v="0"/>
    <n v="0"/>
    <n v="0"/>
    <s v="No engagement"/>
    <b v="0"/>
    <b v="0"/>
    <b v="0"/>
    <x v="0"/>
  </r>
  <r>
    <s v="https://twitter.com/VW/status/623949440135491584"/>
    <s v="Volkswagen"/>
    <s v="@VW"/>
    <x v="369"/>
    <s v="2015-07-22T20:15:13.000Z"/>
    <x v="0"/>
    <x v="33"/>
    <s v="20:15:13"/>
    <x v="1"/>
    <s v="@NathanD726"/>
    <s v=""/>
    <n v="0"/>
    <n v="0"/>
    <n v="0"/>
    <n v="0"/>
    <s v="No engagement"/>
    <b v="0"/>
    <b v="0"/>
    <b v="0"/>
    <x v="0"/>
  </r>
  <r>
    <s v="https://twitter.com/VW/status/623951329208078336"/>
    <s v="Volkswagen"/>
    <s v="@VW"/>
    <x v="370"/>
    <s v="2015-07-22T20:22:43.000Z"/>
    <x v="0"/>
    <x v="33"/>
    <s v="20:22:43"/>
    <x v="1"/>
    <s v=""/>
    <s v=""/>
    <n v="0"/>
    <n v="0"/>
    <n v="1"/>
    <n v="1"/>
    <s v="Low engagement"/>
    <b v="0"/>
    <b v="0"/>
    <b v="0"/>
    <x v="0"/>
  </r>
  <r>
    <s v="https://twitter.com/VW/status/623951330550255616"/>
    <s v="Volkswagen"/>
    <s v="@VW"/>
    <x v="371"/>
    <s v="2015-07-22T20:22:44.000Z"/>
    <x v="0"/>
    <x v="33"/>
    <s v="20:22:44"/>
    <x v="1"/>
    <s v=""/>
    <s v=""/>
    <n v="0"/>
    <n v="0"/>
    <n v="1"/>
    <n v="1"/>
    <s v="Low engagement"/>
    <b v="0"/>
    <b v="0"/>
    <b v="0"/>
    <x v="0"/>
  </r>
  <r>
    <s v="https://twitter.com/VW/status/624021570751721473"/>
    <s v="Volkswagen"/>
    <s v="@VW"/>
    <x v="372"/>
    <s v="2015-07-23T01:01:50.000Z"/>
    <x v="0"/>
    <x v="34"/>
    <s v="01:01:50"/>
    <x v="4"/>
    <s v=""/>
    <s v=""/>
    <n v="31"/>
    <n v="2"/>
    <n v="14"/>
    <n v="47"/>
    <s v="High engagement"/>
    <b v="1"/>
    <b v="0"/>
    <b v="0"/>
    <x v="1"/>
  </r>
  <r>
    <s v="https://twitter.com/VW/status/624189579763957760"/>
    <s v="Volkswagen"/>
    <s v="@VW"/>
    <x v="373"/>
    <s v="2015-07-23T12:09:27.000Z"/>
    <x v="0"/>
    <x v="34"/>
    <s v="12:09:27"/>
    <x v="0"/>
    <s v="@fredguthrie"/>
    <s v=""/>
    <n v="0"/>
    <n v="1"/>
    <n v="0"/>
    <n v="1"/>
    <s v="Low engagement"/>
    <b v="0"/>
    <b v="0"/>
    <b v="0"/>
    <x v="0"/>
  </r>
  <r>
    <s v="https://twitter.com/VW/status/624194931817484288"/>
    <s v="Volkswagen"/>
    <s v="@VW"/>
    <x v="374"/>
    <s v="2015-07-23T12:30:43.000Z"/>
    <x v="0"/>
    <x v="34"/>
    <s v="12:30:43"/>
    <x v="0"/>
    <s v=""/>
    <s v=""/>
    <n v="0"/>
    <n v="0"/>
    <n v="0"/>
    <n v="0"/>
    <s v="No engagement"/>
    <b v="0"/>
    <b v="0"/>
    <b v="0"/>
    <x v="0"/>
  </r>
  <r>
    <s v="https://twitter.com/VW/status/624235152659619840"/>
    <s v="Volkswagen"/>
    <s v="@VW"/>
    <x v="375"/>
    <s v="2015-07-23T15:10:32.000Z"/>
    <x v="0"/>
    <x v="34"/>
    <s v="15:10:32"/>
    <x v="3"/>
    <s v=""/>
    <s v=""/>
    <n v="41"/>
    <n v="0"/>
    <n v="14"/>
    <n v="55"/>
    <s v="High engagement"/>
    <b v="1"/>
    <b v="0"/>
    <b v="0"/>
    <x v="1"/>
  </r>
  <r>
    <s v="https://twitter.com/VW/status/624251362226737152"/>
    <s v="Volkswagen"/>
    <s v="@VW"/>
    <x v="376"/>
    <s v="2015-07-23T16:14:57.000Z"/>
    <x v="0"/>
    <x v="34"/>
    <s v="16:14:57"/>
    <x v="3"/>
    <s v=""/>
    <s v=""/>
    <n v="0"/>
    <n v="0"/>
    <n v="0"/>
    <n v="0"/>
    <s v="No engagement"/>
    <b v="0"/>
    <b v="0"/>
    <b v="0"/>
    <x v="0"/>
  </r>
  <r>
    <s v="https://twitter.com/VW/status/624252265608581121"/>
    <s v="Volkswagen"/>
    <s v="@VW"/>
    <x v="377"/>
    <s v="2015-07-23T16:18:32.000Z"/>
    <x v="0"/>
    <x v="34"/>
    <s v="16:18:32"/>
    <x v="3"/>
    <s v="@VSVPMarky"/>
    <s v=""/>
    <n v="0"/>
    <n v="0"/>
    <n v="0"/>
    <n v="0"/>
    <s v="No engagement"/>
    <b v="0"/>
    <b v="0"/>
    <b v="0"/>
    <x v="0"/>
  </r>
  <r>
    <s v="https://twitter.com/VW/status/624271607779971072"/>
    <s v="Volkswagen"/>
    <s v="@VW"/>
    <x v="378"/>
    <s v="2015-07-23T17:35:24.000Z"/>
    <x v="0"/>
    <x v="34"/>
    <s v="17:35:24"/>
    <x v="3"/>
    <s v="@turtleboy925"/>
    <s v=""/>
    <n v="0"/>
    <n v="0"/>
    <n v="0"/>
    <n v="0"/>
    <s v="No engagement"/>
    <b v="0"/>
    <b v="0"/>
    <b v="0"/>
    <x v="0"/>
  </r>
  <r>
    <s v="https://twitter.com/VW/status/624271610539851776"/>
    <s v="Volkswagen"/>
    <s v="@VW"/>
    <x v="379"/>
    <s v="2015-07-23T17:35:25.000Z"/>
    <x v="0"/>
    <x v="34"/>
    <s v="17:35:25"/>
    <x v="3"/>
    <s v="@jbernardh"/>
    <s v=""/>
    <n v="0"/>
    <n v="1"/>
    <n v="1"/>
    <n v="2"/>
    <s v="Low engagement"/>
    <b v="0"/>
    <b v="0"/>
    <b v="0"/>
    <x v="0"/>
  </r>
  <r>
    <s v="https://twitter.com/VW/status/624272501451943936"/>
    <s v="Volkswagen"/>
    <s v="@VW"/>
    <x v="380"/>
    <s v="2015-07-23T17:38:57.000Z"/>
    <x v="0"/>
    <x v="34"/>
    <s v="17:38:57"/>
    <x v="3"/>
    <s v="@turtleboy925"/>
    <s v=""/>
    <n v="0"/>
    <n v="0"/>
    <n v="1"/>
    <n v="1"/>
    <s v="Low engagement"/>
    <b v="0"/>
    <b v="0"/>
    <b v="0"/>
    <x v="0"/>
  </r>
  <r>
    <s v="https://twitter.com/VW/status/624358364739432448"/>
    <s v="Volkswagen"/>
    <s v="@VW"/>
    <x v="381"/>
    <s v="2015-07-23T23:20:08.000Z"/>
    <x v="0"/>
    <x v="34"/>
    <s v="23:20:08"/>
    <x v="1"/>
    <s v=""/>
    <s v=""/>
    <n v="22"/>
    <n v="6"/>
    <n v="14"/>
    <n v="42"/>
    <s v="High engagement"/>
    <b v="1"/>
    <b v="1"/>
    <b v="0"/>
    <x v="1"/>
  </r>
  <r>
    <s v="https://twitter.com/VW/status/624593430845353986"/>
    <s v="Volkswagen"/>
    <s v="@VW"/>
    <x v="382"/>
    <s v="2015-07-24T14:54:12.000Z"/>
    <x v="0"/>
    <x v="35"/>
    <s v="14:54:12"/>
    <x v="3"/>
    <s v=""/>
    <s v=""/>
    <n v="29"/>
    <n v="1"/>
    <n v="14"/>
    <n v="44"/>
    <s v="High engagement"/>
    <b v="1"/>
    <b v="0"/>
    <b v="0"/>
    <x v="1"/>
  </r>
  <r>
    <s v="https://twitter.com/VW/status/624608865229746176"/>
    <s v="Volkswagen"/>
    <s v="@VW"/>
    <x v="383"/>
    <s v="2015-07-24T15:55:32.000Z"/>
    <x v="0"/>
    <x v="35"/>
    <s v="15:55:32"/>
    <x v="3"/>
    <s v=""/>
    <s v=""/>
    <n v="80"/>
    <n v="2"/>
    <n v="46"/>
    <n v="128"/>
    <s v="High engagement"/>
    <b v="1"/>
    <b v="0"/>
    <b v="0"/>
    <x v="1"/>
  </r>
  <r>
    <s v="https://twitter.com/VW/status/624618906527772672"/>
    <s v="Volkswagen"/>
    <s v="@VW"/>
    <x v="384"/>
    <s v="2015-07-24T16:35:26.000Z"/>
    <x v="0"/>
    <x v="35"/>
    <s v="16:35:26"/>
    <x v="3"/>
    <s v="@jenny_e_m"/>
    <s v=""/>
    <n v="0"/>
    <n v="0"/>
    <n v="0"/>
    <n v="0"/>
    <s v="No engagement"/>
    <b v="0"/>
    <b v="0"/>
    <b v="0"/>
    <x v="0"/>
  </r>
  <r>
    <s v="https://twitter.com/VW/status/624619823532642304"/>
    <s v="Volkswagen"/>
    <s v="@VW"/>
    <x v="385"/>
    <s v="2015-07-24T16:39:05.000Z"/>
    <x v="0"/>
    <x v="35"/>
    <s v="16:39:05"/>
    <x v="3"/>
    <s v="@ksanjay"/>
    <s v=""/>
    <n v="0"/>
    <n v="0"/>
    <n v="0"/>
    <n v="0"/>
    <s v="No engagement"/>
    <b v="0"/>
    <b v="0"/>
    <b v="0"/>
    <x v="0"/>
  </r>
  <r>
    <s v="https://twitter.com/VW/status/624620710862807041"/>
    <s v="Volkswagen"/>
    <s v="@VW"/>
    <x v="386"/>
    <s v="2015-07-24T16:42:37.000Z"/>
    <x v="0"/>
    <x v="35"/>
    <s v="16:42:37"/>
    <x v="3"/>
    <s v="@robinsuchan"/>
    <s v=""/>
    <n v="0"/>
    <n v="1"/>
    <n v="0"/>
    <n v="1"/>
    <s v="Low engagement"/>
    <b v="0"/>
    <b v="0"/>
    <b v="0"/>
    <x v="0"/>
  </r>
  <r>
    <s v="https://twitter.com/VW/status/624623403266281472"/>
    <s v="Volkswagen"/>
    <s v="@VW"/>
    <x v="387"/>
    <s v="2015-07-24T16:53:18.000Z"/>
    <x v="0"/>
    <x v="35"/>
    <s v="16:53:18"/>
    <x v="3"/>
    <s v=""/>
    <s v=""/>
    <n v="0"/>
    <n v="0"/>
    <n v="0"/>
    <n v="0"/>
    <s v="No engagement"/>
    <b v="0"/>
    <b v="0"/>
    <b v="0"/>
    <x v="0"/>
  </r>
  <r>
    <s v="https://twitter.com/VW/status/624623405019430912"/>
    <s v="Volkswagen"/>
    <s v="@VW"/>
    <x v="388"/>
    <s v="2015-07-24T16:53:19.000Z"/>
    <x v="0"/>
    <x v="35"/>
    <s v="16:53:19"/>
    <x v="3"/>
    <s v="@jbernardh"/>
    <s v=""/>
    <n v="0"/>
    <n v="0"/>
    <n v="1"/>
    <n v="1"/>
    <s v="Low engagement"/>
    <b v="0"/>
    <b v="0"/>
    <b v="0"/>
    <x v="0"/>
  </r>
  <r>
    <s v="https://twitter.com/VW/status/624643845817565184"/>
    <s v="Volkswagen"/>
    <s v="@VW"/>
    <x v="389"/>
    <s v="2015-07-24T18:14:32.000Z"/>
    <x v="0"/>
    <x v="35"/>
    <s v="18:14:32"/>
    <x v="1"/>
    <s v=""/>
    <s v=""/>
    <n v="24"/>
    <n v="0"/>
    <n v="10"/>
    <n v="34"/>
    <s v="High engagement"/>
    <b v="1"/>
    <b v="0"/>
    <b v="0"/>
    <x v="1"/>
  </r>
  <r>
    <s v="https://twitter.com/VW/status/624647334434074624"/>
    <s v="Volkswagen"/>
    <s v="@VW"/>
    <x v="390"/>
    <s v="2015-07-24T18:28:24.000Z"/>
    <x v="0"/>
    <x v="35"/>
    <s v="18:28:24"/>
    <x v="1"/>
    <s v=""/>
    <s v=""/>
    <n v="38"/>
    <n v="0"/>
    <n v="24"/>
    <n v="62"/>
    <s v="High engagement"/>
    <b v="1"/>
    <b v="0"/>
    <b v="0"/>
    <x v="1"/>
  </r>
  <r>
    <s v="https://twitter.com/VW/status/624659793228095488"/>
    <s v="Volkswagen"/>
    <s v="@VW"/>
    <x v="391"/>
    <s v="2015-07-24T19:17:54.000Z"/>
    <x v="0"/>
    <x v="35"/>
    <s v="19:17:54"/>
    <x v="1"/>
    <s v=""/>
    <s v=""/>
    <n v="50"/>
    <n v="1"/>
    <n v="25"/>
    <n v="76"/>
    <s v="High engagement"/>
    <b v="1"/>
    <b v="0"/>
    <b v="0"/>
    <x v="1"/>
  </r>
  <r>
    <s v="https://twitter.com/VW/status/624668907287089152"/>
    <s v="Volkswagen"/>
    <s v="@VW"/>
    <x v="392"/>
    <s v="2015-07-24T19:54:07.000Z"/>
    <x v="0"/>
    <x v="35"/>
    <s v="19:54:07"/>
    <x v="1"/>
    <s v="@JLCBeck"/>
    <s v=""/>
    <n v="0"/>
    <n v="1"/>
    <n v="1"/>
    <n v="2"/>
    <s v="Low engagement"/>
    <b v="0"/>
    <b v="0"/>
    <b v="0"/>
    <x v="0"/>
  </r>
  <r>
    <s v="https://twitter.com/VW/status/624951925528604672"/>
    <s v="Volkswagen"/>
    <s v="@VW"/>
    <x v="393"/>
    <s v="2015-07-25T14:38:44.000Z"/>
    <x v="0"/>
    <x v="36"/>
    <s v="14:38:44"/>
    <x v="3"/>
    <s v="@stonecolddivaa"/>
    <s v=""/>
    <n v="0"/>
    <n v="0"/>
    <n v="0"/>
    <n v="0"/>
    <s v="No engagement"/>
    <b v="0"/>
    <b v="0"/>
    <b v="0"/>
    <x v="0"/>
  </r>
  <r>
    <s v="https://twitter.com/VW/status/624953686712676352"/>
    <s v="Volkswagen"/>
    <s v="@VW"/>
    <x v="394"/>
    <s v="2015-07-25T14:45:44.000Z"/>
    <x v="0"/>
    <x v="36"/>
    <s v="14:45:44"/>
    <x v="3"/>
    <s v=""/>
    <s v=""/>
    <n v="0"/>
    <n v="0"/>
    <n v="1"/>
    <n v="1"/>
    <s v="Low engagement"/>
    <b v="0"/>
    <b v="0"/>
    <b v="0"/>
    <x v="0"/>
  </r>
  <r>
    <s v="https://twitter.com/VW/status/624953685064335360"/>
    <s v="Volkswagen"/>
    <s v="@VW"/>
    <x v="395"/>
    <s v="2015-07-25T14:45:44.000Z"/>
    <x v="0"/>
    <x v="36"/>
    <s v="14:45:44"/>
    <x v="3"/>
    <s v="@elpalmisano"/>
    <s v=""/>
    <n v="1"/>
    <n v="1"/>
    <n v="0"/>
    <n v="2"/>
    <s v="Low engagement"/>
    <b v="0"/>
    <b v="0"/>
    <b v="0"/>
    <x v="0"/>
  </r>
  <r>
    <s v="https://twitter.com/VW/status/624957215309369344"/>
    <s v="Volkswagen"/>
    <s v="@VW"/>
    <x v="396"/>
    <s v="2015-07-25T14:59:45.000Z"/>
    <x v="0"/>
    <x v="36"/>
    <s v="14:59:45"/>
    <x v="3"/>
    <s v="@kaybrown6791"/>
    <s v=""/>
    <n v="0"/>
    <n v="0"/>
    <n v="0"/>
    <n v="0"/>
    <s v="No engagement"/>
    <b v="0"/>
    <b v="0"/>
    <b v="1"/>
    <x v="3"/>
  </r>
  <r>
    <s v="https://twitter.com/VW/status/624960768581091328"/>
    <s v="Volkswagen"/>
    <s v="@VW"/>
    <x v="397"/>
    <s v="2015-07-25T15:13:53.000Z"/>
    <x v="0"/>
    <x v="36"/>
    <s v="15:13:53"/>
    <x v="3"/>
    <s v=""/>
    <s v=""/>
    <n v="0"/>
    <n v="0"/>
    <n v="1"/>
    <n v="1"/>
    <s v="Low engagement"/>
    <b v="0"/>
    <b v="0"/>
    <b v="0"/>
    <x v="0"/>
  </r>
  <r>
    <s v="https://twitter.com/VW/status/624971811730628608"/>
    <s v="Volkswagen"/>
    <s v="@VW"/>
    <x v="398"/>
    <s v="2015-07-25T15:57:45.000Z"/>
    <x v="0"/>
    <x v="36"/>
    <s v="15:57:45"/>
    <x v="3"/>
    <s v=""/>
    <s v=""/>
    <n v="15"/>
    <n v="0"/>
    <n v="9"/>
    <n v="24"/>
    <s v="High engagement"/>
    <b v="1"/>
    <b v="0"/>
    <b v="0"/>
    <x v="1"/>
  </r>
  <r>
    <s v="https://twitter.com/VW/status/624978086560464896"/>
    <s v="Volkswagen"/>
    <s v="@VW"/>
    <x v="399"/>
    <s v="2015-07-25T16:22:42.000Z"/>
    <x v="0"/>
    <x v="36"/>
    <s v="16:22:42"/>
    <x v="3"/>
    <s v=""/>
    <s v=""/>
    <n v="13"/>
    <n v="0"/>
    <n v="7"/>
    <n v="20"/>
    <s v="High engagement"/>
    <b v="1"/>
    <b v="0"/>
    <b v="0"/>
    <x v="1"/>
  </r>
  <r>
    <s v="https://twitter.com/VW/status/624982966926770176"/>
    <s v="Volkswagen"/>
    <s v="@VW"/>
    <x v="400"/>
    <s v="2015-07-25T16:42:05.000Z"/>
    <x v="0"/>
    <x v="36"/>
    <s v="16:42:05"/>
    <x v="3"/>
    <s v=""/>
    <s v=""/>
    <n v="19"/>
    <n v="1"/>
    <n v="5"/>
    <n v="25"/>
    <s v="High engagement"/>
    <b v="1"/>
    <b v="0"/>
    <b v="0"/>
    <x v="1"/>
  </r>
  <r>
    <s v="https://twitter.com/VW/status/624997011184488448"/>
    <s v="Volkswagen"/>
    <s v="@VW"/>
    <x v="401"/>
    <s v="2015-07-25T17:37:54.000Z"/>
    <x v="0"/>
    <x v="36"/>
    <s v="17:37:54"/>
    <x v="3"/>
    <s v=""/>
    <s v=""/>
    <n v="28"/>
    <n v="0"/>
    <n v="10"/>
    <n v="38"/>
    <s v="High engagement"/>
    <b v="1"/>
    <b v="0"/>
    <b v="0"/>
    <x v="1"/>
  </r>
  <r>
    <s v="https://twitter.com/VW/status/625013635203624960"/>
    <s v="Volkswagen"/>
    <s v="@VW"/>
    <x v="402"/>
    <s v="2015-07-25T18:43:57.000Z"/>
    <x v="0"/>
    <x v="36"/>
    <s v="18:43:57"/>
    <x v="1"/>
    <s v=""/>
    <s v=""/>
    <n v="93"/>
    <n v="1"/>
    <n v="30"/>
    <n v="124"/>
    <s v="High engagement"/>
    <b v="1"/>
    <b v="0"/>
    <b v="0"/>
    <x v="1"/>
  </r>
  <r>
    <s v="https://twitter.com/VW/status/625065238623158272"/>
    <s v="Volkswagen"/>
    <s v="@VW"/>
    <x v="403"/>
    <s v="2015-07-25T22:09:00.000Z"/>
    <x v="0"/>
    <x v="36"/>
    <s v="22:09:00"/>
    <x v="1"/>
    <s v=""/>
    <s v=""/>
    <n v="10"/>
    <n v="1"/>
    <n v="8"/>
    <n v="19"/>
    <s v="High engagement"/>
    <b v="1"/>
    <b v="0"/>
    <b v="0"/>
    <x v="1"/>
  </r>
  <r>
    <s v="https://twitter.com/VW/status/625320133960028160"/>
    <s v="Volkswagen"/>
    <s v="@VW"/>
    <x v="404"/>
    <s v="2015-07-26T15:01:52.000Z"/>
    <x v="0"/>
    <x v="37"/>
    <s v="15:01:52"/>
    <x v="3"/>
    <s v=""/>
    <s v=""/>
    <n v="22"/>
    <n v="0"/>
    <n v="14"/>
    <n v="36"/>
    <s v="High engagement"/>
    <b v="1"/>
    <b v="0"/>
    <b v="0"/>
    <x v="1"/>
  </r>
  <r>
    <s v="https://twitter.com/VW/status/625321329277968385"/>
    <s v="Volkswagen"/>
    <s v="@VW"/>
    <x v="405"/>
    <s v="2015-07-26T15:06:37.000Z"/>
    <x v="0"/>
    <x v="37"/>
    <s v="15:06:37"/>
    <x v="3"/>
    <s v=""/>
    <s v=""/>
    <n v="44"/>
    <n v="3"/>
    <n v="27"/>
    <n v="74"/>
    <s v="High engagement"/>
    <b v="1"/>
    <b v="0"/>
    <b v="0"/>
    <x v="1"/>
  </r>
  <r>
    <s v="https://twitter.com/VW/status/625321997342507008"/>
    <s v="Volkswagen"/>
    <s v="@VW"/>
    <x v="406"/>
    <s v="2015-07-26T15:09:16.000Z"/>
    <x v="0"/>
    <x v="37"/>
    <s v="15:09:16"/>
    <x v="3"/>
    <s v=""/>
    <s v=""/>
    <n v="21"/>
    <n v="0"/>
    <n v="16"/>
    <n v="37"/>
    <s v="High engagement"/>
    <b v="1"/>
    <b v="0"/>
    <b v="0"/>
    <x v="1"/>
  </r>
  <r>
    <s v="https://twitter.com/VW/status/625337990424993792"/>
    <s v="Volkswagen"/>
    <s v="@VW"/>
    <x v="407"/>
    <s v="2015-07-26T16:12:49.000Z"/>
    <x v="0"/>
    <x v="37"/>
    <s v="16:12:49"/>
    <x v="3"/>
    <s v=""/>
    <s v=""/>
    <n v="11"/>
    <n v="0"/>
    <n v="6"/>
    <n v="17"/>
    <s v="High engagement"/>
    <b v="1"/>
    <b v="0"/>
    <b v="0"/>
    <x v="1"/>
  </r>
  <r>
    <s v="https://twitter.com/VW/status/625344880924065792"/>
    <s v="Volkswagen"/>
    <s v="@VW"/>
    <x v="408"/>
    <s v="2015-07-26T16:40:12.000Z"/>
    <x v="0"/>
    <x v="37"/>
    <s v="16:40:12"/>
    <x v="3"/>
    <s v=""/>
    <s v=""/>
    <n v="62"/>
    <n v="8"/>
    <n v="17"/>
    <n v="87"/>
    <s v="High engagement"/>
    <b v="1"/>
    <b v="0"/>
    <b v="0"/>
    <x v="1"/>
  </r>
  <r>
    <s v="https://twitter.com/VW/status/625349566737551361"/>
    <s v="Volkswagen"/>
    <s v="@VW"/>
    <x v="409"/>
    <s v="2015-07-26T16:58:49.000Z"/>
    <x v="0"/>
    <x v="37"/>
    <s v="16:58:49"/>
    <x v="3"/>
    <s v=""/>
    <s v=""/>
    <n v="27"/>
    <n v="0"/>
    <n v="11"/>
    <n v="38"/>
    <s v="High engagement"/>
    <b v="1"/>
    <b v="0"/>
    <b v="0"/>
    <x v="1"/>
  </r>
  <r>
    <s v="https://twitter.com/VW/status/625356085420027908"/>
    <s v="Volkswagen"/>
    <s v="@VW"/>
    <x v="410"/>
    <s v="2015-07-26T17:24:43.000Z"/>
    <x v="0"/>
    <x v="37"/>
    <s v="17:24:43"/>
    <x v="3"/>
    <s v=""/>
    <s v=""/>
    <n v="23"/>
    <n v="0"/>
    <n v="11"/>
    <n v="34"/>
    <s v="High engagement"/>
    <b v="1"/>
    <b v="0"/>
    <b v="0"/>
    <x v="1"/>
  </r>
  <r>
    <s v="https://twitter.com/VW/status/625359161782616064"/>
    <s v="Volkswagen"/>
    <s v="@VW"/>
    <x v="411"/>
    <s v="2015-07-26T17:36:57.000Z"/>
    <x v="0"/>
    <x v="37"/>
    <s v="17:36:57"/>
    <x v="3"/>
    <s v=""/>
    <s v=""/>
    <n v="27"/>
    <n v="0"/>
    <n v="14"/>
    <n v="41"/>
    <s v="High engagement"/>
    <b v="1"/>
    <b v="0"/>
    <b v="0"/>
    <x v="1"/>
  </r>
  <r>
    <s v="https://twitter.com/VW/status/625367700613767169"/>
    <s v="Volkswagen"/>
    <s v="@VW"/>
    <x v="412"/>
    <s v="2015-07-26T18:10:53.000Z"/>
    <x v="0"/>
    <x v="37"/>
    <s v="18:10:53"/>
    <x v="1"/>
    <s v=""/>
    <s v=""/>
    <n v="60"/>
    <n v="3"/>
    <n v="35"/>
    <n v="98"/>
    <s v="High engagement"/>
    <b v="1"/>
    <b v="0"/>
    <b v="0"/>
    <x v="1"/>
  </r>
  <r>
    <s v="https://twitter.com/VW/status/625383921564426241"/>
    <s v="Volkswagen"/>
    <s v="@VW"/>
    <x v="413"/>
    <s v="2015-07-26T19:15:20.000Z"/>
    <x v="0"/>
    <x v="37"/>
    <s v="19:15:20"/>
    <x v="1"/>
    <s v=""/>
    <s v=""/>
    <n v="37"/>
    <n v="1"/>
    <n v="10"/>
    <n v="48"/>
    <s v="High engagement"/>
    <b v="1"/>
    <b v="0"/>
    <b v="0"/>
    <x v="1"/>
  </r>
  <r>
    <s v="https://twitter.com/VW/status/625426143319953408"/>
    <s v="Volkswagen"/>
    <s v="@VW"/>
    <x v="414"/>
    <s v="2015-07-26T22:03:07.000Z"/>
    <x v="0"/>
    <x v="37"/>
    <s v="22:03:07"/>
    <x v="1"/>
    <s v="@DarwynZ"/>
    <s v=""/>
    <n v="0"/>
    <n v="0"/>
    <n v="1"/>
    <n v="1"/>
    <s v="Low engagement"/>
    <b v="0"/>
    <b v="0"/>
    <b v="0"/>
    <x v="0"/>
  </r>
  <r>
    <s v="https://twitter.com/VW/status/625426362849980416"/>
    <s v="Volkswagen"/>
    <s v="@VW"/>
    <x v="415"/>
    <s v="2015-07-26T22:03:59.000Z"/>
    <x v="0"/>
    <x v="37"/>
    <s v="22:03:59"/>
    <x v="1"/>
    <s v=""/>
    <s v=""/>
    <n v="119"/>
    <n v="2"/>
    <n v="49"/>
    <n v="170"/>
    <s v="High engagement"/>
    <b v="1"/>
    <b v="0"/>
    <b v="0"/>
    <x v="1"/>
  </r>
  <r>
    <s v="https://twitter.com/VW/status/625432975023321088"/>
    <s v="Volkswagen"/>
    <s v="@VW"/>
    <x v="416"/>
    <s v="2015-07-26T22:30:15.000Z"/>
    <x v="0"/>
    <x v="37"/>
    <s v="22:30:15"/>
    <x v="1"/>
    <s v="@jameswendt"/>
    <s v=""/>
    <n v="1"/>
    <n v="1"/>
    <n v="1"/>
    <n v="3"/>
    <s v="Low engagement"/>
    <b v="0"/>
    <b v="0"/>
    <b v="0"/>
    <x v="0"/>
  </r>
  <r>
    <s v="https://twitter.com/VW/status/626001218192539648"/>
    <s v="Volkswagen"/>
    <s v="@VW"/>
    <x v="417"/>
    <s v="2015-07-28T12:08:15.000Z"/>
    <x v="0"/>
    <x v="38"/>
    <s v="12:08:15"/>
    <x v="0"/>
    <s v="@Grey_Books"/>
    <s v=""/>
    <n v="0"/>
    <n v="1"/>
    <n v="0"/>
    <n v="1"/>
    <s v="Low engagement"/>
    <b v="0"/>
    <b v="0"/>
    <b v="0"/>
    <x v="0"/>
  </r>
  <r>
    <s v="https://twitter.com/VW/status/626001216678432768"/>
    <s v="Volkswagen"/>
    <s v="@VW"/>
    <x v="418"/>
    <s v="2015-07-28T12:08:15.000Z"/>
    <x v="0"/>
    <x v="38"/>
    <s v="12:08:15"/>
    <x v="0"/>
    <s v="@adamfeder"/>
    <s v=""/>
    <n v="0"/>
    <n v="0"/>
    <n v="0"/>
    <n v="0"/>
    <s v="No engagement"/>
    <b v="0"/>
    <b v="0"/>
    <b v="0"/>
    <x v="0"/>
  </r>
  <r>
    <s v="https://twitter.com/VW/status/626001219899645953"/>
    <s v="Volkswagen"/>
    <s v="@VW"/>
    <x v="419"/>
    <s v="2015-07-28T12:08:16.000Z"/>
    <x v="0"/>
    <x v="38"/>
    <s v="12:08:16"/>
    <x v="0"/>
    <s v="@Sthe91"/>
    <s v=""/>
    <n v="0"/>
    <n v="0"/>
    <n v="0"/>
    <n v="0"/>
    <s v="No engagement"/>
    <b v="0"/>
    <b v="0"/>
    <b v="0"/>
    <x v="0"/>
  </r>
  <r>
    <s v="https://twitter.com/VW/status/626005765354991621"/>
    <s v="Volkswagen"/>
    <s v="@VW"/>
    <x v="420"/>
    <s v="2015-07-28T12:26:19.000Z"/>
    <x v="0"/>
    <x v="38"/>
    <s v="12:26:19"/>
    <x v="0"/>
    <s v="@hearttohart_"/>
    <s v=""/>
    <n v="0"/>
    <n v="0"/>
    <n v="0"/>
    <n v="0"/>
    <s v="No engagement"/>
    <b v="0"/>
    <b v="0"/>
    <b v="0"/>
    <x v="0"/>
  </r>
  <r>
    <s v="https://twitter.com/VW/status/626005762477719552"/>
    <s v="Volkswagen"/>
    <s v="@VW"/>
    <x v="421"/>
    <s v="2015-07-28T12:26:19.000Z"/>
    <x v="0"/>
    <x v="38"/>
    <s v="12:26:19"/>
    <x v="0"/>
    <s v="@ckd"/>
    <s v=""/>
    <n v="0"/>
    <n v="0"/>
    <n v="0"/>
    <n v="0"/>
    <s v="No engagement"/>
    <b v="0"/>
    <b v="0"/>
    <b v="0"/>
    <x v="0"/>
  </r>
  <r>
    <s v="https://twitter.com/VW/status/626006798210723840"/>
    <s v="Volkswagen"/>
    <s v="@VW"/>
    <x v="422"/>
    <s v="2015-07-28T12:30:25.000Z"/>
    <x v="0"/>
    <x v="38"/>
    <s v="12:30:25"/>
    <x v="0"/>
    <s v=""/>
    <s v=""/>
    <n v="0"/>
    <n v="0"/>
    <n v="0"/>
    <n v="0"/>
    <s v="No engagement"/>
    <b v="0"/>
    <b v="0"/>
    <b v="0"/>
    <x v="0"/>
  </r>
  <r>
    <s v="https://twitter.com/VW/status/626006800572133376"/>
    <s v="Volkswagen"/>
    <s v="@VW"/>
    <x v="423"/>
    <s v="2015-07-28T12:30:26.000Z"/>
    <x v="0"/>
    <x v="38"/>
    <s v="12:30:26"/>
    <x v="0"/>
    <s v="@TheGreenIsGood"/>
    <s v=""/>
    <n v="0"/>
    <n v="0"/>
    <n v="0"/>
    <n v="0"/>
    <s v="No engagement"/>
    <b v="0"/>
    <b v="0"/>
    <b v="0"/>
    <x v="0"/>
  </r>
  <r>
    <s v="https://twitter.com/VW/status/626007845742313472"/>
    <s v="Volkswagen"/>
    <s v="@VW"/>
    <x v="424"/>
    <s v="2015-07-28T12:34:35.000Z"/>
    <x v="0"/>
    <x v="38"/>
    <s v="12:34:35"/>
    <x v="0"/>
    <s v=""/>
    <s v=""/>
    <n v="0"/>
    <n v="0"/>
    <n v="1"/>
    <n v="1"/>
    <s v="Low engagement"/>
    <b v="0"/>
    <b v="0"/>
    <b v="0"/>
    <x v="0"/>
  </r>
  <r>
    <s v="https://twitter.com/VW/status/626128175605481472"/>
    <s v="Volkswagen"/>
    <s v="@VW"/>
    <x v="425"/>
    <s v="2015-07-28T20:32:44.000Z"/>
    <x v="0"/>
    <x v="38"/>
    <s v="20:32:44"/>
    <x v="1"/>
    <s v="@jameswendt"/>
    <s v=""/>
    <n v="0"/>
    <n v="3"/>
    <n v="1"/>
    <n v="4"/>
    <s v="Low engagement"/>
    <b v="0"/>
    <b v="0"/>
    <b v="0"/>
    <x v="0"/>
  </r>
  <r>
    <s v="https://twitter.com/VW/status/626128180898705408"/>
    <s v="Volkswagen"/>
    <s v="@VW"/>
    <x v="426"/>
    <s v="2015-07-28T20:32:45.000Z"/>
    <x v="0"/>
    <x v="38"/>
    <s v="20:32:45"/>
    <x v="1"/>
    <s v=""/>
    <s v=""/>
    <n v="0"/>
    <n v="0"/>
    <n v="1"/>
    <n v="1"/>
    <s v="Low engagement"/>
    <b v="0"/>
    <b v="0"/>
    <b v="1"/>
    <x v="3"/>
  </r>
  <r>
    <s v="https://twitter.com/VW/status/626128179552358400"/>
    <s v="Volkswagen"/>
    <s v="@VW"/>
    <x v="427"/>
    <s v="2015-07-28T20:32:45.000Z"/>
    <x v="0"/>
    <x v="38"/>
    <s v="20:32:45"/>
    <x v="1"/>
    <s v="@SchillStacey"/>
    <s v=""/>
    <n v="1"/>
    <n v="0"/>
    <n v="1"/>
    <n v="2"/>
    <s v="Low engagement"/>
    <b v="0"/>
    <b v="0"/>
    <b v="0"/>
    <x v="0"/>
  </r>
  <r>
    <s v="https://twitter.com/VW/status/626128178172407808"/>
    <s v="Volkswagen"/>
    <s v="@VW"/>
    <x v="428"/>
    <s v="2015-07-28T20:32:45.000Z"/>
    <x v="0"/>
    <x v="38"/>
    <s v="20:32:45"/>
    <x v="1"/>
    <s v="@bl0ndiex88"/>
    <s v=""/>
    <n v="1"/>
    <n v="0"/>
    <n v="1"/>
    <n v="2"/>
    <s v="Low engagement"/>
    <b v="0"/>
    <b v="0"/>
    <b v="0"/>
    <x v="0"/>
  </r>
  <r>
    <s v="https://twitter.com/VW/status/626158823170904064"/>
    <s v="Volkswagen"/>
    <s v="@VW"/>
    <x v="429"/>
    <s v="2015-07-28T22:34:31.000Z"/>
    <x v="0"/>
    <x v="38"/>
    <s v="22:34:31"/>
    <x v="1"/>
    <s v=""/>
    <s v=""/>
    <n v="61"/>
    <n v="1"/>
    <n v="33"/>
    <n v="95"/>
    <s v="High engagement"/>
    <b v="0"/>
    <b v="1"/>
    <b v="0"/>
    <x v="2"/>
  </r>
  <r>
    <s v="https://twitter.com/VW/status/626366289930383360"/>
    <s v="Volkswagen"/>
    <s v="@VW"/>
    <x v="430"/>
    <s v="2015-07-29T12:18:55.000Z"/>
    <x v="0"/>
    <x v="39"/>
    <s v="12:18:55"/>
    <x v="0"/>
    <s v="@jameswendt"/>
    <s v=""/>
    <n v="0"/>
    <n v="0"/>
    <n v="1"/>
    <n v="1"/>
    <s v="Low engagement"/>
    <b v="0"/>
    <b v="0"/>
    <b v="0"/>
    <x v="0"/>
  </r>
  <r>
    <s v="https://twitter.com/VW/status/626390888306991109"/>
    <s v="Volkswagen"/>
    <s v="@VW"/>
    <x v="431"/>
    <s v="2015-07-29T13:56:40.000Z"/>
    <x v="0"/>
    <x v="39"/>
    <s v="13:56:40"/>
    <x v="0"/>
    <s v="@bigjondaniel"/>
    <s v=""/>
    <n v="0"/>
    <n v="0"/>
    <n v="1"/>
    <n v="1"/>
    <s v="Low engagement"/>
    <b v="0"/>
    <b v="0"/>
    <b v="0"/>
    <x v="0"/>
  </r>
  <r>
    <s v="https://twitter.com/VW/status/626420658075860992"/>
    <s v="Volkswagen"/>
    <s v="@VW"/>
    <x v="432"/>
    <s v="2015-07-29T15:54:57.000Z"/>
    <x v="0"/>
    <x v="39"/>
    <s v="15:54:57"/>
    <x v="3"/>
    <s v="@Major_Disaster"/>
    <s v=""/>
    <n v="1"/>
    <n v="1"/>
    <n v="1"/>
    <n v="3"/>
    <s v="Low engagement"/>
    <b v="0"/>
    <b v="0"/>
    <b v="0"/>
    <x v="0"/>
  </r>
  <r>
    <s v="https://twitter.com/VW/status/626420656003919872"/>
    <s v="Volkswagen"/>
    <s v="@VW"/>
    <x v="433"/>
    <s v="2015-07-29T15:54:57.000Z"/>
    <x v="0"/>
    <x v="39"/>
    <s v="15:54:57"/>
    <x v="3"/>
    <s v="@danieldides"/>
    <s v=""/>
    <n v="1"/>
    <n v="0"/>
    <n v="1"/>
    <n v="2"/>
    <s v="Low engagement"/>
    <b v="0"/>
    <b v="0"/>
    <b v="0"/>
    <x v="0"/>
  </r>
  <r>
    <s v="https://twitter.com/VW/status/626437211114729472"/>
    <s v="Volkswagen"/>
    <s v="@VW"/>
    <x v="434"/>
    <s v="2015-07-29T17:00:44.000Z"/>
    <x v="0"/>
    <x v="39"/>
    <s v="17:00:44"/>
    <x v="3"/>
    <s v="@zannafranca"/>
    <s v=""/>
    <n v="0"/>
    <n v="0"/>
    <n v="1"/>
    <n v="1"/>
    <s v="Low engagement"/>
    <b v="0"/>
    <b v="0"/>
    <b v="0"/>
    <x v="0"/>
  </r>
  <r>
    <s v="https://twitter.com/VW/status/626441755232235521"/>
    <s v="Volkswagen"/>
    <s v="@VW"/>
    <x v="435"/>
    <s v="2015-07-29T17:18:47.000Z"/>
    <x v="0"/>
    <x v="39"/>
    <s v="17:18:47"/>
    <x v="3"/>
    <s v=""/>
    <s v=""/>
    <n v="30"/>
    <n v="6"/>
    <n v="18"/>
    <n v="54"/>
    <s v="High engagement"/>
    <b v="1"/>
    <b v="1"/>
    <b v="1"/>
    <x v="1"/>
  </r>
  <r>
    <s v="https://twitter.com/VW/status/626475141690626049"/>
    <s v="Volkswagen"/>
    <s v="@VW"/>
    <x v="436"/>
    <s v="2015-07-29T19:31:27.000Z"/>
    <x v="0"/>
    <x v="39"/>
    <s v="19:31:27"/>
    <x v="1"/>
    <s v=""/>
    <s v=""/>
    <n v="0"/>
    <n v="0"/>
    <n v="0"/>
    <n v="0"/>
    <s v="No engagement"/>
    <b v="0"/>
    <b v="0"/>
    <b v="0"/>
    <x v="0"/>
  </r>
  <r>
    <s v="https://twitter.com/VW/status/626475139677335553"/>
    <s v="Volkswagen"/>
    <s v="@VW"/>
    <x v="437"/>
    <s v="2015-07-29T19:31:27.000Z"/>
    <x v="0"/>
    <x v="39"/>
    <s v="19:31:27"/>
    <x v="1"/>
    <s v="@cccele4eva"/>
    <s v=""/>
    <n v="0"/>
    <n v="0"/>
    <n v="1"/>
    <n v="1"/>
    <s v="Low engagement"/>
    <b v="0"/>
    <b v="0"/>
    <b v="0"/>
    <x v="0"/>
  </r>
  <r>
    <s v="https://twitter.com/VW/status/626479710868865024"/>
    <s v="Volkswagen"/>
    <s v="@VW"/>
    <x v="438"/>
    <s v="2015-07-29T19:49:37.000Z"/>
    <x v="0"/>
    <x v="39"/>
    <s v="19:49:37"/>
    <x v="1"/>
    <s v=""/>
    <s v=""/>
    <n v="0"/>
    <n v="0"/>
    <n v="0"/>
    <n v="0"/>
    <s v="No engagement"/>
    <b v="0"/>
    <b v="0"/>
    <b v="0"/>
    <x v="0"/>
  </r>
  <r>
    <s v="https://twitter.com/VW/status/626488629943144448"/>
    <s v="Volkswagen"/>
    <s v="@VW"/>
    <x v="439"/>
    <s v="2015-07-29T20:25:03.000Z"/>
    <x v="0"/>
    <x v="39"/>
    <s v="20:25:03"/>
    <x v="1"/>
    <s v="@jennltodd"/>
    <s v=""/>
    <n v="0"/>
    <n v="0"/>
    <n v="2"/>
    <n v="2"/>
    <s v="Low engagement"/>
    <b v="0"/>
    <b v="0"/>
    <b v="0"/>
    <x v="0"/>
  </r>
  <r>
    <s v="https://twitter.com/VW/status/626488627829190656"/>
    <s v="Volkswagen"/>
    <s v="@VW"/>
    <x v="440"/>
    <s v="2015-07-29T20:25:03.000Z"/>
    <x v="0"/>
    <x v="39"/>
    <s v="20:25:03"/>
    <x v="1"/>
    <s v="@jennltodd"/>
    <s v=""/>
    <n v="0"/>
    <n v="0"/>
    <n v="2"/>
    <n v="2"/>
    <s v="Low engagement"/>
    <b v="0"/>
    <b v="0"/>
    <b v="0"/>
    <x v="0"/>
  </r>
  <r>
    <s v="https://twitter.com/VW/status/627113526197227520"/>
    <s v="Volkswagen"/>
    <s v="@VW"/>
    <x v="441"/>
    <s v="2015-07-31T13:48:10.000Z"/>
    <x v="0"/>
    <x v="40"/>
    <s v="13:48:10"/>
    <x v="0"/>
    <s v=""/>
    <s v=""/>
    <n v="1"/>
    <n v="0"/>
    <n v="1"/>
    <n v="2"/>
    <s v="Low engagement"/>
    <b v="0"/>
    <b v="0"/>
    <b v="0"/>
    <x v="0"/>
  </r>
  <r>
    <s v="https://twitter.com/VW/status/627188704495308800"/>
    <s v="Volkswagen"/>
    <s v="@VW"/>
    <x v="442"/>
    <s v="2015-07-31T18:46:54.000Z"/>
    <x v="0"/>
    <x v="40"/>
    <s v="18:46:54"/>
    <x v="1"/>
    <s v="@Sneezy_Breezy"/>
    <s v=""/>
    <n v="0"/>
    <n v="0"/>
    <n v="1"/>
    <n v="1"/>
    <s v="Low engagement"/>
    <b v="0"/>
    <b v="0"/>
    <b v="0"/>
    <x v="0"/>
  </r>
  <r>
    <s v="https://twitter.com/VW/status/627188710124056576"/>
    <s v="Volkswagen"/>
    <s v="@VW"/>
    <x v="443"/>
    <s v="2015-07-31T18:46:55.000Z"/>
    <x v="0"/>
    <x v="40"/>
    <s v="18:46:55"/>
    <x v="1"/>
    <s v="@DevonHodor"/>
    <s v=""/>
    <n v="0"/>
    <n v="0"/>
    <n v="1"/>
    <n v="1"/>
    <s v="Low engagement"/>
    <b v="0"/>
    <b v="0"/>
    <b v="1"/>
    <x v="3"/>
  </r>
  <r>
    <s v="https://twitter.com/VW/status/627188707246804992"/>
    <s v="Volkswagen"/>
    <s v="@VW"/>
    <x v="444"/>
    <s v="2015-07-31T18:46:55.000Z"/>
    <x v="0"/>
    <x v="40"/>
    <s v="18:46:55"/>
    <x v="1"/>
    <s v="@DevonHodor"/>
    <s v=""/>
    <n v="0"/>
    <n v="0"/>
    <n v="1"/>
    <n v="1"/>
    <s v="Low engagement"/>
    <b v="0"/>
    <b v="0"/>
    <b v="0"/>
    <x v="0"/>
  </r>
  <r>
    <s v="https://twitter.com/VW/status/627188711625625600"/>
    <s v="Volkswagen"/>
    <s v="@VW"/>
    <x v="445"/>
    <s v="2015-07-31T18:46:56.000Z"/>
    <x v="0"/>
    <x v="40"/>
    <s v="18:46:56"/>
    <x v="1"/>
    <s v=""/>
    <s v=""/>
    <n v="0"/>
    <n v="0"/>
    <n v="0"/>
    <n v="0"/>
    <s v="No engagement"/>
    <b v="0"/>
    <b v="0"/>
    <b v="0"/>
    <x v="0"/>
  </r>
  <r>
    <s v="https://twitter.com/VW/status/627192556716068864"/>
    <s v="Volkswagen"/>
    <s v="@VW"/>
    <x v="446"/>
    <s v="2015-07-31T19:02:12.000Z"/>
    <x v="0"/>
    <x v="40"/>
    <s v="19:02:12"/>
    <x v="1"/>
    <s v="@surfisup123"/>
    <s v=""/>
    <n v="0"/>
    <n v="1"/>
    <n v="1"/>
    <n v="2"/>
    <s v="Low engagement"/>
    <b v="0"/>
    <b v="0"/>
    <b v="0"/>
    <x v="0"/>
  </r>
  <r>
    <s v="https://twitter.com/VW/status/627192560591572993"/>
    <s v="Volkswagen"/>
    <s v="@VW"/>
    <x v="447"/>
    <s v="2015-07-31T19:02:13.000Z"/>
    <x v="0"/>
    <x v="40"/>
    <s v="19:02:13"/>
    <x v="1"/>
    <s v="@NikkiMarieDetMi"/>
    <s v=""/>
    <n v="0"/>
    <n v="0"/>
    <n v="1"/>
    <n v="1"/>
    <s v="Low engagement"/>
    <b v="0"/>
    <b v="0"/>
    <b v="0"/>
    <x v="0"/>
  </r>
  <r>
    <s v="https://twitter.com/VW/status/627209614359068672"/>
    <s v="Volkswagen"/>
    <s v="@VW"/>
    <x v="448"/>
    <s v="2015-07-31T20:09:59.000Z"/>
    <x v="0"/>
    <x v="40"/>
    <s v="20:09:59"/>
    <x v="1"/>
    <s v="@Trancerave"/>
    <s v=""/>
    <n v="0"/>
    <n v="0"/>
    <n v="1"/>
    <n v="1"/>
    <s v="Low engagement"/>
    <b v="0"/>
    <b v="0"/>
    <b v="0"/>
    <x v="0"/>
  </r>
  <r>
    <s v="https://twitter.com/VW/status/627209615998988288"/>
    <s v="Volkswagen"/>
    <s v="@VW"/>
    <x v="449"/>
    <s v="2015-07-31T20:10:00.000Z"/>
    <x v="0"/>
    <x v="40"/>
    <s v="20:10:00"/>
    <x v="1"/>
    <s v="@Trancerave"/>
    <s v=""/>
    <n v="0"/>
    <n v="0"/>
    <n v="1"/>
    <n v="1"/>
    <s v="Low engagement"/>
    <b v="0"/>
    <b v="0"/>
    <b v="0"/>
    <x v="0"/>
  </r>
  <r>
    <s v="https://twitter.com/VW/status/627211186644234240"/>
    <s v="Volkswagen"/>
    <s v="@VW"/>
    <x v="450"/>
    <s v="2015-07-31T20:16:14.000Z"/>
    <x v="0"/>
    <x v="40"/>
    <s v="20:16:14"/>
    <x v="1"/>
    <s v="@kcools12"/>
    <s v=""/>
    <n v="1"/>
    <n v="1"/>
    <n v="1"/>
    <n v="3"/>
    <s v="Low engagement"/>
    <b v="0"/>
    <b v="0"/>
    <b v="0"/>
    <x v="0"/>
  </r>
  <r>
    <s v="https://twitter.com/VW/status/627253906322493441"/>
    <s v="Volkswagen"/>
    <s v="@VW"/>
    <x v="451"/>
    <s v="2015-07-31T23:05:59.000Z"/>
    <x v="0"/>
    <x v="40"/>
    <s v="23:05:59"/>
    <x v="1"/>
    <s v=""/>
    <s v=""/>
    <n v="65"/>
    <n v="1"/>
    <n v="36"/>
    <n v="102"/>
    <s v="High engagement"/>
    <b v="1"/>
    <b v="0"/>
    <b v="0"/>
    <x v="1"/>
  </r>
  <r>
    <s v="https://twitter.com/VW/status/627502506608881664"/>
    <s v="Volkswagen"/>
    <s v="@VW"/>
    <x v="452"/>
    <s v="2015-08-01T15:33:50.000Z"/>
    <x v="0"/>
    <x v="41"/>
    <s v="15:33:50"/>
    <x v="3"/>
    <s v=""/>
    <s v=""/>
    <n v="82"/>
    <n v="4"/>
    <n v="37"/>
    <n v="123"/>
    <s v="High engagement"/>
    <b v="1"/>
    <b v="0"/>
    <b v="0"/>
    <x v="1"/>
  </r>
  <r>
    <s v="https://twitter.com/VW/status/627529038890971136"/>
    <s v="Volkswagen"/>
    <s v="@VW"/>
    <x v="453"/>
    <s v="2015-08-01T17:19:16.000Z"/>
    <x v="0"/>
    <x v="41"/>
    <s v="17:19:16"/>
    <x v="3"/>
    <s v=""/>
    <s v=""/>
    <n v="27"/>
    <n v="2"/>
    <n v="9"/>
    <n v="38"/>
    <s v="High engagement"/>
    <b v="1"/>
    <b v="0"/>
    <b v="0"/>
    <x v="1"/>
  </r>
  <r>
    <s v="https://twitter.com/VW/status/627565466463006720"/>
    <s v="Volkswagen"/>
    <s v="@VW"/>
    <x v="454"/>
    <s v="2015-08-01T19:44:01.000Z"/>
    <x v="0"/>
    <x v="41"/>
    <s v="19:44:01"/>
    <x v="1"/>
    <s v=""/>
    <s v=""/>
    <n v="61"/>
    <n v="1"/>
    <n v="31"/>
    <n v="93"/>
    <s v="High engagement"/>
    <b v="1"/>
    <b v="0"/>
    <b v="0"/>
    <x v="1"/>
  </r>
  <r>
    <s v="https://twitter.com/VW/status/627581626256592896"/>
    <s v="Volkswagen"/>
    <s v="@VW"/>
    <x v="455"/>
    <s v="2015-08-01T20:48:14.000Z"/>
    <x v="0"/>
    <x v="41"/>
    <s v="20:48:14"/>
    <x v="1"/>
    <s v=""/>
    <s v=""/>
    <n v="61"/>
    <n v="2"/>
    <n v="31"/>
    <n v="94"/>
    <s v="High engagement"/>
    <b v="1"/>
    <b v="0"/>
    <b v="0"/>
    <x v="1"/>
  </r>
  <r>
    <s v="https://twitter.com/VW/status/627636955526770689"/>
    <s v="Volkswagen"/>
    <s v="@VW"/>
    <x v="456"/>
    <s v="2015-08-02T00:28:05.000Z"/>
    <x v="0"/>
    <x v="42"/>
    <s v="00:28:05"/>
    <x v="4"/>
    <s v=""/>
    <s v=""/>
    <n v="33"/>
    <n v="1"/>
    <n v="15"/>
    <n v="49"/>
    <s v="High engagement"/>
    <b v="1"/>
    <b v="0"/>
    <b v="0"/>
    <x v="1"/>
  </r>
  <r>
    <s v="https://twitter.com/VW/status/627860780604637184"/>
    <s v="Volkswagen"/>
    <s v="@VW"/>
    <x v="457"/>
    <s v="2015-08-02T15:17:29.000Z"/>
    <x v="0"/>
    <x v="42"/>
    <s v="15:17:29"/>
    <x v="3"/>
    <s v=""/>
    <s v=""/>
    <n v="52"/>
    <n v="1"/>
    <n v="36"/>
    <n v="89"/>
    <s v="High engagement"/>
    <b v="1"/>
    <b v="0"/>
    <b v="0"/>
    <x v="1"/>
  </r>
  <r>
    <s v="https://twitter.com/VW/status/627889030038949888"/>
    <s v="Volkswagen"/>
    <s v="@VW"/>
    <x v="458"/>
    <s v="2015-08-02T17:09:45.000Z"/>
    <x v="0"/>
    <x v="42"/>
    <s v="17:09:45"/>
    <x v="3"/>
    <s v=""/>
    <s v=""/>
    <n v="97"/>
    <n v="1"/>
    <n v="37"/>
    <n v="135"/>
    <s v="High engagement"/>
    <b v="1"/>
    <b v="0"/>
    <b v="0"/>
    <x v="1"/>
  </r>
  <r>
    <s v="https://twitter.com/VW/status/627917002250842112"/>
    <s v="Volkswagen"/>
    <s v="@VW"/>
    <x v="459"/>
    <s v="2015-08-02T19:00:54.000Z"/>
    <x v="0"/>
    <x v="42"/>
    <s v="19:00:54"/>
    <x v="1"/>
    <s v=""/>
    <s v=""/>
    <n v="55"/>
    <n v="0"/>
    <n v="33"/>
    <n v="88"/>
    <s v="High engagement"/>
    <b v="1"/>
    <b v="0"/>
    <b v="0"/>
    <x v="1"/>
  </r>
  <r>
    <s v="https://twitter.com/VW/status/627944642416349184"/>
    <s v="Volkswagen"/>
    <s v="@VW"/>
    <x v="460"/>
    <s v="2015-08-02T20:50:44.000Z"/>
    <x v="0"/>
    <x v="42"/>
    <s v="20:50:44"/>
    <x v="1"/>
    <s v=""/>
    <s v=""/>
    <n v="52"/>
    <n v="1"/>
    <n v="29"/>
    <n v="82"/>
    <s v="High engagement"/>
    <b v="1"/>
    <b v="0"/>
    <b v="0"/>
    <x v="1"/>
  </r>
  <r>
    <s v="https://twitter.com/VW/status/627993007468511236"/>
    <s v="Volkswagen"/>
    <s v="@VW"/>
    <x v="461"/>
    <s v="2015-08-03T00:02:55.000Z"/>
    <x v="0"/>
    <x v="43"/>
    <s v="00:02:55"/>
    <x v="4"/>
    <s v=""/>
    <s v=""/>
    <n v="71"/>
    <n v="6"/>
    <n v="35"/>
    <n v="112"/>
    <s v="High engagement"/>
    <b v="1"/>
    <b v="0"/>
    <b v="0"/>
    <x v="1"/>
  </r>
  <r>
    <s v="https://twitter.com/VW/status/628280018678878208"/>
    <s v="Volkswagen"/>
    <s v="@VW"/>
    <x v="462"/>
    <s v="2015-08-03T19:03:23.000Z"/>
    <x v="0"/>
    <x v="43"/>
    <s v="19:03:23"/>
    <x v="1"/>
    <s v="@sunflowerbum"/>
    <s v=""/>
    <n v="0"/>
    <n v="0"/>
    <n v="0"/>
    <n v="0"/>
    <s v="No engagement"/>
    <b v="0"/>
    <b v="0"/>
    <b v="1"/>
    <x v="3"/>
  </r>
  <r>
    <s v="https://twitter.com/VW/status/628280017294770176"/>
    <s v="Volkswagen"/>
    <s v="@VW"/>
    <x v="463"/>
    <s v="2015-08-03T19:03:23.000Z"/>
    <x v="0"/>
    <x v="43"/>
    <s v="19:03:23"/>
    <x v="1"/>
    <s v="@sunflowerbum"/>
    <s v=""/>
    <n v="0"/>
    <n v="0"/>
    <n v="0"/>
    <n v="0"/>
    <s v="No engagement"/>
    <b v="0"/>
    <b v="0"/>
    <b v="0"/>
    <x v="0"/>
  </r>
  <r>
    <s v="https://twitter.com/VW/status/628280019744194560"/>
    <s v="Volkswagen"/>
    <s v="@VW"/>
    <x v="464"/>
    <s v="2015-08-03T19:03:24.000Z"/>
    <x v="0"/>
    <x v="43"/>
    <s v="19:03:24"/>
    <x v="1"/>
    <s v="@turtleboy925"/>
    <s v=""/>
    <n v="0"/>
    <n v="0"/>
    <n v="1"/>
    <n v="1"/>
    <s v="Low engagement"/>
    <b v="0"/>
    <b v="0"/>
    <b v="0"/>
    <x v="0"/>
  </r>
  <r>
    <s v="https://twitter.com/VW/status/628293641778233345"/>
    <s v="Volkswagen"/>
    <s v="@VW"/>
    <x v="465"/>
    <s v="2015-08-03T19:57:31.000Z"/>
    <x v="0"/>
    <x v="43"/>
    <s v="19:57:31"/>
    <x v="1"/>
    <s v="@atomk89"/>
    <s v=""/>
    <n v="0"/>
    <n v="0"/>
    <n v="1"/>
    <n v="1"/>
    <s v="Low engagement"/>
    <b v="0"/>
    <b v="0"/>
    <b v="0"/>
    <x v="0"/>
  </r>
  <r>
    <s v="https://twitter.com/VW/status/628293643468574720"/>
    <s v="Volkswagen"/>
    <s v="@VW"/>
    <x v="466"/>
    <s v="2015-08-03T19:57:32.000Z"/>
    <x v="0"/>
    <x v="43"/>
    <s v="19:57:32"/>
    <x v="1"/>
    <s v="@TMobevelt"/>
    <s v=""/>
    <n v="0"/>
    <n v="1"/>
    <n v="1"/>
    <n v="2"/>
    <s v="Low engagement"/>
    <b v="0"/>
    <b v="0"/>
    <b v="0"/>
    <x v="0"/>
  </r>
  <r>
    <s v="https://twitter.com/VW/status/628300615504912384"/>
    <s v="Volkswagen"/>
    <s v="@VW"/>
    <x v="467"/>
    <s v="2015-08-03T20:25:14.000Z"/>
    <x v="0"/>
    <x v="43"/>
    <s v="20:25:14"/>
    <x v="1"/>
    <s v=""/>
    <s v=""/>
    <n v="1"/>
    <n v="0"/>
    <n v="1"/>
    <n v="2"/>
    <s v="Low engagement"/>
    <b v="0"/>
    <b v="0"/>
    <b v="1"/>
    <x v="3"/>
  </r>
  <r>
    <s v="https://twitter.com/VW/status/628639187265150976"/>
    <s v="Volkswagen"/>
    <s v="@VW"/>
    <x v="468"/>
    <s v="2015-08-04T18:50:36.000Z"/>
    <x v="0"/>
    <x v="44"/>
    <s v="18:50:36"/>
    <x v="1"/>
    <s v=""/>
    <s v=""/>
    <n v="0"/>
    <n v="0"/>
    <n v="0"/>
    <n v="0"/>
    <s v="No engagement"/>
    <b v="0"/>
    <b v="0"/>
    <b v="0"/>
    <x v="0"/>
  </r>
  <r>
    <s v="https://twitter.com/VW/status/628639185910366208"/>
    <s v="Volkswagen"/>
    <s v="@VW"/>
    <x v="469"/>
    <s v="2015-08-04T18:50:36.000Z"/>
    <x v="0"/>
    <x v="44"/>
    <s v="18:50:36"/>
    <x v="1"/>
    <s v=""/>
    <s v=""/>
    <n v="0"/>
    <n v="0"/>
    <n v="0"/>
    <n v="0"/>
    <s v="No engagement"/>
    <b v="0"/>
    <b v="0"/>
    <b v="0"/>
    <x v="0"/>
  </r>
  <r>
    <s v="https://twitter.com/VW/status/628653750949818368"/>
    <s v="Volkswagen"/>
    <s v="@VW"/>
    <x v="470"/>
    <s v="2015-08-04T19:48:28.000Z"/>
    <x v="0"/>
    <x v="44"/>
    <s v="19:48:28"/>
    <x v="1"/>
    <s v=""/>
    <s v=""/>
    <n v="0"/>
    <n v="0"/>
    <n v="1"/>
    <n v="1"/>
    <s v="Low engagement"/>
    <b v="0"/>
    <b v="0"/>
    <b v="0"/>
    <x v="0"/>
  </r>
  <r>
    <s v="https://twitter.com/VW/status/628653753814552576"/>
    <s v="Volkswagen"/>
    <s v="@VW"/>
    <x v="471"/>
    <s v="2015-08-04T19:48:29.000Z"/>
    <x v="0"/>
    <x v="44"/>
    <s v="19:48:29"/>
    <x v="1"/>
    <s v=""/>
    <s v=""/>
    <n v="0"/>
    <n v="0"/>
    <n v="1"/>
    <n v="1"/>
    <s v="Low engagement"/>
    <b v="0"/>
    <b v="0"/>
    <b v="0"/>
    <x v="0"/>
  </r>
  <r>
    <s v="https://twitter.com/VW/status/628654599105150977"/>
    <s v="Volkswagen"/>
    <s v="@VW"/>
    <x v="472"/>
    <s v="2015-08-04T19:51:50.000Z"/>
    <x v="0"/>
    <x v="44"/>
    <s v="19:51:50"/>
    <x v="1"/>
    <s v="@petalnim"/>
    <s v=""/>
    <n v="0"/>
    <n v="0"/>
    <n v="1"/>
    <n v="1"/>
    <s v="Low engagement"/>
    <b v="0"/>
    <b v="0"/>
    <b v="0"/>
    <x v="0"/>
  </r>
  <r>
    <s v="https://twitter.com/VW/status/628654595690987520"/>
    <s v="Volkswagen"/>
    <s v="@VW"/>
    <x v="473"/>
    <s v="2015-08-04T19:51:50.000Z"/>
    <x v="0"/>
    <x v="44"/>
    <s v="19:51:50"/>
    <x v="1"/>
    <s v="@oldertwin"/>
    <s v=""/>
    <n v="0"/>
    <n v="2"/>
    <n v="1"/>
    <n v="3"/>
    <s v="Low engagement"/>
    <b v="0"/>
    <b v="0"/>
    <b v="0"/>
    <x v="0"/>
  </r>
  <r>
    <s v="https://twitter.com/VW/status/628695551937110016"/>
    <s v="Volkswagen"/>
    <s v="@VW"/>
    <x v="474"/>
    <s v="2015-08-04T22:34:34.000Z"/>
    <x v="0"/>
    <x v="44"/>
    <s v="22:34:34"/>
    <x v="1"/>
    <s v=""/>
    <s v=""/>
    <n v="0"/>
    <n v="0"/>
    <n v="0"/>
    <n v="0"/>
    <s v="No engagement"/>
    <b v="0"/>
    <b v="0"/>
    <b v="0"/>
    <x v="0"/>
  </r>
  <r>
    <s v="https://twitter.com/VW/status/628695550095790080"/>
    <s v="Volkswagen"/>
    <s v="@VW"/>
    <x v="475"/>
    <s v="2015-08-04T22:34:34.000Z"/>
    <x v="0"/>
    <x v="44"/>
    <s v="22:34:34"/>
    <x v="1"/>
    <s v="@PizzaQuixote"/>
    <s v=""/>
    <n v="0"/>
    <n v="0"/>
    <n v="1"/>
    <n v="1"/>
    <s v="Low engagement"/>
    <b v="0"/>
    <b v="0"/>
    <b v="0"/>
    <x v="0"/>
  </r>
  <r>
    <s v="https://twitter.com/VW/status/629028697643679744"/>
    <s v="Volkswagen"/>
    <s v="@VW"/>
    <x v="476"/>
    <s v="2015-08-05T20:38:22.000Z"/>
    <x v="0"/>
    <x v="45"/>
    <s v="20:38:22"/>
    <x v="1"/>
    <s v="@C_t_r_l"/>
    <s v=""/>
    <n v="0"/>
    <n v="0"/>
    <n v="1"/>
    <n v="1"/>
    <s v="Low engagement"/>
    <b v="0"/>
    <b v="0"/>
    <b v="0"/>
    <x v="0"/>
  </r>
  <r>
    <s v="https://twitter.com/VW/status/629030445666009088"/>
    <s v="Volkswagen"/>
    <s v="@VW"/>
    <x v="477"/>
    <s v="2015-08-05T20:45:19.000Z"/>
    <x v="0"/>
    <x v="45"/>
    <s v="20:45:19"/>
    <x v="1"/>
    <s v="@BlizzardCookie"/>
    <s v=""/>
    <n v="0"/>
    <n v="0"/>
    <n v="1"/>
    <n v="1"/>
    <s v="Low engagement"/>
    <b v="0"/>
    <b v="0"/>
    <b v="0"/>
    <x v="0"/>
  </r>
  <r>
    <s v="https://twitter.com/VW/status/629030448836931584"/>
    <s v="Volkswagen"/>
    <s v="@VW"/>
    <x v="478"/>
    <s v="2015-08-05T20:45:20.000Z"/>
    <x v="0"/>
    <x v="45"/>
    <s v="20:45:20"/>
    <x v="1"/>
    <s v=""/>
    <s v=""/>
    <n v="0"/>
    <n v="0"/>
    <n v="0"/>
    <n v="0"/>
    <s v="No engagement"/>
    <b v="0"/>
    <b v="0"/>
    <b v="0"/>
    <x v="0"/>
  </r>
  <r>
    <s v="https://twitter.com/VW/status/629030447683497989"/>
    <s v="Volkswagen"/>
    <s v="@VW"/>
    <x v="479"/>
    <s v="2015-08-05T20:45:20.000Z"/>
    <x v="0"/>
    <x v="45"/>
    <s v="20:45:20"/>
    <x v="1"/>
    <s v="@BlizzardCookie"/>
    <s v=""/>
    <n v="0"/>
    <n v="1"/>
    <n v="1"/>
    <n v="2"/>
    <s v="Low engagement"/>
    <b v="0"/>
    <b v="0"/>
    <b v="0"/>
    <x v="0"/>
  </r>
  <r>
    <s v="https://twitter.com/VW/status/629030451512897536"/>
    <s v="Volkswagen"/>
    <s v="@VW"/>
    <x v="480"/>
    <s v="2015-08-05T20:45:21.000Z"/>
    <x v="0"/>
    <x v="45"/>
    <s v="20:45:21"/>
    <x v="1"/>
    <s v=""/>
    <s v=""/>
    <n v="0"/>
    <n v="0"/>
    <n v="1"/>
    <n v="1"/>
    <s v="Low engagement"/>
    <b v="0"/>
    <b v="0"/>
    <b v="1"/>
    <x v="3"/>
  </r>
  <r>
    <s v="https://twitter.com/VW/status/629034174381338624"/>
    <s v="Volkswagen"/>
    <s v="@VW"/>
    <x v="481"/>
    <s v="2015-08-05T21:00:08.000Z"/>
    <x v="0"/>
    <x v="45"/>
    <s v="21:00:08"/>
    <x v="1"/>
    <s v=""/>
    <s v=""/>
    <n v="0"/>
    <n v="0"/>
    <n v="0"/>
    <n v="0"/>
    <s v="No engagement"/>
    <b v="0"/>
    <b v="0"/>
    <b v="0"/>
    <x v="0"/>
  </r>
  <r>
    <s v="https://twitter.com/VW/status/629034172674277376"/>
    <s v="Volkswagen"/>
    <s v="@VW"/>
    <x v="482"/>
    <s v="2015-08-05T21:00:08.000Z"/>
    <x v="0"/>
    <x v="45"/>
    <s v="21:00:08"/>
    <x v="1"/>
    <s v=""/>
    <s v=""/>
    <n v="0"/>
    <n v="0"/>
    <n v="0"/>
    <n v="0"/>
    <s v="No engagement"/>
    <b v="0"/>
    <b v="0"/>
    <b v="0"/>
    <x v="0"/>
  </r>
  <r>
    <s v="https://twitter.com/VW/status/629303168975904768"/>
    <s v="Volkswagen"/>
    <s v="@VW"/>
    <x v="483"/>
    <s v="2015-08-06T14:49:02.000Z"/>
    <x v="0"/>
    <x v="46"/>
    <s v="14:49:02"/>
    <x v="3"/>
    <s v=""/>
    <s v=""/>
    <n v="20"/>
    <n v="2"/>
    <n v="10"/>
    <n v="32"/>
    <s v="High engagement"/>
    <b v="1"/>
    <b v="0"/>
    <b v="1"/>
    <x v="1"/>
  </r>
  <r>
    <s v="https://twitter.com/VW/status/629420224622796800"/>
    <s v="Volkswagen"/>
    <s v="@VW"/>
    <x v="484"/>
    <s v="2015-08-06T22:34:10.000Z"/>
    <x v="0"/>
    <x v="46"/>
    <s v="22:34:10"/>
    <x v="1"/>
    <s v=""/>
    <s v=""/>
    <n v="27"/>
    <n v="1"/>
    <n v="17"/>
    <n v="45"/>
    <s v="High engagement"/>
    <b v="1"/>
    <b v="1"/>
    <b v="0"/>
    <x v="1"/>
  </r>
  <r>
    <s v="https://twitter.com/VW/status/629451113675120640"/>
    <s v="Volkswagen"/>
    <s v="@VW"/>
    <x v="485"/>
    <s v="2015-08-07T00:36:54.000Z"/>
    <x v="0"/>
    <x v="47"/>
    <s v="00:36:54"/>
    <x v="4"/>
    <s v="@RadkeJen"/>
    <s v=""/>
    <n v="0"/>
    <n v="0"/>
    <n v="1"/>
    <n v="1"/>
    <s v="Low engagement"/>
    <b v="0"/>
    <b v="0"/>
    <b v="0"/>
    <x v="0"/>
  </r>
  <r>
    <s v="https://twitter.com/VW/status/629451115206041600"/>
    <s v="Volkswagen"/>
    <s v="@VW"/>
    <x v="486"/>
    <s v="2015-08-07T00:36:55.000Z"/>
    <x v="0"/>
    <x v="47"/>
    <s v="00:36:55"/>
    <x v="4"/>
    <s v="@GiggsyTheCorgi"/>
    <s v=""/>
    <n v="0"/>
    <n v="1"/>
    <n v="1"/>
    <n v="2"/>
    <s v="Low engagement"/>
    <b v="0"/>
    <b v="0"/>
    <b v="0"/>
    <x v="0"/>
  </r>
  <r>
    <s v="https://twitter.com/VW/status/629704063983038464"/>
    <s v="Volkswagen"/>
    <s v="@VW"/>
    <x v="487"/>
    <s v="2015-08-07T17:22:02.000Z"/>
    <x v="0"/>
    <x v="47"/>
    <s v="17:22:02"/>
    <x v="3"/>
    <s v=""/>
    <s v=""/>
    <n v="0"/>
    <n v="0"/>
    <n v="1"/>
    <n v="1"/>
    <s v="Low engagement"/>
    <b v="0"/>
    <b v="0"/>
    <b v="0"/>
    <x v="0"/>
  </r>
  <r>
    <s v="https://twitter.com/VW/status/629704061294542849"/>
    <s v="Volkswagen"/>
    <s v="@VW"/>
    <x v="488"/>
    <s v="2015-08-07T17:22:02.000Z"/>
    <x v="0"/>
    <x v="47"/>
    <s v="17:22:02"/>
    <x v="3"/>
    <s v="@lostreddit0r"/>
    <s v=""/>
    <n v="0"/>
    <n v="0"/>
    <n v="1"/>
    <n v="1"/>
    <s v="Low engagement"/>
    <b v="0"/>
    <b v="0"/>
    <b v="0"/>
    <x v="0"/>
  </r>
  <r>
    <s v="https://twitter.com/VW/status/630064867001569280"/>
    <s v="Volkswagen"/>
    <s v="@VW"/>
    <x v="489"/>
    <s v="2015-08-08T17:15:44.000Z"/>
    <x v="0"/>
    <x v="48"/>
    <s v="17:15:44"/>
    <x v="3"/>
    <s v="@JeffreyJMeyer81"/>
    <s v=""/>
    <n v="0"/>
    <n v="0"/>
    <n v="0"/>
    <n v="0"/>
    <s v="No engagement"/>
    <b v="0"/>
    <b v="0"/>
    <b v="0"/>
    <x v="0"/>
  </r>
  <r>
    <s v="https://twitter.com/VW/status/630064865688686592"/>
    <s v="Volkswagen"/>
    <s v="@VW"/>
    <x v="490"/>
    <s v="2015-08-08T17:15:44.000Z"/>
    <x v="0"/>
    <x v="48"/>
    <s v="17:15:44"/>
    <x v="3"/>
    <s v="@JeffreyJMeyer81"/>
    <s v=""/>
    <n v="1"/>
    <n v="0"/>
    <n v="0"/>
    <n v="1"/>
    <s v="Low engagement"/>
    <b v="0"/>
    <b v="0"/>
    <b v="0"/>
    <x v="0"/>
  </r>
  <r>
    <s v="https://twitter.com/VW/status/630064864325537792"/>
    <s v="Volkswagen"/>
    <s v="@VW"/>
    <x v="491"/>
    <s v="2015-08-08T17:15:44.000Z"/>
    <x v="0"/>
    <x v="48"/>
    <s v="17:15:44"/>
    <x v="3"/>
    <s v="@maddygathwrong"/>
    <s v=""/>
    <n v="0"/>
    <n v="0"/>
    <n v="1"/>
    <n v="1"/>
    <s v="Low engagement"/>
    <b v="0"/>
    <b v="0"/>
    <b v="0"/>
    <x v="0"/>
  </r>
  <r>
    <s v="https://twitter.com/VW/status/630064870633816064"/>
    <s v="Volkswagen"/>
    <s v="@VW"/>
    <x v="492"/>
    <s v="2015-08-08T17:15:45.000Z"/>
    <x v="0"/>
    <x v="48"/>
    <s v="17:15:45"/>
    <x v="3"/>
    <s v="@BlizzardCookie"/>
    <s v=""/>
    <n v="0"/>
    <n v="0"/>
    <n v="0"/>
    <n v="0"/>
    <s v="No engagement"/>
    <b v="0"/>
    <b v="0"/>
    <b v="0"/>
    <x v="0"/>
  </r>
  <r>
    <s v="https://twitter.com/VW/status/630064868146581504"/>
    <s v="Volkswagen"/>
    <s v="@VW"/>
    <x v="493"/>
    <s v="2015-08-08T17:15:45.000Z"/>
    <x v="0"/>
    <x v="48"/>
    <s v="17:15:45"/>
    <x v="3"/>
    <s v="@madisondap"/>
    <s v=""/>
    <n v="0"/>
    <n v="0"/>
    <n v="1"/>
    <n v="1"/>
    <s v="Low engagement"/>
    <b v="0"/>
    <b v="0"/>
    <b v="0"/>
    <x v="0"/>
  </r>
  <r>
    <s v="https://twitter.com/VW/status/630067296057339905"/>
    <s v="Volkswagen"/>
    <s v="@VW"/>
    <x v="494"/>
    <s v="2015-08-08T17:25:24.000Z"/>
    <x v="0"/>
    <x v="48"/>
    <s v="17:25:24"/>
    <x v="3"/>
    <s v=""/>
    <s v=""/>
    <n v="69"/>
    <n v="1"/>
    <n v="33"/>
    <n v="103"/>
    <s v="High engagement"/>
    <b v="1"/>
    <b v="0"/>
    <b v="0"/>
    <x v="1"/>
  </r>
  <r>
    <s v="https://twitter.com/VW/status/630107604413341696"/>
    <s v="Volkswagen"/>
    <s v="@VW"/>
    <x v="495"/>
    <s v="2015-08-08T20:05:34.000Z"/>
    <x v="0"/>
    <x v="48"/>
    <s v="20:05:34"/>
    <x v="1"/>
    <s v="@adamfeder"/>
    <s v=""/>
    <n v="0"/>
    <n v="1"/>
    <n v="1"/>
    <n v="2"/>
    <s v="Low engagement"/>
    <b v="0"/>
    <b v="0"/>
    <b v="1"/>
    <x v="3"/>
  </r>
  <r>
    <s v="https://twitter.com/VW/status/630154909682417664"/>
    <s v="Volkswagen"/>
    <s v="@VW"/>
    <x v="496"/>
    <s v="2015-08-08T23:13:32.000Z"/>
    <x v="0"/>
    <x v="48"/>
    <s v="23:13:32"/>
    <x v="1"/>
    <s v=""/>
    <s v=""/>
    <n v="91"/>
    <n v="1"/>
    <n v="42"/>
    <n v="134"/>
    <s v="High engagement"/>
    <b v="1"/>
    <b v="0"/>
    <b v="0"/>
    <x v="1"/>
  </r>
  <r>
    <s v="https://twitter.com/VW/status/630404625426948096"/>
    <s v="Volkswagen"/>
    <s v="@VW"/>
    <x v="497"/>
    <s v="2015-08-09T15:45:49.000Z"/>
    <x v="0"/>
    <x v="49"/>
    <s v="15:45:49"/>
    <x v="3"/>
    <s v=""/>
    <s v=""/>
    <n v="53"/>
    <n v="0"/>
    <n v="23"/>
    <n v="76"/>
    <s v="High engagement"/>
    <b v="1"/>
    <b v="0"/>
    <b v="0"/>
    <x v="1"/>
  </r>
  <r>
    <s v="https://twitter.com/VW/status/630454581030469632"/>
    <s v="Volkswagen"/>
    <s v="@VW"/>
    <x v="498"/>
    <s v="2015-08-09T19:04:20.000Z"/>
    <x v="0"/>
    <x v="49"/>
    <s v="19:04:20"/>
    <x v="1"/>
    <s v=""/>
    <s v=""/>
    <n v="71"/>
    <n v="0"/>
    <n v="19"/>
    <n v="90"/>
    <s v="High engagement"/>
    <b v="1"/>
    <b v="0"/>
    <b v="0"/>
    <x v="1"/>
  </r>
  <r>
    <s v="https://twitter.com/VW/status/630497950435803136"/>
    <s v="Volkswagen"/>
    <s v="@VW"/>
    <x v="499"/>
    <s v="2015-08-09T21:56:40.000Z"/>
    <x v="0"/>
    <x v="49"/>
    <s v="21:56:40"/>
    <x v="1"/>
    <s v=""/>
    <s v=""/>
    <n v="94"/>
    <n v="3"/>
    <n v="35"/>
    <n v="132"/>
    <s v="High engagement"/>
    <b v="1"/>
    <b v="0"/>
    <b v="0"/>
    <x v="1"/>
  </r>
  <r>
    <s v="https://twitter.com/VW/status/630518517968863233"/>
    <s v="Volkswagen"/>
    <s v="@VW"/>
    <x v="500"/>
    <s v="2015-08-09T23:18:23.000Z"/>
    <x v="0"/>
    <x v="49"/>
    <s v="23:18:23"/>
    <x v="1"/>
    <s v=""/>
    <s v=""/>
    <n v="75"/>
    <n v="8"/>
    <n v="46"/>
    <n v="129"/>
    <s v="High engagement"/>
    <b v="1"/>
    <b v="0"/>
    <b v="0"/>
    <x v="1"/>
  </r>
  <r>
    <s v="https://twitter.com/VW/status/630699886673956864"/>
    <s v="Volkswagen"/>
    <s v="@VW"/>
    <x v="501"/>
    <s v="2015-08-10T11:19:05.000Z"/>
    <x v="0"/>
    <x v="50"/>
    <s v="11:19:05"/>
    <x v="0"/>
    <s v=""/>
    <s v=""/>
    <n v="0"/>
    <n v="0"/>
    <n v="1"/>
    <n v="1"/>
    <s v="Low engagement"/>
    <b v="0"/>
    <b v="0"/>
    <b v="0"/>
    <x v="0"/>
  </r>
  <r>
    <s v="https://twitter.com/VW/status/630699884937515008"/>
    <s v="Volkswagen"/>
    <s v="@VW"/>
    <x v="502"/>
    <s v="2015-08-10T11:19:05.000Z"/>
    <x v="0"/>
    <x v="50"/>
    <s v="11:19:05"/>
    <x v="0"/>
    <s v=""/>
    <s v=""/>
    <n v="0"/>
    <n v="0"/>
    <n v="1"/>
    <n v="1"/>
    <s v="Low engagement"/>
    <b v="0"/>
    <b v="0"/>
    <b v="0"/>
    <x v="0"/>
  </r>
  <r>
    <s v="https://twitter.com/VW/status/630858746797780992"/>
    <s v="Volkswagen"/>
    <s v="@VW"/>
    <x v="503"/>
    <s v="2015-08-10T21:50:20.000Z"/>
    <x v="0"/>
    <x v="50"/>
    <s v="21:50:20"/>
    <x v="1"/>
    <s v="@1410Alice"/>
    <s v=""/>
    <n v="0"/>
    <n v="0"/>
    <n v="1"/>
    <n v="1"/>
    <s v="Low engagement"/>
    <b v="0"/>
    <b v="0"/>
    <b v="0"/>
    <x v="0"/>
  </r>
  <r>
    <s v="https://twitter.com/VW/status/630858767433793540"/>
    <s v="Volkswagen"/>
    <s v="@VW"/>
    <x v="504"/>
    <s v="2015-08-10T21:50:25.000Z"/>
    <x v="0"/>
    <x v="50"/>
    <s v="21:50:25"/>
    <x v="1"/>
    <s v="@1410Alice"/>
    <s v=""/>
    <n v="0"/>
    <n v="0"/>
    <n v="1"/>
    <n v="1"/>
    <s v="Low engagement"/>
    <b v="0"/>
    <b v="0"/>
    <b v="0"/>
    <x v="0"/>
  </r>
  <r>
    <s v="https://twitter.com/VW/status/630858780788568065"/>
    <s v="Volkswagen"/>
    <s v="@VW"/>
    <x v="505"/>
    <s v="2015-08-10T21:50:28.000Z"/>
    <x v="0"/>
    <x v="50"/>
    <s v="21:50:28"/>
    <x v="1"/>
    <s v=""/>
    <s v=""/>
    <n v="0"/>
    <n v="0"/>
    <n v="0"/>
    <n v="0"/>
    <s v="No engagement"/>
    <b v="0"/>
    <b v="0"/>
    <b v="0"/>
    <x v="0"/>
  </r>
  <r>
    <s v="https://twitter.com/VW/status/630858792557678592"/>
    <s v="Volkswagen"/>
    <s v="@VW"/>
    <x v="506"/>
    <s v="2015-08-10T21:50:31.000Z"/>
    <x v="0"/>
    <x v="50"/>
    <s v="21:50:31"/>
    <x v="1"/>
    <s v=""/>
    <s v=""/>
    <n v="0"/>
    <n v="0"/>
    <n v="1"/>
    <n v="1"/>
    <s v="Low engagement"/>
    <b v="0"/>
    <b v="0"/>
    <b v="0"/>
    <x v="0"/>
  </r>
  <r>
    <s v="https://twitter.com/VW/status/630858795527180288"/>
    <s v="Volkswagen"/>
    <s v="@VW"/>
    <x v="507"/>
    <s v="2015-08-10T21:50:32.000Z"/>
    <x v="0"/>
    <x v="50"/>
    <s v="21:50:32"/>
    <x v="1"/>
    <s v="@redban"/>
    <s v=""/>
    <n v="1"/>
    <n v="1"/>
    <n v="2"/>
    <n v="4"/>
    <s v="Low engagement"/>
    <b v="0"/>
    <b v="0"/>
    <b v="0"/>
    <x v="0"/>
  </r>
  <r>
    <s v="https://twitter.com/VW/status/630866421598154759"/>
    <s v="Volkswagen"/>
    <s v="@VW"/>
    <x v="508"/>
    <s v="2015-08-10T22:20:50.000Z"/>
    <x v="0"/>
    <x v="50"/>
    <s v="22:20:50"/>
    <x v="1"/>
    <s v="@craige_87"/>
    <s v=""/>
    <n v="0"/>
    <n v="1"/>
    <n v="1"/>
    <n v="2"/>
    <s v="Low engagement"/>
    <b v="0"/>
    <b v="0"/>
    <b v="0"/>
    <x v="0"/>
  </r>
  <r>
    <s v="https://twitter.com/VW/status/630866424148328448"/>
    <s v="Volkswagen"/>
    <s v="@VW"/>
    <x v="509"/>
    <s v="2015-08-10T22:20:51.000Z"/>
    <x v="0"/>
    <x v="50"/>
    <s v="22:20:51"/>
    <x v="1"/>
    <s v="@craige_87"/>
    <s v=""/>
    <n v="0"/>
    <n v="0"/>
    <n v="1"/>
    <n v="1"/>
    <s v="Low engagement"/>
    <b v="0"/>
    <b v="0"/>
    <b v="0"/>
    <x v="0"/>
  </r>
  <r>
    <s v="https://twitter.com/VW/status/631223740655800320"/>
    <s v="Volkswagen"/>
    <s v="@VW"/>
    <x v="510"/>
    <s v="2015-08-11T22:00:41.000Z"/>
    <x v="0"/>
    <x v="51"/>
    <s v="22:00:41"/>
    <x v="1"/>
    <s v="@whitneyeldridge"/>
    <s v=""/>
    <n v="0"/>
    <n v="0"/>
    <n v="0"/>
    <n v="0"/>
    <s v="No engagement"/>
    <b v="0"/>
    <b v="0"/>
    <b v="0"/>
    <x v="0"/>
  </r>
  <r>
    <s v="https://twitter.com/VW/status/631223757017776128"/>
    <s v="Volkswagen"/>
    <s v="@VW"/>
    <x v="511"/>
    <s v="2015-08-11T22:00:45.000Z"/>
    <x v="0"/>
    <x v="51"/>
    <s v="22:00:45"/>
    <x v="1"/>
    <s v=""/>
    <s v=""/>
    <n v="0"/>
    <n v="0"/>
    <n v="1"/>
    <n v="1"/>
    <s v="Low engagement"/>
    <b v="0"/>
    <b v="0"/>
    <b v="1"/>
    <x v="3"/>
  </r>
  <r>
    <s v="https://twitter.com/VW/status/631223765188227072"/>
    <s v="Volkswagen"/>
    <s v="@VW"/>
    <x v="512"/>
    <s v="2015-08-11T22:00:47.000Z"/>
    <x v="0"/>
    <x v="51"/>
    <s v="22:00:47"/>
    <x v="1"/>
    <s v="@KelseyLCreech"/>
    <s v=""/>
    <n v="0"/>
    <n v="0"/>
    <n v="1"/>
    <n v="1"/>
    <s v="Low engagement"/>
    <b v="0"/>
    <b v="0"/>
    <b v="0"/>
    <x v="0"/>
  </r>
  <r>
    <s v="https://twitter.com/VW/status/631223793902419969"/>
    <s v="Volkswagen"/>
    <s v="@VW"/>
    <x v="513"/>
    <s v="2015-08-11T22:00:54.000Z"/>
    <x v="0"/>
    <x v="51"/>
    <s v="22:00:54"/>
    <x v="1"/>
    <s v="@pdangriff"/>
    <s v=""/>
    <n v="0"/>
    <n v="0"/>
    <n v="1"/>
    <n v="1"/>
    <s v="Low engagement"/>
    <b v="0"/>
    <b v="0"/>
    <b v="0"/>
    <x v="0"/>
  </r>
  <r>
    <s v="https://twitter.com/VW/status/631223813779255296"/>
    <s v="Volkswagen"/>
    <s v="@VW"/>
    <x v="514"/>
    <s v="2015-08-11T22:00:59.000Z"/>
    <x v="0"/>
    <x v="51"/>
    <s v="22:00:59"/>
    <x v="1"/>
    <s v="@pdangriff"/>
    <s v=""/>
    <n v="2"/>
    <n v="0"/>
    <n v="1"/>
    <n v="3"/>
    <s v="Low engagement"/>
    <b v="0"/>
    <b v="0"/>
    <b v="1"/>
    <x v="3"/>
  </r>
  <r>
    <s v="https://twitter.com/VW/status/631442899201163265"/>
    <s v="Volkswagen"/>
    <s v="@VW"/>
    <x v="515"/>
    <s v="2015-08-12T12:31:33.000Z"/>
    <x v="0"/>
    <x v="52"/>
    <s v="12:31:33"/>
    <x v="0"/>
    <s v="@NicolaMac"/>
    <s v=""/>
    <n v="1"/>
    <n v="0"/>
    <n v="0"/>
    <n v="1"/>
    <s v="Low engagement"/>
    <b v="0"/>
    <b v="0"/>
    <b v="0"/>
    <x v="0"/>
  </r>
  <r>
    <s v="https://twitter.com/VW/status/631442902435110912"/>
    <s v="Volkswagen"/>
    <s v="@VW"/>
    <x v="516"/>
    <s v="2015-08-12T12:31:34.000Z"/>
    <x v="0"/>
    <x v="52"/>
    <s v="12:31:34"/>
    <x v="0"/>
    <s v="@NicolaMac"/>
    <s v=""/>
    <n v="1"/>
    <n v="1"/>
    <n v="1"/>
    <n v="3"/>
    <s v="Low engagement"/>
    <b v="0"/>
    <b v="0"/>
    <b v="0"/>
    <x v="0"/>
  </r>
  <r>
    <s v="https://twitter.com/VW/status/631534780945821696"/>
    <s v="Volkswagen"/>
    <s v="@VW"/>
    <x v="517"/>
    <s v="2015-08-12T18:36:39.000Z"/>
    <x v="0"/>
    <x v="52"/>
    <s v="18:36:39"/>
    <x v="1"/>
    <s v="@seanmcfarland1"/>
    <s v=""/>
    <n v="1"/>
    <n v="0"/>
    <n v="1"/>
    <n v="2"/>
    <s v="Low engagement"/>
    <b v="0"/>
    <b v="0"/>
    <b v="0"/>
    <x v="0"/>
  </r>
  <r>
    <s v="https://twitter.com/VW/status/631534788504068097"/>
    <s v="Volkswagen"/>
    <s v="@VW"/>
    <x v="518"/>
    <s v="2015-08-12T18:36:41.000Z"/>
    <x v="0"/>
    <x v="52"/>
    <s v="18:36:41"/>
    <x v="1"/>
    <s v="@ryanlmurphy"/>
    <s v=""/>
    <n v="1"/>
    <n v="0"/>
    <n v="1"/>
    <n v="2"/>
    <s v="Low engagement"/>
    <b v="0"/>
    <b v="0"/>
    <b v="0"/>
    <x v="0"/>
  </r>
  <r>
    <s v="https://twitter.com/VW/status/631534794111762432"/>
    <s v="Volkswagen"/>
    <s v="@VW"/>
    <x v="519"/>
    <s v="2015-08-12T18:36:42.000Z"/>
    <x v="0"/>
    <x v="52"/>
    <s v="18:36:42"/>
    <x v="1"/>
    <s v="@Erinn_2nns"/>
    <s v=""/>
    <n v="0"/>
    <n v="0"/>
    <n v="1"/>
    <n v="1"/>
    <s v="Low engagement"/>
    <b v="0"/>
    <b v="0"/>
    <b v="0"/>
    <x v="0"/>
  </r>
  <r>
    <s v="https://twitter.com/VW/status/631534791905579008"/>
    <s v="Volkswagen"/>
    <s v="@VW"/>
    <x v="520"/>
    <s v="2015-08-12T18:36:42.000Z"/>
    <x v="0"/>
    <x v="52"/>
    <s v="18:36:42"/>
    <x v="1"/>
    <s v="@Erinn_2nns"/>
    <s v=""/>
    <n v="0"/>
    <n v="0"/>
    <n v="0"/>
    <n v="0"/>
    <s v="No engagement"/>
    <b v="0"/>
    <b v="0"/>
    <b v="0"/>
    <x v="0"/>
  </r>
  <r>
    <s v="https://twitter.com/VW/status/631534790676582400"/>
    <s v="Volkswagen"/>
    <s v="@VW"/>
    <x v="521"/>
    <s v="2015-08-12T18:36:42.000Z"/>
    <x v="0"/>
    <x v="52"/>
    <s v="18:36:42"/>
    <x v="1"/>
    <s v="@ryanlmurphy"/>
    <s v=""/>
    <n v="0"/>
    <n v="0"/>
    <n v="1"/>
    <n v="1"/>
    <s v="Low engagement"/>
    <b v="0"/>
    <b v="0"/>
    <b v="1"/>
    <x v="3"/>
  </r>
  <r>
    <s v="https://twitter.com/VW/status/631534797475581952"/>
    <s v="Volkswagen"/>
    <s v="@VW"/>
    <x v="522"/>
    <s v="2015-08-12T18:36:43.000Z"/>
    <x v="0"/>
    <x v="52"/>
    <s v="18:36:43"/>
    <x v="1"/>
    <s v=""/>
    <s v=""/>
    <n v="0"/>
    <n v="0"/>
    <n v="1"/>
    <n v="1"/>
    <s v="Low engagement"/>
    <b v="0"/>
    <b v="0"/>
    <b v="0"/>
    <x v="0"/>
  </r>
  <r>
    <s v="https://twitter.com/VW/status/631534795906945024"/>
    <s v="Volkswagen"/>
    <s v="@VW"/>
    <x v="523"/>
    <s v="2015-08-12T18:36:43.000Z"/>
    <x v="0"/>
    <x v="52"/>
    <s v="18:36:43"/>
    <x v="1"/>
    <s v="@GowthamS2020"/>
    <s v=""/>
    <n v="0"/>
    <n v="0"/>
    <n v="1"/>
    <n v="1"/>
    <s v="Low engagement"/>
    <b v="0"/>
    <b v="0"/>
    <b v="0"/>
    <x v="0"/>
  </r>
  <r>
    <s v="https://twitter.com/VW/status/631534800390586368"/>
    <s v="Volkswagen"/>
    <s v="@VW"/>
    <x v="524"/>
    <s v="2015-08-12T18:36:44.000Z"/>
    <x v="0"/>
    <x v="52"/>
    <s v="18:36:44"/>
    <x v="1"/>
    <s v="@Amyladd80"/>
    <s v=""/>
    <n v="1"/>
    <n v="1"/>
    <n v="1"/>
    <n v="3"/>
    <s v="Low engagement"/>
    <b v="0"/>
    <b v="0"/>
    <b v="0"/>
    <x v="0"/>
  </r>
  <r>
    <s v="https://twitter.com/VW/status/631534803133689856"/>
    <s v="Volkswagen"/>
    <s v="@VW"/>
    <x v="525"/>
    <s v="2015-08-12T18:36:45.000Z"/>
    <x v="0"/>
    <x v="52"/>
    <s v="18:36:45"/>
    <x v="1"/>
    <s v="@Amyladd80"/>
    <s v=""/>
    <n v="1"/>
    <n v="0"/>
    <n v="1"/>
    <n v="2"/>
    <s v="Low engagement"/>
    <b v="0"/>
    <b v="0"/>
    <b v="0"/>
    <x v="0"/>
  </r>
  <r>
    <s v="https://twitter.com/VW/status/631534811732054016"/>
    <s v="Volkswagen"/>
    <s v="@VW"/>
    <x v="526"/>
    <s v="2015-08-12T18:36:47.000Z"/>
    <x v="0"/>
    <x v="52"/>
    <s v="18:36:47"/>
    <x v="1"/>
    <s v="@seanmcfarland1"/>
    <s v=""/>
    <n v="0"/>
    <n v="0"/>
    <n v="1"/>
    <n v="1"/>
    <s v="Low engagement"/>
    <b v="0"/>
    <b v="0"/>
    <b v="0"/>
    <x v="0"/>
  </r>
  <r>
    <s v="https://twitter.com/VW/status/631830267703857153"/>
    <s v="Volkswagen"/>
    <s v="@VW"/>
    <x v="527"/>
    <s v="2015-08-13T14:10:49.000Z"/>
    <x v="0"/>
    <x v="53"/>
    <s v="14:10:49"/>
    <x v="3"/>
    <s v="@NicolaMac"/>
    <s v=""/>
    <n v="1"/>
    <n v="2"/>
    <n v="1"/>
    <n v="4"/>
    <s v="Low engagement"/>
    <b v="0"/>
    <b v="0"/>
    <b v="0"/>
    <x v="0"/>
  </r>
  <r>
    <s v="https://twitter.com/VW/status/631908883183726592"/>
    <s v="Volkswagen"/>
    <s v="@VW"/>
    <x v="528"/>
    <s v="2015-08-13T19:23:12.000Z"/>
    <x v="0"/>
    <x v="53"/>
    <s v="19:23:12"/>
    <x v="1"/>
    <s v="@mdenny7777"/>
    <s v=""/>
    <n v="0"/>
    <n v="0"/>
    <n v="1"/>
    <n v="1"/>
    <s v="Low engagement"/>
    <b v="0"/>
    <b v="0"/>
    <b v="0"/>
    <x v="0"/>
  </r>
  <r>
    <s v="https://twitter.com/VW/status/632171225033277442"/>
    <s v="Volkswagen"/>
    <s v="@VW"/>
    <x v="529"/>
    <s v="2015-08-14T12:45:39.000Z"/>
    <x v="0"/>
    <x v="54"/>
    <s v="12:45:39"/>
    <x v="0"/>
    <s v="@BlizzardCookie"/>
    <s v=""/>
    <n v="0"/>
    <n v="0"/>
    <n v="1"/>
    <n v="1"/>
    <s v="Low engagement"/>
    <b v="0"/>
    <b v="0"/>
    <b v="0"/>
    <x v="0"/>
  </r>
  <r>
    <s v="https://twitter.com/VW/status/632171227986030592"/>
    <s v="Volkswagen"/>
    <s v="@VW"/>
    <x v="530"/>
    <s v="2015-08-14T12:45:40.000Z"/>
    <x v="0"/>
    <x v="54"/>
    <s v="12:45:40"/>
    <x v="0"/>
    <s v="@PBjunkie2023"/>
    <s v=""/>
    <n v="1"/>
    <n v="0"/>
    <n v="1"/>
    <n v="2"/>
    <s v="Low engagement"/>
    <b v="0"/>
    <b v="0"/>
    <b v="0"/>
    <x v="0"/>
  </r>
  <r>
    <s v="https://twitter.com/VW/status/632171230032822272"/>
    <s v="Volkswagen"/>
    <s v="@VW"/>
    <x v="531"/>
    <s v="2015-08-14T12:45:41.000Z"/>
    <x v="0"/>
    <x v="54"/>
    <s v="12:45:41"/>
    <x v="0"/>
    <s v="@PBjunkie2023"/>
    <s v=""/>
    <n v="1"/>
    <n v="2"/>
    <n v="1"/>
    <n v="4"/>
    <s v="Low engagement"/>
    <b v="0"/>
    <b v="0"/>
    <b v="0"/>
    <x v="0"/>
  </r>
  <r>
    <s v="https://twitter.com/VW/status/632190769797931008"/>
    <s v="Volkswagen"/>
    <s v="@VW"/>
    <x v="532"/>
    <s v="2015-08-14T14:03:19.000Z"/>
    <x v="0"/>
    <x v="54"/>
    <s v="14:03:19"/>
    <x v="3"/>
    <s v=""/>
    <s v=""/>
    <n v="28"/>
    <n v="1"/>
    <n v="6"/>
    <n v="35"/>
    <s v="High engagement"/>
    <b v="1"/>
    <b v="0"/>
    <b v="0"/>
    <x v="1"/>
  </r>
  <r>
    <s v="https://twitter.com/VW/status/632218214920011778"/>
    <s v="Volkswagen"/>
    <s v="@VW"/>
    <x v="533"/>
    <s v="2015-08-14T15:52:23.000Z"/>
    <x v="0"/>
    <x v="54"/>
    <s v="15:52:23"/>
    <x v="3"/>
    <s v=""/>
    <s v=""/>
    <n v="31"/>
    <n v="0"/>
    <n v="13"/>
    <n v="44"/>
    <s v="High engagement"/>
    <b v="1"/>
    <b v="0"/>
    <b v="0"/>
    <x v="1"/>
  </r>
  <r>
    <s v="https://twitter.com/VW/status/632241536084918272"/>
    <s v="Volkswagen"/>
    <s v="@VW"/>
    <x v="534"/>
    <s v="2015-08-14T17:25:03.000Z"/>
    <x v="0"/>
    <x v="54"/>
    <s v="17:25:03"/>
    <x v="3"/>
    <s v=""/>
    <s v=""/>
    <n v="17"/>
    <n v="1"/>
    <n v="8"/>
    <n v="26"/>
    <s v="High engagement"/>
    <b v="1"/>
    <b v="0"/>
    <b v="0"/>
    <x v="1"/>
  </r>
  <r>
    <s v="https://twitter.com/VW/status/632247924844425216"/>
    <s v="Volkswagen"/>
    <s v="@VW"/>
    <x v="535"/>
    <s v="2015-08-14T17:50:26.000Z"/>
    <x v="0"/>
    <x v="54"/>
    <s v="17:50:26"/>
    <x v="3"/>
    <s v=""/>
    <s v=""/>
    <n v="0"/>
    <n v="0"/>
    <n v="1"/>
    <n v="1"/>
    <s v="Low engagement"/>
    <b v="0"/>
    <b v="0"/>
    <b v="1"/>
    <x v="3"/>
  </r>
  <r>
    <s v="https://twitter.com/VW/status/632247923418378240"/>
    <s v="Volkswagen"/>
    <s v="@VW"/>
    <x v="536"/>
    <s v="2015-08-14T17:50:26.000Z"/>
    <x v="0"/>
    <x v="54"/>
    <s v="17:50:26"/>
    <x v="3"/>
    <s v=""/>
    <s v=""/>
    <n v="0"/>
    <n v="0"/>
    <n v="0"/>
    <n v="0"/>
    <s v="No engagement"/>
    <b v="0"/>
    <b v="0"/>
    <b v="0"/>
    <x v="0"/>
  </r>
  <r>
    <s v="https://twitter.com/VW/status/632274340793450496"/>
    <s v="Volkswagen"/>
    <s v="@VW"/>
    <x v="537"/>
    <s v="2015-08-14T19:35:24.000Z"/>
    <x v="0"/>
    <x v="54"/>
    <s v="19:35:24"/>
    <x v="1"/>
    <s v=""/>
    <s v=""/>
    <n v="38"/>
    <n v="1"/>
    <n v="15"/>
    <n v="54"/>
    <s v="High engagement"/>
    <b v="1"/>
    <b v="0"/>
    <b v="0"/>
    <x v="1"/>
  </r>
  <r>
    <s v="https://twitter.com/VW/status/632300603226501120"/>
    <s v="Volkswagen"/>
    <s v="@VW"/>
    <x v="538"/>
    <s v="2015-08-14T21:19:46.000Z"/>
    <x v="0"/>
    <x v="54"/>
    <s v="21:19:46"/>
    <x v="1"/>
    <s v=""/>
    <s v=""/>
    <n v="24"/>
    <n v="0"/>
    <n v="9"/>
    <n v="33"/>
    <s v="High engagement"/>
    <b v="1"/>
    <b v="0"/>
    <b v="0"/>
    <x v="1"/>
  </r>
  <r>
    <s v="https://twitter.com/VW/status/632321910173528064"/>
    <s v="Volkswagen"/>
    <s v="@VW"/>
    <x v="539"/>
    <s v="2015-08-14T22:44:26.000Z"/>
    <x v="0"/>
    <x v="54"/>
    <s v="22:44:26"/>
    <x v="1"/>
    <s v=""/>
    <s v=""/>
    <n v="36"/>
    <n v="0"/>
    <n v="14"/>
    <n v="50"/>
    <s v="High engagement"/>
    <b v="1"/>
    <b v="0"/>
    <b v="0"/>
    <x v="1"/>
  </r>
  <r>
    <s v="https://twitter.com/VW/status/632343346413895680"/>
    <s v="Volkswagen"/>
    <s v="@VW"/>
    <x v="540"/>
    <s v="2015-08-15T00:09:36.000Z"/>
    <x v="0"/>
    <x v="55"/>
    <s v="00:09:36"/>
    <x v="4"/>
    <s v="@Chewybbq"/>
    <s v=""/>
    <n v="0"/>
    <n v="0"/>
    <n v="1"/>
    <n v="1"/>
    <s v="Low engagement"/>
    <b v="0"/>
    <b v="0"/>
    <b v="0"/>
    <x v="0"/>
  </r>
  <r>
    <s v="https://twitter.com/VW/status/632343350348124160"/>
    <s v="Volkswagen"/>
    <s v="@VW"/>
    <x v="541"/>
    <s v="2015-08-15T00:09:37.000Z"/>
    <x v="0"/>
    <x v="55"/>
    <s v="00:09:37"/>
    <x v="4"/>
    <s v=""/>
    <s v=""/>
    <n v="0"/>
    <n v="1"/>
    <n v="1"/>
    <n v="2"/>
    <s v="Low engagement"/>
    <b v="0"/>
    <b v="0"/>
    <b v="0"/>
    <x v="0"/>
  </r>
  <r>
    <s v="https://twitter.com/VW/status/632343348116721664"/>
    <s v="Volkswagen"/>
    <s v="@VW"/>
    <x v="542"/>
    <s v="2015-08-15T00:09:37.000Z"/>
    <x v="0"/>
    <x v="55"/>
    <s v="00:09:37"/>
    <x v="4"/>
    <s v=""/>
    <s v=""/>
    <n v="0"/>
    <n v="0"/>
    <n v="0"/>
    <n v="0"/>
    <s v="No engagement"/>
    <b v="0"/>
    <b v="0"/>
    <b v="0"/>
    <x v="0"/>
  </r>
  <r>
    <s v="https://twitter.com/VW/status/632561566211305472"/>
    <s v="Volkswagen"/>
    <s v="@VW"/>
    <x v="543"/>
    <s v="2015-08-15T14:36:44.000Z"/>
    <x v="0"/>
    <x v="55"/>
    <s v="14:36:44"/>
    <x v="3"/>
    <s v=""/>
    <s v=""/>
    <n v="46"/>
    <n v="0"/>
    <n v="20"/>
    <n v="66"/>
    <s v="High engagement"/>
    <b v="1"/>
    <b v="0"/>
    <b v="0"/>
    <x v="1"/>
  </r>
  <r>
    <s v="https://twitter.com/VW/status/632596503996026880"/>
    <s v="Volkswagen"/>
    <s v="@VW"/>
    <x v="544"/>
    <s v="2015-08-15T16:55:34.000Z"/>
    <x v="0"/>
    <x v="55"/>
    <s v="16:55:34"/>
    <x v="3"/>
    <s v=""/>
    <s v=""/>
    <n v="37"/>
    <n v="0"/>
    <n v="15"/>
    <n v="52"/>
    <s v="High engagement"/>
    <b v="1"/>
    <b v="0"/>
    <b v="0"/>
    <x v="1"/>
  </r>
  <r>
    <s v="https://twitter.com/VW/status/632625697283043328"/>
    <s v="Volkswagen"/>
    <s v="@VW"/>
    <x v="545"/>
    <s v="2015-08-15T18:51:34.000Z"/>
    <x v="0"/>
    <x v="55"/>
    <s v="18:51:34"/>
    <x v="1"/>
    <s v=""/>
    <s v=""/>
    <n v="35"/>
    <n v="0"/>
    <n v="17"/>
    <n v="52"/>
    <s v="High engagement"/>
    <b v="1"/>
    <b v="0"/>
    <b v="0"/>
    <x v="1"/>
  </r>
  <r>
    <s v="https://twitter.com/VW/status/632646668316471296"/>
    <s v="Volkswagen"/>
    <s v="@VW"/>
    <x v="546"/>
    <s v="2015-08-15T20:14:54.000Z"/>
    <x v="0"/>
    <x v="55"/>
    <s v="20:14:54"/>
    <x v="1"/>
    <s v=""/>
    <s v=""/>
    <n v="45"/>
    <n v="1"/>
    <n v="22"/>
    <n v="68"/>
    <s v="High engagement"/>
    <b v="1"/>
    <b v="0"/>
    <b v="0"/>
    <x v="1"/>
  </r>
  <r>
    <s v="https://twitter.com/VW/status/632963976788373505"/>
    <s v="Volkswagen"/>
    <s v="@VW"/>
    <x v="547"/>
    <s v="2015-08-16T17:15:46.000Z"/>
    <x v="0"/>
    <x v="56"/>
    <s v="17:15:46"/>
    <x v="3"/>
    <s v=""/>
    <s v=""/>
    <n v="61"/>
    <n v="2"/>
    <n v="22"/>
    <n v="85"/>
    <s v="High engagement"/>
    <b v="1"/>
    <b v="0"/>
    <b v="0"/>
    <x v="1"/>
  </r>
  <r>
    <s v="https://twitter.com/VW/status/633342518206164992"/>
    <s v="Volkswagen"/>
    <s v="@VW"/>
    <x v="548"/>
    <s v="2015-08-17T18:19:57.000Z"/>
    <x v="0"/>
    <x v="57"/>
    <s v="18:19:57"/>
    <x v="1"/>
    <s v="@MrOsqui"/>
    <s v=""/>
    <n v="0"/>
    <n v="1"/>
    <n v="0"/>
    <n v="1"/>
    <s v="Low engagement"/>
    <b v="0"/>
    <b v="0"/>
    <b v="0"/>
    <x v="0"/>
  </r>
  <r>
    <s v="https://twitter.com/VW/status/633342516557819904"/>
    <s v="Volkswagen"/>
    <s v="@VW"/>
    <x v="549"/>
    <s v="2015-08-17T18:19:57.000Z"/>
    <x v="0"/>
    <x v="57"/>
    <s v="18:19:57"/>
    <x v="1"/>
    <s v="@MrOsqui"/>
    <s v=""/>
    <n v="0"/>
    <n v="0"/>
    <n v="0"/>
    <n v="0"/>
    <s v="No engagement"/>
    <b v="0"/>
    <b v="0"/>
    <b v="1"/>
    <x v="3"/>
  </r>
  <r>
    <s v="https://twitter.com/VW/status/633342519514763265"/>
    <s v="Volkswagen"/>
    <s v="@VW"/>
    <x v="550"/>
    <s v="2015-08-17T18:19:58.000Z"/>
    <x v="0"/>
    <x v="57"/>
    <s v="18:19:58"/>
    <x v="1"/>
    <s v="@surfisup123"/>
    <s v=""/>
    <n v="0"/>
    <n v="0"/>
    <n v="0"/>
    <n v="0"/>
    <s v="No engagement"/>
    <b v="0"/>
    <b v="0"/>
    <b v="1"/>
    <x v="3"/>
  </r>
  <r>
    <s v="https://twitter.com/VW/status/633344554708566016"/>
    <s v="Volkswagen"/>
    <s v="@VW"/>
    <x v="551"/>
    <s v="2015-08-17T18:28:03.000Z"/>
    <x v="0"/>
    <x v="57"/>
    <s v="18:28:03"/>
    <x v="1"/>
    <s v="@yschimke"/>
    <s v=""/>
    <n v="0"/>
    <n v="0"/>
    <n v="1"/>
    <n v="1"/>
    <s v="Low engagement"/>
    <b v="0"/>
    <b v="0"/>
    <b v="0"/>
    <x v="0"/>
  </r>
  <r>
    <s v="https://twitter.com/VW/status/633344553089523713"/>
    <s v="Volkswagen"/>
    <s v="@VW"/>
    <x v="552"/>
    <s v="2015-08-17T18:28:03.000Z"/>
    <x v="0"/>
    <x v="57"/>
    <s v="18:28:03"/>
    <x v="1"/>
    <s v=""/>
    <s v=""/>
    <n v="0"/>
    <n v="0"/>
    <n v="0"/>
    <n v="0"/>
    <s v="No engagement"/>
    <b v="0"/>
    <b v="0"/>
    <b v="0"/>
    <x v="0"/>
  </r>
  <r>
    <s v="https://twitter.com/VW/status/633389874905636864"/>
    <s v="Volkswagen"/>
    <s v="@VW"/>
    <x v="553"/>
    <s v="2015-08-17T21:28:08.000Z"/>
    <x v="0"/>
    <x v="57"/>
    <s v="21:28:08"/>
    <x v="1"/>
    <s v="@notcoolnuf2twt"/>
    <s v=""/>
    <n v="1"/>
    <n v="0"/>
    <n v="1"/>
    <n v="2"/>
    <s v="Low engagement"/>
    <b v="0"/>
    <b v="0"/>
    <b v="0"/>
    <x v="0"/>
  </r>
  <r>
    <s v="https://twitter.com/VW/status/633389878890246144"/>
    <s v="Volkswagen"/>
    <s v="@VW"/>
    <x v="554"/>
    <s v="2015-08-17T21:28:09.000Z"/>
    <x v="0"/>
    <x v="57"/>
    <s v="21:28:09"/>
    <x v="1"/>
    <s v="@vonnestar"/>
    <s v=""/>
    <n v="0"/>
    <n v="1"/>
    <n v="1"/>
    <n v="2"/>
    <s v="Low engagement"/>
    <b v="0"/>
    <b v="0"/>
    <b v="1"/>
    <x v="3"/>
  </r>
  <r>
    <s v="https://twitter.com/VW/status/633389877522907136"/>
    <s v="Volkswagen"/>
    <s v="@VW"/>
    <x v="555"/>
    <s v="2015-08-17T21:28:09.000Z"/>
    <x v="0"/>
    <x v="57"/>
    <s v="21:28:09"/>
    <x v="1"/>
    <s v="@vonnestar"/>
    <s v=""/>
    <n v="0"/>
    <n v="0"/>
    <n v="1"/>
    <n v="1"/>
    <s v="Low engagement"/>
    <b v="0"/>
    <b v="0"/>
    <b v="0"/>
    <x v="0"/>
  </r>
  <r>
    <s v="https://twitter.com/VW/status/633389876411396096"/>
    <s v="Volkswagen"/>
    <s v="@VW"/>
    <x v="556"/>
    <s v="2015-08-17T21:28:09.000Z"/>
    <x v="0"/>
    <x v="57"/>
    <s v="21:28:09"/>
    <x v="1"/>
    <s v="@notcoolnuf2twt"/>
    <s v=""/>
    <n v="1"/>
    <n v="0"/>
    <n v="1"/>
    <n v="2"/>
    <s v="Low engagement"/>
    <b v="0"/>
    <b v="0"/>
    <b v="0"/>
    <x v="0"/>
  </r>
  <r>
    <s v="https://twitter.com/VW/status/633392111820259328"/>
    <s v="Volkswagen"/>
    <s v="@VW"/>
    <x v="557"/>
    <s v="2015-08-17T21:37:01.000Z"/>
    <x v="0"/>
    <x v="57"/>
    <s v="21:37:01"/>
    <x v="1"/>
    <s v="@SiagonCorndog"/>
    <s v=""/>
    <n v="0"/>
    <n v="0"/>
    <n v="0"/>
    <n v="0"/>
    <s v="No engagement"/>
    <b v="0"/>
    <b v="0"/>
    <b v="0"/>
    <x v="0"/>
  </r>
  <r>
    <s v="https://twitter.com/VW/status/633392115523842048"/>
    <s v="Volkswagen"/>
    <s v="@VW"/>
    <x v="558"/>
    <s v="2015-08-17T21:37:02.000Z"/>
    <x v="0"/>
    <x v="57"/>
    <s v="21:37:02"/>
    <x v="1"/>
    <s v="@chrisb17x"/>
    <s v=""/>
    <n v="0"/>
    <n v="0"/>
    <n v="1"/>
    <n v="1"/>
    <s v="Low engagement"/>
    <b v="0"/>
    <b v="0"/>
    <b v="0"/>
    <x v="0"/>
  </r>
  <r>
    <s v="https://twitter.com/VW/status/633392118459863040"/>
    <s v="Volkswagen"/>
    <s v="@VW"/>
    <x v="559"/>
    <s v="2015-08-17T21:37:03.000Z"/>
    <x v="0"/>
    <x v="57"/>
    <s v="21:37:03"/>
    <x v="1"/>
    <s v=""/>
    <s v=""/>
    <n v="1"/>
    <n v="0"/>
    <n v="1"/>
    <n v="2"/>
    <s v="Low engagement"/>
    <b v="0"/>
    <b v="0"/>
    <b v="0"/>
    <x v="0"/>
  </r>
  <r>
    <s v="https://twitter.com/VW/status/633392123694329861"/>
    <s v="Volkswagen"/>
    <s v="@VW"/>
    <x v="560"/>
    <s v="2015-08-17T21:37:04.000Z"/>
    <x v="0"/>
    <x v="57"/>
    <s v="21:37:04"/>
    <x v="1"/>
    <s v=""/>
    <s v=""/>
    <n v="0"/>
    <n v="0"/>
    <n v="1"/>
    <n v="1"/>
    <s v="Low engagement"/>
    <b v="0"/>
    <b v="0"/>
    <b v="0"/>
    <x v="0"/>
  </r>
  <r>
    <s v="https://twitter.com/VW/status/633392122469572608"/>
    <s v="Volkswagen"/>
    <s v="@VW"/>
    <x v="561"/>
    <s v="2015-08-17T21:37:04.000Z"/>
    <x v="0"/>
    <x v="57"/>
    <s v="21:37:04"/>
    <x v="1"/>
    <s v="@runa5kate"/>
    <s v=""/>
    <n v="0"/>
    <n v="0"/>
    <n v="1"/>
    <n v="1"/>
    <s v="Low engagement"/>
    <b v="0"/>
    <b v="0"/>
    <b v="1"/>
    <x v="3"/>
  </r>
  <r>
    <s v="https://twitter.com/VW/status/633392121035132928"/>
    <s v="Volkswagen"/>
    <s v="@VW"/>
    <x v="562"/>
    <s v="2015-08-17T21:37:04.000Z"/>
    <x v="0"/>
    <x v="57"/>
    <s v="21:37:04"/>
    <x v="1"/>
    <s v="@runa5kate"/>
    <s v=""/>
    <n v="0"/>
    <n v="0"/>
    <n v="0"/>
    <n v="0"/>
    <s v="No engagement"/>
    <b v="0"/>
    <b v="0"/>
    <b v="0"/>
    <x v="0"/>
  </r>
  <r>
    <s v="https://twitter.com/VW/status/633392125372010496"/>
    <s v="Volkswagen"/>
    <s v="@VW"/>
    <x v="563"/>
    <s v="2015-08-17T21:37:05.000Z"/>
    <x v="0"/>
    <x v="57"/>
    <s v="21:37:05"/>
    <x v="1"/>
    <s v=""/>
    <s v=""/>
    <n v="0"/>
    <n v="0"/>
    <n v="1"/>
    <n v="1"/>
    <s v="Low engagement"/>
    <b v="0"/>
    <b v="0"/>
    <b v="0"/>
    <x v="0"/>
  </r>
  <r>
    <s v="https://twitter.com/VW/status/633394316262678529"/>
    <s v="Volkswagen"/>
    <s v="@VW"/>
    <x v="564"/>
    <s v="2015-08-17T21:45:47.000Z"/>
    <x v="0"/>
    <x v="57"/>
    <s v="21:45:47"/>
    <x v="1"/>
    <s v=""/>
    <s v=""/>
    <n v="0"/>
    <n v="0"/>
    <n v="1"/>
    <n v="1"/>
    <s v="Low engagement"/>
    <b v="0"/>
    <b v="0"/>
    <b v="1"/>
    <x v="3"/>
  </r>
  <r>
    <s v="https://twitter.com/VW/status/633677738612649984"/>
    <s v="Volkswagen"/>
    <s v="@VW"/>
    <x v="565"/>
    <s v="2015-08-18T16:32:00.000Z"/>
    <x v="0"/>
    <x v="58"/>
    <s v="16:32:00"/>
    <x v="3"/>
    <s v="@hectorarce"/>
    <s v=""/>
    <n v="0"/>
    <n v="2"/>
    <n v="1"/>
    <n v="3"/>
    <s v="Low engagement"/>
    <b v="0"/>
    <b v="0"/>
    <b v="1"/>
    <x v="3"/>
  </r>
  <r>
    <s v="https://twitter.com/VW/status/633677737048190976"/>
    <s v="Volkswagen"/>
    <s v="@VW"/>
    <x v="566"/>
    <s v="2015-08-18T16:32:00.000Z"/>
    <x v="0"/>
    <x v="58"/>
    <s v="16:32:00"/>
    <x v="3"/>
    <s v="@hectorarce"/>
    <s v=""/>
    <n v="0"/>
    <n v="0"/>
    <n v="1"/>
    <n v="1"/>
    <s v="Low engagement"/>
    <b v="0"/>
    <b v="0"/>
    <b v="0"/>
    <x v="0"/>
  </r>
  <r>
    <s v="https://twitter.com/VW/status/633677735848611840"/>
    <s v="Volkswagen"/>
    <s v="@VW"/>
    <x v="567"/>
    <s v="2015-08-18T16:32:00.000Z"/>
    <x v="0"/>
    <x v="58"/>
    <s v="16:32:00"/>
    <x v="3"/>
    <s v="@UmarEazyE"/>
    <s v=""/>
    <n v="0"/>
    <n v="0"/>
    <n v="1"/>
    <n v="1"/>
    <s v="Low engagement"/>
    <b v="0"/>
    <b v="0"/>
    <b v="0"/>
    <x v="0"/>
  </r>
  <r>
    <s v="https://twitter.com/VW/status/633703377692696576"/>
    <s v="Volkswagen"/>
    <s v="@VW"/>
    <x v="568"/>
    <s v="2015-08-18T18:13:53.000Z"/>
    <x v="0"/>
    <x v="58"/>
    <s v="18:13:53"/>
    <x v="1"/>
    <s v="@RealJackM"/>
    <s v=""/>
    <n v="0"/>
    <n v="0"/>
    <n v="1"/>
    <n v="1"/>
    <s v="Low engagement"/>
    <b v="0"/>
    <b v="0"/>
    <b v="0"/>
    <x v="0"/>
  </r>
  <r>
    <s v="https://twitter.com/VW/status/633703375515840513"/>
    <s v="Volkswagen"/>
    <s v="@VW"/>
    <x v="569"/>
    <s v="2015-08-18T18:13:53.000Z"/>
    <x v="0"/>
    <x v="58"/>
    <s v="18:13:53"/>
    <x v="1"/>
    <s v="@RealJackM"/>
    <s v=""/>
    <n v="0"/>
    <n v="0"/>
    <n v="1"/>
    <n v="1"/>
    <s v="Low engagement"/>
    <b v="0"/>
    <b v="0"/>
    <b v="1"/>
    <x v="3"/>
  </r>
  <r>
    <s v="https://twitter.com/VW/status/633703382864281600"/>
    <s v="Volkswagen"/>
    <s v="@VW"/>
    <x v="570"/>
    <s v="2015-08-18T18:13:54.000Z"/>
    <x v="0"/>
    <x v="58"/>
    <s v="18:13:54"/>
    <x v="1"/>
    <s v="@lhoagz"/>
    <s v=""/>
    <n v="0"/>
    <n v="1"/>
    <n v="1"/>
    <n v="2"/>
    <s v="Low engagement"/>
    <b v="0"/>
    <b v="0"/>
    <b v="0"/>
    <x v="0"/>
  </r>
  <r>
    <s v="https://twitter.com/VW/status/633703380318298113"/>
    <s v="Volkswagen"/>
    <s v="@VW"/>
    <x v="571"/>
    <s v="2015-08-18T18:13:54.000Z"/>
    <x v="0"/>
    <x v="58"/>
    <s v="18:13:54"/>
    <x v="1"/>
    <s v="@lhoagz"/>
    <s v=""/>
    <n v="0"/>
    <n v="0"/>
    <n v="0"/>
    <n v="0"/>
    <s v="No engagement"/>
    <b v="0"/>
    <b v="0"/>
    <b v="0"/>
    <x v="0"/>
  </r>
  <r>
    <s v="https://twitter.com/VW/status/633703384617484288"/>
    <s v="Volkswagen"/>
    <s v="@VW"/>
    <x v="572"/>
    <s v="2015-08-18T18:13:55.000Z"/>
    <x v="0"/>
    <x v="58"/>
    <s v="18:13:55"/>
    <x v="1"/>
    <s v=""/>
    <s v=""/>
    <n v="0"/>
    <n v="0"/>
    <n v="1"/>
    <n v="1"/>
    <s v="Low engagement"/>
    <b v="0"/>
    <b v="0"/>
    <b v="1"/>
    <x v="3"/>
  </r>
  <r>
    <s v="https://twitter.com/VW/status/633728873377599488"/>
    <s v="Volkswagen"/>
    <s v="@VW"/>
    <x v="573"/>
    <s v="2015-08-18T19:55:12.000Z"/>
    <x v="0"/>
    <x v="58"/>
    <s v="19:55:12"/>
    <x v="1"/>
    <s v="@Bluewatertang"/>
    <s v=""/>
    <n v="0"/>
    <n v="0"/>
    <n v="1"/>
    <n v="1"/>
    <s v="Low engagement"/>
    <b v="0"/>
    <b v="0"/>
    <b v="0"/>
    <x v="0"/>
  </r>
  <r>
    <s v="https://twitter.com/VW/status/634038458097401856"/>
    <s v="Volkswagen"/>
    <s v="@VW"/>
    <x v="574"/>
    <s v="2015-08-19T16:25:22.000Z"/>
    <x v="0"/>
    <x v="59"/>
    <s v="16:25:22"/>
    <x v="3"/>
    <s v="@BobbyFantast1c"/>
    <s v=""/>
    <n v="0"/>
    <n v="0"/>
    <n v="1"/>
    <n v="1"/>
    <s v="Low engagement"/>
    <b v="0"/>
    <b v="0"/>
    <b v="1"/>
    <x v="3"/>
  </r>
  <r>
    <s v="https://twitter.com/VW/status/634053425949315072"/>
    <s v="Volkswagen"/>
    <s v="@VW"/>
    <x v="575"/>
    <s v="2015-08-19T17:24:51.000Z"/>
    <x v="0"/>
    <x v="59"/>
    <s v="17:24:51"/>
    <x v="3"/>
    <s v="@Jay2daCnE"/>
    <s v=""/>
    <n v="0"/>
    <n v="0"/>
    <n v="1"/>
    <n v="1"/>
    <s v="Low engagement"/>
    <b v="0"/>
    <b v="0"/>
    <b v="1"/>
    <x v="3"/>
  </r>
  <r>
    <s v="https://twitter.com/VW/status/634055529027887104"/>
    <s v="Volkswagen"/>
    <s v="@VW"/>
    <x v="576"/>
    <s v="2015-08-19T17:33:12.000Z"/>
    <x v="0"/>
    <x v="59"/>
    <s v="17:33:12"/>
    <x v="3"/>
    <s v=""/>
    <s v=""/>
    <n v="0"/>
    <n v="0"/>
    <n v="1"/>
    <n v="1"/>
    <s v="Low engagement"/>
    <b v="0"/>
    <b v="0"/>
    <b v="0"/>
    <x v="0"/>
  </r>
  <r>
    <s v="https://twitter.com/VW/status/634087535610736640"/>
    <s v="Volkswagen"/>
    <s v="@VW"/>
    <x v="577"/>
    <s v="2015-08-19T19:40:23.000Z"/>
    <x v="0"/>
    <x v="59"/>
    <s v="19:40:23"/>
    <x v="1"/>
    <s v="@lotzof_gas"/>
    <s v=""/>
    <n v="1"/>
    <n v="0"/>
    <n v="1"/>
    <n v="2"/>
    <s v="Low engagement"/>
    <b v="0"/>
    <b v="0"/>
    <b v="1"/>
    <x v="3"/>
  </r>
  <r>
    <s v="https://twitter.com/VW/status/634087534029504512"/>
    <s v="Volkswagen"/>
    <s v="@VW"/>
    <x v="578"/>
    <s v="2015-08-19T19:40:23.000Z"/>
    <x v="0"/>
    <x v="59"/>
    <s v="19:40:23"/>
    <x v="1"/>
    <s v="@lotzof_gas"/>
    <s v=""/>
    <n v="0"/>
    <n v="0"/>
    <n v="1"/>
    <n v="1"/>
    <s v="Low engagement"/>
    <b v="0"/>
    <b v="0"/>
    <b v="0"/>
    <x v="0"/>
  </r>
  <r>
    <s v="https://twitter.com/VW/status/634148810495623168"/>
    <s v="Volkswagen"/>
    <s v="@VW"/>
    <x v="579"/>
    <s v="2015-08-19T23:43:52.000Z"/>
    <x v="0"/>
    <x v="59"/>
    <s v="23:43:52"/>
    <x v="1"/>
    <s v="@vonnestar"/>
    <s v=""/>
    <n v="0"/>
    <n v="0"/>
    <n v="1"/>
    <n v="1"/>
    <s v="Low engagement"/>
    <b v="0"/>
    <b v="0"/>
    <b v="0"/>
    <x v="0"/>
  </r>
  <r>
    <s v="https://twitter.com/VW/status/634499021726445568"/>
    <s v="Volkswagen"/>
    <s v="@VW"/>
    <x v="580"/>
    <s v="2015-08-20T22:55:29.000Z"/>
    <x v="0"/>
    <x v="60"/>
    <s v="22:55:29"/>
    <x v="1"/>
    <s v="@hectorarce"/>
    <s v=""/>
    <n v="0"/>
    <n v="0"/>
    <n v="1"/>
    <n v="1"/>
    <s v="Low engagement"/>
    <b v="0"/>
    <b v="0"/>
    <b v="0"/>
    <x v="0"/>
  </r>
  <r>
    <s v="https://twitter.com/VW/status/634499024863784961"/>
    <s v="Volkswagen"/>
    <s v="@VW"/>
    <x v="581"/>
    <s v="2015-08-20T22:55:30.000Z"/>
    <x v="0"/>
    <x v="60"/>
    <s v="22:55:30"/>
    <x v="1"/>
    <s v="@AimeireaCluaran"/>
    <s v=""/>
    <n v="0"/>
    <n v="0"/>
    <n v="1"/>
    <n v="1"/>
    <s v="Low engagement"/>
    <b v="0"/>
    <b v="0"/>
    <b v="0"/>
    <x v="0"/>
  </r>
  <r>
    <s v="https://twitter.com/VW/status/634499029477556224"/>
    <s v="Volkswagen"/>
    <s v="@VW"/>
    <x v="582"/>
    <s v="2015-08-20T22:55:31.000Z"/>
    <x v="0"/>
    <x v="60"/>
    <s v="22:55:31"/>
    <x v="1"/>
    <s v="@AugustusLeopol"/>
    <s v=""/>
    <n v="0"/>
    <n v="0"/>
    <n v="1"/>
    <n v="1"/>
    <s v="Low engagement"/>
    <b v="0"/>
    <b v="0"/>
    <b v="0"/>
    <x v="0"/>
  </r>
  <r>
    <s v="https://twitter.com/VW/status/634499027543965696"/>
    <s v="Volkswagen"/>
    <s v="@VW"/>
    <x v="583"/>
    <s v="2015-08-20T22:55:31.000Z"/>
    <x v="0"/>
    <x v="60"/>
    <s v="22:55:31"/>
    <x v="1"/>
    <s v="@AimeireaCluaran"/>
    <s v=""/>
    <n v="0"/>
    <n v="0"/>
    <n v="0"/>
    <n v="0"/>
    <s v="No engagement"/>
    <b v="0"/>
    <b v="0"/>
    <b v="0"/>
    <x v="0"/>
  </r>
  <r>
    <s v="https://twitter.com/VW/status/634499032983969792"/>
    <s v="Volkswagen"/>
    <s v="@VW"/>
    <x v="584"/>
    <s v="2015-08-20T22:55:32.000Z"/>
    <x v="0"/>
    <x v="60"/>
    <s v="22:55:32"/>
    <x v="1"/>
    <s v="@ShirleyCallis"/>
    <s v=""/>
    <n v="0"/>
    <n v="0"/>
    <n v="1"/>
    <n v="1"/>
    <s v="Low engagement"/>
    <b v="0"/>
    <b v="0"/>
    <b v="0"/>
    <x v="0"/>
  </r>
  <r>
    <s v="https://twitter.com/VW/status/634703963732901888"/>
    <s v="Volkswagen"/>
    <s v="@VW"/>
    <x v="585"/>
    <s v="2015-08-21T12:29:51.000Z"/>
    <x v="0"/>
    <x v="61"/>
    <s v="12:29:51"/>
    <x v="0"/>
    <s v=""/>
    <s v=""/>
    <n v="1"/>
    <n v="0"/>
    <n v="1"/>
    <n v="2"/>
    <s v="Low engagement"/>
    <b v="0"/>
    <b v="0"/>
    <b v="0"/>
    <x v="0"/>
  </r>
  <r>
    <s v="https://twitter.com/VW/status/634703962311004161"/>
    <s v="Volkswagen"/>
    <s v="@VW"/>
    <x v="586"/>
    <s v="2015-08-21T12:29:51.000Z"/>
    <x v="0"/>
    <x v="61"/>
    <s v="12:29:51"/>
    <x v="0"/>
    <s v="@DCDanKing"/>
    <s v=""/>
    <n v="1"/>
    <n v="0"/>
    <n v="1"/>
    <n v="2"/>
    <s v="Low engagement"/>
    <b v="0"/>
    <b v="0"/>
    <b v="0"/>
    <x v="0"/>
  </r>
  <r>
    <s v="https://twitter.com/VW/status/634703960729776128"/>
    <s v="Volkswagen"/>
    <s v="@VW"/>
    <x v="587"/>
    <s v="2015-08-21T12:29:51.000Z"/>
    <x v="0"/>
    <x v="61"/>
    <s v="12:29:51"/>
    <x v="0"/>
    <s v="@DCDanKing"/>
    <s v=""/>
    <n v="1"/>
    <n v="0"/>
    <n v="1"/>
    <n v="2"/>
    <s v="Low engagement"/>
    <b v="0"/>
    <b v="0"/>
    <b v="0"/>
    <x v="0"/>
  </r>
  <r>
    <s v="https://twitter.com/VW/status/634703965284794369"/>
    <s v="Volkswagen"/>
    <s v="@VW"/>
    <x v="588"/>
    <s v="2015-08-21T12:29:52.000Z"/>
    <x v="0"/>
    <x v="61"/>
    <s v="12:29:52"/>
    <x v="0"/>
    <s v=""/>
    <s v=""/>
    <n v="1"/>
    <n v="0"/>
    <n v="1"/>
    <n v="2"/>
    <s v="Low engagement"/>
    <b v="0"/>
    <b v="0"/>
    <b v="0"/>
    <x v="0"/>
  </r>
  <r>
    <s v="https://twitter.com/VW/status/634744627829055488"/>
    <s v="Volkswagen"/>
    <s v="@VW"/>
    <x v="589"/>
    <s v="2015-08-21T15:11:26.000Z"/>
    <x v="0"/>
    <x v="61"/>
    <s v="15:11:26"/>
    <x v="3"/>
    <s v="@jefferyholmes"/>
    <s v=""/>
    <n v="0"/>
    <n v="0"/>
    <n v="1"/>
    <n v="1"/>
    <s v="Low engagement"/>
    <b v="0"/>
    <b v="0"/>
    <b v="0"/>
    <x v="0"/>
  </r>
  <r>
    <s v="https://twitter.com/VW/status/634744631666806785"/>
    <s v="Volkswagen"/>
    <s v="@VW"/>
    <x v="590"/>
    <s v="2015-08-21T15:11:27.000Z"/>
    <x v="0"/>
    <x v="61"/>
    <s v="15:11:27"/>
    <x v="3"/>
    <s v=""/>
    <s v=""/>
    <n v="0"/>
    <n v="0"/>
    <n v="1"/>
    <n v="1"/>
    <s v="Low engagement"/>
    <b v="0"/>
    <b v="0"/>
    <b v="1"/>
    <x v="3"/>
  </r>
  <r>
    <s v="https://twitter.com/VW/status/634744630073028609"/>
    <s v="Volkswagen"/>
    <s v="@VW"/>
    <x v="591"/>
    <s v="2015-08-21T15:11:27.000Z"/>
    <x v="0"/>
    <x v="61"/>
    <s v="15:11:27"/>
    <x v="3"/>
    <s v="@jefferyholmes"/>
    <s v=""/>
    <n v="0"/>
    <n v="0"/>
    <n v="1"/>
    <n v="1"/>
    <s v="Low engagement"/>
    <b v="0"/>
    <b v="0"/>
    <b v="0"/>
    <x v="0"/>
  </r>
  <r>
    <s v="https://twitter.com/VW/status/634746727245979649"/>
    <s v="Volkswagen"/>
    <s v="@VW"/>
    <x v="592"/>
    <s v="2015-08-21T15:19:47.000Z"/>
    <x v="0"/>
    <x v="61"/>
    <s v="15:19:47"/>
    <x v="3"/>
    <s v=""/>
    <s v=""/>
    <n v="0"/>
    <n v="0"/>
    <n v="1"/>
    <n v="1"/>
    <s v="Low engagement"/>
    <b v="0"/>
    <b v="0"/>
    <b v="0"/>
    <x v="0"/>
  </r>
  <r>
    <s v="https://twitter.com/VW/status/635131460375085056"/>
    <s v="Volkswagen"/>
    <s v="@VW"/>
    <x v="593"/>
    <s v="2015-08-22T16:48:34.000Z"/>
    <x v="0"/>
    <x v="62"/>
    <s v="16:48:34"/>
    <x v="3"/>
    <s v=""/>
    <s v=""/>
    <n v="1"/>
    <n v="0"/>
    <n v="0"/>
    <n v="1"/>
    <s v="Low engagement"/>
    <b v="0"/>
    <b v="0"/>
    <b v="0"/>
    <x v="0"/>
  </r>
  <r>
    <s v="https://twitter.com/VW/status/635775086822187008"/>
    <s v="Volkswagen"/>
    <s v="@VW"/>
    <x v="594"/>
    <s v="2015-08-24T11:26:07.000Z"/>
    <x v="0"/>
    <x v="63"/>
    <s v="11:26:07"/>
    <x v="0"/>
    <s v=""/>
    <s v=""/>
    <n v="0"/>
    <n v="0"/>
    <n v="1"/>
    <n v="1"/>
    <s v="Low engagement"/>
    <b v="0"/>
    <b v="0"/>
    <b v="0"/>
    <x v="0"/>
  </r>
  <r>
    <s v="https://twitter.com/VW/status/635812244434087936"/>
    <s v="Volkswagen"/>
    <s v="@VW"/>
    <x v="595"/>
    <s v="2015-08-24T13:53:46.000Z"/>
    <x v="0"/>
    <x v="63"/>
    <s v="13:53:46"/>
    <x v="0"/>
    <s v=""/>
    <s v=""/>
    <n v="25"/>
    <n v="0"/>
    <n v="18"/>
    <n v="43"/>
    <s v="High engagement"/>
    <b v="1"/>
    <b v="0"/>
    <b v="1"/>
    <x v="1"/>
  </r>
  <r>
    <s v="https://twitter.com/VW/status/635860225937899520"/>
    <s v="Volkswagen"/>
    <s v="@VW"/>
    <x v="596"/>
    <s v="2015-08-24T17:04:26.000Z"/>
    <x v="0"/>
    <x v="63"/>
    <s v="17:04:26"/>
    <x v="3"/>
    <s v=""/>
    <s v=""/>
    <n v="0"/>
    <n v="0"/>
    <n v="0"/>
    <n v="0"/>
    <s v="No engagement"/>
    <b v="0"/>
    <b v="0"/>
    <b v="0"/>
    <x v="0"/>
  </r>
  <r>
    <s v="https://twitter.com/VW/status/635860232174854145"/>
    <s v="Volkswagen"/>
    <s v="@VW"/>
    <x v="597"/>
    <s v="2015-08-24T17:04:27.000Z"/>
    <x v="0"/>
    <x v="63"/>
    <s v="17:04:27"/>
    <x v="3"/>
    <s v="@Wreckinjoint"/>
    <s v=""/>
    <n v="0"/>
    <n v="0"/>
    <n v="0"/>
    <n v="0"/>
    <s v="No engagement"/>
    <b v="0"/>
    <b v="0"/>
    <b v="0"/>
    <x v="0"/>
  </r>
  <r>
    <s v="https://twitter.com/VW/status/635862325182926848"/>
    <s v="Volkswagen"/>
    <s v="@VW"/>
    <x v="598"/>
    <s v="2015-08-24T17:12:46.000Z"/>
    <x v="0"/>
    <x v="63"/>
    <s v="17:12:46"/>
    <x v="3"/>
    <s v="@jesslovesjonesy"/>
    <s v=""/>
    <n v="0"/>
    <n v="0"/>
    <n v="1"/>
    <n v="1"/>
    <s v="Low engagement"/>
    <b v="0"/>
    <b v="0"/>
    <b v="0"/>
    <x v="0"/>
  </r>
  <r>
    <s v="https://twitter.com/VW/status/635862329993723905"/>
    <s v="Volkswagen"/>
    <s v="@VW"/>
    <x v="599"/>
    <s v="2015-08-24T17:12:47.000Z"/>
    <x v="0"/>
    <x v="63"/>
    <s v="17:12:47"/>
    <x v="3"/>
    <s v="@CPonPatrol"/>
    <s v=""/>
    <n v="0"/>
    <n v="0"/>
    <n v="1"/>
    <n v="1"/>
    <s v="Low engagement"/>
    <b v="0"/>
    <b v="0"/>
    <b v="1"/>
    <x v="3"/>
  </r>
  <r>
    <s v="https://twitter.com/VW/status/635862328211210240"/>
    <s v="Volkswagen"/>
    <s v="@VW"/>
    <x v="600"/>
    <s v="2015-08-24T17:12:47.000Z"/>
    <x v="0"/>
    <x v="63"/>
    <s v="17:12:47"/>
    <x v="3"/>
    <s v="@CPonPatrol"/>
    <s v=""/>
    <n v="0"/>
    <n v="0"/>
    <n v="0"/>
    <n v="0"/>
    <s v="No engagement"/>
    <b v="0"/>
    <b v="0"/>
    <b v="0"/>
    <x v="0"/>
  </r>
  <r>
    <s v="https://twitter.com/VW/status/635862326927712257"/>
    <s v="Volkswagen"/>
    <s v="@VW"/>
    <x v="601"/>
    <s v="2015-08-24T17:12:47.000Z"/>
    <x v="0"/>
    <x v="63"/>
    <s v="17:12:47"/>
    <x v="3"/>
    <s v="@jesslovesjonesy"/>
    <s v=""/>
    <n v="0"/>
    <n v="0"/>
    <n v="1"/>
    <n v="1"/>
    <s v="Low engagement"/>
    <b v="0"/>
    <b v="0"/>
    <b v="0"/>
    <x v="0"/>
  </r>
  <r>
    <s v="https://twitter.com/VW/status/635862333718315008"/>
    <s v="Volkswagen"/>
    <s v="@VW"/>
    <x v="602"/>
    <s v="2015-08-24T17:12:48.000Z"/>
    <x v="0"/>
    <x v="63"/>
    <s v="17:12:48"/>
    <x v="3"/>
    <s v="@morgandircks"/>
    <s v=""/>
    <n v="0"/>
    <n v="0"/>
    <n v="0"/>
    <n v="0"/>
    <s v="No engagement"/>
    <b v="0"/>
    <b v="0"/>
    <b v="1"/>
    <x v="3"/>
  </r>
  <r>
    <s v="https://twitter.com/VW/status/635862331239501824"/>
    <s v="Volkswagen"/>
    <s v="@VW"/>
    <x v="603"/>
    <s v="2015-08-24T17:12:48.000Z"/>
    <x v="0"/>
    <x v="63"/>
    <s v="17:12:48"/>
    <x v="3"/>
    <s v="@morgandircks"/>
    <s v=""/>
    <n v="0"/>
    <n v="0"/>
    <n v="0"/>
    <n v="0"/>
    <s v="No engagement"/>
    <b v="0"/>
    <b v="0"/>
    <b v="0"/>
    <x v="0"/>
  </r>
  <r>
    <s v="https://twitter.com/VW/status/636145108543344640"/>
    <s v="Volkswagen"/>
    <s v="@VW"/>
    <x v="604"/>
    <s v="2015-08-25T11:56:27.000Z"/>
    <x v="0"/>
    <x v="64"/>
    <s v="11:56:27"/>
    <x v="0"/>
    <s v="@summer_elite"/>
    <s v=""/>
    <n v="0"/>
    <n v="0"/>
    <n v="1"/>
    <n v="1"/>
    <s v="Low engagement"/>
    <b v="0"/>
    <b v="0"/>
    <b v="0"/>
    <x v="0"/>
  </r>
  <r>
    <s v="https://twitter.com/VW/status/636145106341396480"/>
    <s v="Volkswagen"/>
    <s v="@VW"/>
    <x v="605"/>
    <s v="2015-08-25T11:56:27.000Z"/>
    <x v="0"/>
    <x v="64"/>
    <s v="11:56:27"/>
    <x v="0"/>
    <s v="@summer_elite"/>
    <s v=""/>
    <n v="2"/>
    <n v="0"/>
    <n v="1"/>
    <n v="3"/>
    <s v="Low engagement"/>
    <b v="0"/>
    <b v="0"/>
    <b v="0"/>
    <x v="0"/>
  </r>
  <r>
    <s v="https://twitter.com/VW/status/636235261001760768"/>
    <s v="Volkswagen"/>
    <s v="@VW"/>
    <x v="606"/>
    <s v="2015-08-25T17:54:41.000Z"/>
    <x v="0"/>
    <x v="64"/>
    <s v="17:54:41"/>
    <x v="3"/>
    <s v=""/>
    <s v=""/>
    <n v="0"/>
    <n v="0"/>
    <n v="0"/>
    <n v="0"/>
    <s v="No engagement"/>
    <b v="0"/>
    <b v="0"/>
    <b v="0"/>
    <x v="0"/>
  </r>
  <r>
    <s v="https://twitter.com/VW/status/636235258883645440"/>
    <s v="Volkswagen"/>
    <s v="@VW"/>
    <x v="607"/>
    <s v="2015-08-25T17:54:41.000Z"/>
    <x v="0"/>
    <x v="64"/>
    <s v="17:54:41"/>
    <x v="3"/>
    <s v=""/>
    <s v=""/>
    <n v="0"/>
    <n v="0"/>
    <n v="0"/>
    <n v="0"/>
    <s v="No engagement"/>
    <b v="0"/>
    <b v="0"/>
    <b v="0"/>
    <x v="0"/>
  </r>
  <r>
    <s v="https://twitter.com/VW/status/636235266353577984"/>
    <s v="Volkswagen"/>
    <s v="@VW"/>
    <x v="608"/>
    <s v="2015-08-25T17:54:42.000Z"/>
    <x v="0"/>
    <x v="64"/>
    <s v="17:54:42"/>
    <x v="3"/>
    <s v=""/>
    <s v=""/>
    <n v="0"/>
    <n v="0"/>
    <n v="1"/>
    <n v="1"/>
    <s v="Low engagement"/>
    <b v="0"/>
    <b v="0"/>
    <b v="0"/>
    <x v="0"/>
  </r>
  <r>
    <s v="https://twitter.com/VW/status/636235264763953152"/>
    <s v="Volkswagen"/>
    <s v="@VW"/>
    <x v="609"/>
    <s v="2015-08-25T17:54:42.000Z"/>
    <x v="0"/>
    <x v="64"/>
    <s v="17:54:42"/>
    <x v="3"/>
    <s v=""/>
    <s v=""/>
    <n v="0"/>
    <n v="0"/>
    <n v="1"/>
    <n v="1"/>
    <s v="Low engagement"/>
    <b v="0"/>
    <b v="0"/>
    <b v="0"/>
    <x v="0"/>
  </r>
  <r>
    <s v="https://twitter.com/VW/status/636235263253987328"/>
    <s v="Volkswagen"/>
    <s v="@VW"/>
    <x v="610"/>
    <s v="2015-08-25T17:54:42.000Z"/>
    <x v="0"/>
    <x v="64"/>
    <s v="17:54:42"/>
    <x v="3"/>
    <s v="@patmoynihan39"/>
    <s v=""/>
    <n v="1"/>
    <n v="0"/>
    <n v="0"/>
    <n v="1"/>
    <s v="Low engagement"/>
    <b v="0"/>
    <b v="0"/>
    <b v="0"/>
    <x v="0"/>
  </r>
  <r>
    <s v="https://twitter.com/VW/status/636235267569922049"/>
    <s v="Volkswagen"/>
    <s v="@VW"/>
    <x v="611"/>
    <s v="2015-08-25T17:54:43.000Z"/>
    <x v="0"/>
    <x v="64"/>
    <s v="17:54:43"/>
    <x v="3"/>
    <s v="@RobertOttone"/>
    <s v=""/>
    <n v="0"/>
    <n v="0"/>
    <n v="1"/>
    <n v="1"/>
    <s v="Low engagement"/>
    <b v="0"/>
    <b v="0"/>
    <b v="0"/>
    <x v="0"/>
  </r>
  <r>
    <s v="https://twitter.com/VW/status/636263913097551872"/>
    <s v="Volkswagen"/>
    <s v="@VW"/>
    <x v="612"/>
    <s v="2015-08-25T19:48:32.000Z"/>
    <x v="0"/>
    <x v="64"/>
    <s v="19:48:32"/>
    <x v="1"/>
    <s v="@dianathekidd"/>
    <s v=""/>
    <n v="0"/>
    <n v="1"/>
    <n v="1"/>
    <n v="2"/>
    <s v="Low engagement"/>
    <b v="0"/>
    <b v="0"/>
    <b v="1"/>
    <x v="3"/>
  </r>
  <r>
    <s v="https://twitter.com/VW/status/636292526933065728"/>
    <s v="Volkswagen"/>
    <s v="@VW"/>
    <x v="613"/>
    <s v="2015-08-25T21:42:14.000Z"/>
    <x v="0"/>
    <x v="64"/>
    <s v="21:42:14"/>
    <x v="1"/>
    <s v="@cikanman"/>
    <s v=""/>
    <n v="0"/>
    <n v="1"/>
    <n v="1"/>
    <n v="2"/>
    <s v="Low engagement"/>
    <b v="0"/>
    <b v="0"/>
    <b v="1"/>
    <x v="3"/>
  </r>
  <r>
    <s v="https://twitter.com/VW/status/636299292014022656"/>
    <s v="Volkswagen"/>
    <s v="@VW"/>
    <x v="614"/>
    <s v="2015-08-25T22:09:07.000Z"/>
    <x v="0"/>
    <x v="64"/>
    <s v="22:09:07"/>
    <x v="1"/>
    <s v="@rob_sparkman"/>
    <s v=""/>
    <n v="0"/>
    <n v="1"/>
    <n v="1"/>
    <n v="2"/>
    <s v="Low engagement"/>
    <b v="0"/>
    <b v="0"/>
    <b v="0"/>
    <x v="0"/>
  </r>
  <r>
    <s v="https://twitter.com/VW/status/636510748043161600"/>
    <s v="Volkswagen"/>
    <s v="@VW"/>
    <x v="615"/>
    <s v="2015-08-26T12:09:22.000Z"/>
    <x v="0"/>
    <x v="65"/>
    <s v="12:09:22"/>
    <x v="0"/>
    <s v="@thefuture_00"/>
    <s v=""/>
    <n v="0"/>
    <n v="1"/>
    <n v="1"/>
    <n v="2"/>
    <s v="Low engagement"/>
    <b v="0"/>
    <b v="0"/>
    <b v="0"/>
    <x v="0"/>
  </r>
  <r>
    <s v="https://twitter.com/VW/status/636561160532180992"/>
    <s v="Volkswagen"/>
    <s v="@VW"/>
    <x v="616"/>
    <s v="2015-08-26T15:29:42.000Z"/>
    <x v="0"/>
    <x v="65"/>
    <s v="15:29:42"/>
    <x v="3"/>
    <s v="@Virginiazach"/>
    <s v=""/>
    <n v="0"/>
    <n v="0"/>
    <n v="0"/>
    <n v="0"/>
    <s v="No engagement"/>
    <b v="0"/>
    <b v="0"/>
    <b v="0"/>
    <x v="0"/>
  </r>
  <r>
    <s v="https://twitter.com/VW/status/636607550515888128"/>
    <s v="Volkswagen"/>
    <s v="@VW"/>
    <x v="617"/>
    <s v="2015-08-26T18:34:02.000Z"/>
    <x v="0"/>
    <x v="65"/>
    <s v="18:34:02"/>
    <x v="1"/>
    <s v="@Carreno316"/>
    <s v=""/>
    <n v="0"/>
    <n v="1"/>
    <n v="1"/>
    <n v="2"/>
    <s v="Low engagement"/>
    <b v="0"/>
    <b v="0"/>
    <b v="0"/>
    <x v="0"/>
  </r>
  <r>
    <s v="https://twitter.com/VW/status/636640684179505154"/>
    <s v="Volkswagen"/>
    <s v="@VW"/>
    <x v="618"/>
    <s v="2015-08-26T20:45:41.000Z"/>
    <x v="0"/>
    <x v="65"/>
    <s v="20:45:41"/>
    <x v="1"/>
    <s v="@lucretiab"/>
    <s v=""/>
    <n v="0"/>
    <n v="4"/>
    <n v="1"/>
    <n v="5"/>
    <s v="Moderate engagement"/>
    <b v="0"/>
    <b v="0"/>
    <b v="0"/>
    <x v="0"/>
  </r>
  <r>
    <s v="https://twitter.com/VW/status/636640685970427904"/>
    <s v="Volkswagen"/>
    <s v="@VW"/>
    <x v="619"/>
    <s v="2015-08-26T20:45:42.000Z"/>
    <x v="0"/>
    <x v="65"/>
    <s v="20:45:42"/>
    <x v="1"/>
    <s v="@lucretiab"/>
    <s v=""/>
    <n v="0"/>
    <n v="0"/>
    <n v="0"/>
    <n v="0"/>
    <s v="No engagement"/>
    <b v="0"/>
    <b v="0"/>
    <b v="0"/>
    <x v="0"/>
  </r>
  <r>
    <s v="https://twitter.com/VW/status/636873306688192512"/>
    <s v="Volkswagen"/>
    <s v="@VW"/>
    <x v="620"/>
    <s v="2015-08-27T12:10:03.000Z"/>
    <x v="0"/>
    <x v="66"/>
    <s v="12:10:03"/>
    <x v="0"/>
    <s v="@aniwilmot"/>
    <s v=""/>
    <n v="0"/>
    <n v="0"/>
    <n v="1"/>
    <n v="1"/>
    <s v="Low engagement"/>
    <b v="0"/>
    <b v="0"/>
    <b v="0"/>
    <x v="0"/>
  </r>
  <r>
    <s v="https://twitter.com/VW/status/637011901973565440"/>
    <s v="Volkswagen"/>
    <s v="@VW"/>
    <x v="621"/>
    <s v="2015-08-27T21:20:47.000Z"/>
    <x v="0"/>
    <x v="66"/>
    <s v="21:20:47"/>
    <x v="1"/>
    <s v="@simpsonjor"/>
    <s v=""/>
    <n v="1"/>
    <n v="0"/>
    <n v="0"/>
    <n v="1"/>
    <s v="Low engagement"/>
    <b v="0"/>
    <b v="0"/>
    <b v="0"/>
    <x v="0"/>
  </r>
  <r>
    <s v="https://twitter.com/VW/status/637022793004003328"/>
    <s v="Volkswagen"/>
    <s v="@VW"/>
    <x v="622"/>
    <s v="2015-08-27T22:04:03.000Z"/>
    <x v="0"/>
    <x v="66"/>
    <s v="22:04:03"/>
    <x v="1"/>
    <s v="@GrantBoone87"/>
    <s v=""/>
    <n v="0"/>
    <n v="0"/>
    <n v="0"/>
    <n v="0"/>
    <s v="No engagement"/>
    <b v="0"/>
    <b v="0"/>
    <b v="0"/>
    <x v="0"/>
  </r>
  <r>
    <s v="https://twitter.com/VW/status/637022795180830720"/>
    <s v="Volkswagen"/>
    <s v="@VW"/>
    <x v="623"/>
    <s v="2015-08-27T22:04:04.000Z"/>
    <x v="0"/>
    <x v="66"/>
    <s v="22:04:04"/>
    <x v="1"/>
    <s v=""/>
    <s v=""/>
    <n v="0"/>
    <n v="0"/>
    <n v="0"/>
    <n v="0"/>
    <s v="No engagement"/>
    <b v="0"/>
    <b v="0"/>
    <b v="0"/>
    <x v="0"/>
  </r>
  <r>
    <s v="https://twitter.com/VW/status/637038037961015296"/>
    <s v="Volkswagen"/>
    <s v="@VW"/>
    <x v="624"/>
    <s v="2015-08-27T23:04:38.000Z"/>
    <x v="0"/>
    <x v="66"/>
    <s v="23:04:38"/>
    <x v="1"/>
    <s v="@wrongdude"/>
    <s v=""/>
    <n v="0"/>
    <n v="1"/>
    <n v="0"/>
    <n v="1"/>
    <s v="Low engagement"/>
    <b v="0"/>
    <b v="0"/>
    <b v="1"/>
    <x v="3"/>
  </r>
  <r>
    <s v="https://twitter.com/VW/status/637038036383961088"/>
    <s v="Volkswagen"/>
    <s v="@VW"/>
    <x v="625"/>
    <s v="2015-08-27T23:04:38.000Z"/>
    <x v="0"/>
    <x v="66"/>
    <s v="23:04:38"/>
    <x v="1"/>
    <s v="@wrongdude"/>
    <s v=""/>
    <n v="0"/>
    <n v="0"/>
    <n v="0"/>
    <n v="0"/>
    <s v="No engagement"/>
    <b v="0"/>
    <b v="0"/>
    <b v="0"/>
    <x v="0"/>
  </r>
  <r>
    <s v="https://twitter.com/VW/status/637042430810832896"/>
    <s v="Volkswagen"/>
    <s v="@VW"/>
    <x v="626"/>
    <s v="2015-08-27T23:22:05.000Z"/>
    <x v="0"/>
    <x v="66"/>
    <s v="23:22:05"/>
    <x v="1"/>
    <s v="@Carreno316"/>
    <s v=""/>
    <n v="0"/>
    <n v="0"/>
    <n v="1"/>
    <n v="1"/>
    <s v="Low engagement"/>
    <b v="0"/>
    <b v="0"/>
    <b v="0"/>
    <x v="0"/>
  </r>
  <r>
    <s v="https://twitter.com/VW/status/637235469554593792"/>
    <s v="Volkswagen"/>
    <s v="@VW"/>
    <x v="627"/>
    <s v="2015-08-28T12:09:09.000Z"/>
    <x v="0"/>
    <x v="67"/>
    <s v="12:09:09"/>
    <x v="0"/>
    <s v="@Drawbridge303"/>
    <s v=""/>
    <n v="0"/>
    <n v="0"/>
    <n v="1"/>
    <n v="1"/>
    <s v="Low engagement"/>
    <b v="0"/>
    <b v="0"/>
    <b v="0"/>
    <x v="0"/>
  </r>
  <r>
    <s v="https://twitter.com/VW/status/637235473266552832"/>
    <s v="Volkswagen"/>
    <s v="@VW"/>
    <x v="628"/>
    <s v="2015-08-28T12:09:10.000Z"/>
    <x v="0"/>
    <x v="67"/>
    <s v="12:09:10"/>
    <x v="0"/>
    <s v=""/>
    <s v=""/>
    <n v="0"/>
    <n v="0"/>
    <n v="1"/>
    <n v="1"/>
    <s v="Low engagement"/>
    <b v="0"/>
    <b v="0"/>
    <b v="1"/>
    <x v="3"/>
  </r>
  <r>
    <s v="https://twitter.com/VW/status/637235471328808960"/>
    <s v="Volkswagen"/>
    <s v="@VW"/>
    <x v="629"/>
    <s v="2015-08-28T12:09:10.000Z"/>
    <x v="0"/>
    <x v="67"/>
    <s v="12:09:10"/>
    <x v="0"/>
    <s v=""/>
    <s v=""/>
    <n v="0"/>
    <n v="0"/>
    <n v="0"/>
    <n v="0"/>
    <s v="No engagement"/>
    <b v="0"/>
    <b v="0"/>
    <b v="0"/>
    <x v="0"/>
  </r>
  <r>
    <s v="https://twitter.com/VW/status/637237699355656192"/>
    <s v="Volkswagen"/>
    <s v="@VW"/>
    <x v="630"/>
    <s v="2015-08-28T12:18:01.000Z"/>
    <x v="0"/>
    <x v="67"/>
    <s v="12:18:01"/>
    <x v="0"/>
    <s v="@aniwilmot"/>
    <s v=""/>
    <n v="0"/>
    <n v="0"/>
    <n v="1"/>
    <n v="1"/>
    <s v="Low engagement"/>
    <b v="0"/>
    <b v="0"/>
    <b v="0"/>
    <x v="0"/>
  </r>
  <r>
    <s v="https://twitter.com/VW/status/637343438048899072"/>
    <s v="Volkswagen"/>
    <s v="@VW"/>
    <x v="631"/>
    <s v="2015-08-28T19:18:11.000Z"/>
    <x v="0"/>
    <x v="67"/>
    <s v="19:18:11"/>
    <x v="1"/>
    <s v="@JBickerton86"/>
    <s v=""/>
    <n v="0"/>
    <n v="0"/>
    <n v="1"/>
    <n v="1"/>
    <s v="Low engagement"/>
    <b v="0"/>
    <b v="0"/>
    <b v="0"/>
    <x v="0"/>
  </r>
  <r>
    <s v="https://twitter.com/VW/status/637343443975409664"/>
    <s v="Volkswagen"/>
    <s v="@VW"/>
    <x v="632"/>
    <s v="2015-08-28T19:18:12.000Z"/>
    <x v="0"/>
    <x v="67"/>
    <s v="19:18:12"/>
    <x v="1"/>
    <s v="@maskhole61"/>
    <s v=""/>
    <n v="0"/>
    <n v="0"/>
    <n v="1"/>
    <n v="1"/>
    <s v="Low engagement"/>
    <b v="0"/>
    <b v="0"/>
    <b v="1"/>
    <x v="3"/>
  </r>
  <r>
    <s v="https://twitter.com/VW/status/637343441635028992"/>
    <s v="Volkswagen"/>
    <s v="@VW"/>
    <x v="633"/>
    <s v="2015-08-28T19:18:12.000Z"/>
    <x v="0"/>
    <x v="67"/>
    <s v="19:18:12"/>
    <x v="1"/>
    <s v="@TheBrooklynLife"/>
    <s v=""/>
    <n v="0"/>
    <n v="0"/>
    <n v="2"/>
    <n v="2"/>
    <s v="Low engagement"/>
    <b v="0"/>
    <b v="0"/>
    <b v="1"/>
    <x v="3"/>
  </r>
  <r>
    <s v="https://twitter.com/VW/status/637343440150265856"/>
    <s v="Volkswagen"/>
    <s v="@VW"/>
    <x v="634"/>
    <s v="2015-08-28T19:18:12.000Z"/>
    <x v="0"/>
    <x v="67"/>
    <s v="19:18:12"/>
    <x v="1"/>
    <s v="@TheBrooklynLife"/>
    <s v=""/>
    <n v="0"/>
    <n v="0"/>
    <n v="0"/>
    <n v="0"/>
    <s v="No engagement"/>
    <b v="0"/>
    <b v="0"/>
    <b v="0"/>
    <x v="0"/>
  </r>
  <r>
    <s v="https://twitter.com/VW/status/637345776285282304"/>
    <s v="Volkswagen"/>
    <s v="@VW"/>
    <x v="635"/>
    <s v="2015-08-28T19:27:29.000Z"/>
    <x v="0"/>
    <x v="67"/>
    <s v="19:27:29"/>
    <x v="1"/>
    <s v="@mclaneadam"/>
    <s v=""/>
    <n v="0"/>
    <n v="0"/>
    <n v="1"/>
    <n v="1"/>
    <s v="Low engagement"/>
    <b v="0"/>
    <b v="0"/>
    <b v="0"/>
    <x v="0"/>
  </r>
  <r>
    <s v="https://twitter.com/VW/status/637650362812399616"/>
    <s v="Volkswagen"/>
    <s v="@VW"/>
    <x v="636"/>
    <s v="2015-08-29T15:37:48.000Z"/>
    <x v="0"/>
    <x v="68"/>
    <s v="15:37:48"/>
    <x v="3"/>
    <s v="@MatthewToto"/>
    <s v=""/>
    <n v="1"/>
    <n v="0"/>
    <n v="2"/>
    <n v="3"/>
    <s v="Low engagement"/>
    <b v="0"/>
    <b v="0"/>
    <b v="1"/>
    <x v="3"/>
  </r>
  <r>
    <s v="https://twitter.com/VW/status/638412101497696256"/>
    <s v="Volkswagen"/>
    <s v="@VW"/>
    <x v="637"/>
    <s v="2015-08-31T18:04:40.000Z"/>
    <x v="0"/>
    <x v="69"/>
    <s v="18:04:40"/>
    <x v="1"/>
    <s v="@AlliLane615"/>
    <s v=""/>
    <n v="0"/>
    <n v="0"/>
    <n v="1"/>
    <n v="1"/>
    <s v="Low engagement"/>
    <b v="0"/>
    <b v="0"/>
    <b v="1"/>
    <x v="3"/>
  </r>
  <r>
    <s v="https://twitter.com/VW/status/638412098691698688"/>
    <s v="Volkswagen"/>
    <s v="@VW"/>
    <x v="638"/>
    <s v="2015-08-31T18:04:40.000Z"/>
    <x v="0"/>
    <x v="69"/>
    <s v="18:04:40"/>
    <x v="1"/>
    <s v="@AlliLane615"/>
    <s v=""/>
    <n v="0"/>
    <n v="0"/>
    <n v="1"/>
    <n v="1"/>
    <s v="Low engagement"/>
    <b v="0"/>
    <b v="0"/>
    <b v="0"/>
    <x v="0"/>
  </r>
  <r>
    <s v="https://twitter.com/VW/status/638412102743388161"/>
    <s v="Volkswagen"/>
    <s v="@VW"/>
    <x v="639"/>
    <s v="2015-08-31T18:04:41.000Z"/>
    <x v="0"/>
    <x v="69"/>
    <s v="18:04:41"/>
    <x v="1"/>
    <s v="@MehrSujit"/>
    <s v=""/>
    <n v="0"/>
    <n v="0"/>
    <n v="0"/>
    <n v="0"/>
    <s v="No engagement"/>
    <b v="0"/>
    <b v="0"/>
    <b v="0"/>
    <x v="0"/>
  </r>
  <r>
    <s v="https://twitter.com/VW/status/638427640651579392"/>
    <s v="Volkswagen"/>
    <s v="@VW"/>
    <x v="640"/>
    <s v="2015-08-31T19:06:25.000Z"/>
    <x v="0"/>
    <x v="69"/>
    <s v="19:06:25"/>
    <x v="1"/>
    <s v="@elmejorvw"/>
    <s v=""/>
    <n v="0"/>
    <n v="0"/>
    <n v="1"/>
    <n v="1"/>
    <s v="Low engagement"/>
    <b v="0"/>
    <b v="0"/>
    <b v="1"/>
    <x v="3"/>
  </r>
  <r>
    <s v="https://twitter.com/VW/status/638439601581887488"/>
    <s v="Volkswagen"/>
    <s v="@VW"/>
    <x v="641"/>
    <s v="2015-08-31T19:53:57.000Z"/>
    <x v="0"/>
    <x v="69"/>
    <s v="19:53:57"/>
    <x v="1"/>
    <s v="@DJR_Steele"/>
    <s v=""/>
    <n v="0"/>
    <n v="2"/>
    <n v="1"/>
    <n v="3"/>
    <s v="Low engagement"/>
    <b v="0"/>
    <b v="0"/>
    <b v="1"/>
    <x v="3"/>
  </r>
  <r>
    <s v="https://twitter.com/VW/status/638442387119828992"/>
    <s v="Volkswagen"/>
    <s v="@VW"/>
    <x v="642"/>
    <s v="2015-08-31T20:05:01.000Z"/>
    <x v="0"/>
    <x v="69"/>
    <s v="20:05:01"/>
    <x v="1"/>
    <s v="@jamiedmunday"/>
    <s v=""/>
    <n v="1"/>
    <n v="1"/>
    <n v="1"/>
    <n v="3"/>
    <s v="Low engagement"/>
    <b v="0"/>
    <b v="0"/>
    <b v="0"/>
    <x v="0"/>
  </r>
  <r>
    <s v="https://twitter.com/VW/status/638445765858201600"/>
    <s v="Volkswagen"/>
    <s v="@VW"/>
    <x v="643"/>
    <s v="2015-08-31T20:18:26.000Z"/>
    <x v="0"/>
    <x v="69"/>
    <s v="20:18:26"/>
    <x v="1"/>
    <s v=""/>
    <s v=""/>
    <n v="0"/>
    <n v="0"/>
    <n v="1"/>
    <n v="1"/>
    <s v="Low engagement"/>
    <b v="0"/>
    <b v="0"/>
    <b v="0"/>
    <x v="0"/>
  </r>
  <r>
    <s v="https://twitter.com/VW/status/638445763903680516"/>
    <s v="Volkswagen"/>
    <s v="@VW"/>
    <x v="644"/>
    <s v="2015-08-31T20:18:26.000Z"/>
    <x v="0"/>
    <x v="69"/>
    <s v="20:18:26"/>
    <x v="1"/>
    <s v="@Bernardo_mk6"/>
    <s v=""/>
    <n v="0"/>
    <n v="0"/>
    <n v="1"/>
    <n v="1"/>
    <s v="Low engagement"/>
    <b v="0"/>
    <b v="0"/>
    <b v="0"/>
    <x v="0"/>
  </r>
  <r>
    <s v="https://twitter.com/VW/status/638445767372357633"/>
    <s v="Volkswagen"/>
    <s v="@VW"/>
    <x v="645"/>
    <s v="2015-08-31T20:18:27.000Z"/>
    <x v="0"/>
    <x v="69"/>
    <s v="20:18:27"/>
    <x v="1"/>
    <s v="@AliZelmat"/>
    <s v=""/>
    <n v="0"/>
    <n v="0"/>
    <n v="1"/>
    <n v="1"/>
    <s v="Low engagement"/>
    <b v="0"/>
    <b v="0"/>
    <b v="0"/>
    <x v="0"/>
  </r>
  <r>
    <s v="https://twitter.com/VW/status/638483120375730176"/>
    <s v="Volkswagen"/>
    <s v="@VW"/>
    <x v="646"/>
    <s v="2015-08-31T22:46:52.000Z"/>
    <x v="0"/>
    <x v="69"/>
    <s v="22:46:52"/>
    <x v="1"/>
    <s v="@familyvacayus"/>
    <s v=""/>
    <n v="0"/>
    <n v="1"/>
    <n v="0"/>
    <n v="1"/>
    <s v="Low engagement"/>
    <b v="0"/>
    <b v="0"/>
    <b v="0"/>
    <x v="0"/>
  </r>
  <r>
    <s v="https://twitter.com/VW/status/638483118890942464"/>
    <s v="Volkswagen"/>
    <s v="@VW"/>
    <x v="647"/>
    <s v="2015-08-31T22:46:52.000Z"/>
    <x v="0"/>
    <x v="69"/>
    <s v="22:46:52"/>
    <x v="1"/>
    <s v="@_callieberry"/>
    <s v=""/>
    <n v="0"/>
    <n v="0"/>
    <n v="1"/>
    <n v="1"/>
    <s v="Low engagement"/>
    <b v="0"/>
    <b v="0"/>
    <b v="0"/>
    <x v="0"/>
  </r>
  <r>
    <s v="https://twitter.com/VW/status/638483117255168000"/>
    <s v="Volkswagen"/>
    <s v="@VW"/>
    <x v="648"/>
    <s v="2015-08-31T22:46:52.000Z"/>
    <x v="0"/>
    <x v="69"/>
    <s v="22:46:52"/>
    <x v="1"/>
    <s v=""/>
    <s v=""/>
    <n v="0"/>
    <n v="0"/>
    <n v="0"/>
    <n v="0"/>
    <s v="No engagement"/>
    <b v="0"/>
    <b v="0"/>
    <b v="0"/>
    <x v="0"/>
  </r>
  <r>
    <s v="https://twitter.com/VW/status/638483121973825536"/>
    <s v="Volkswagen"/>
    <s v="@VW"/>
    <x v="649"/>
    <s v="2015-08-31T22:46:53.000Z"/>
    <x v="0"/>
    <x v="69"/>
    <s v="22:46:53"/>
    <x v="1"/>
    <s v="@familyvacayus"/>
    <s v=""/>
    <n v="0"/>
    <n v="0"/>
    <n v="1"/>
    <n v="1"/>
    <s v="Low engagement"/>
    <b v="0"/>
    <b v="0"/>
    <b v="1"/>
    <x v="3"/>
  </r>
  <r>
    <s v="https://twitter.com/VW/status/638691196022358016"/>
    <s v="Volkswagen"/>
    <s v="@VW"/>
    <x v="650"/>
    <s v="2015-09-01T12:33:42.000Z"/>
    <x v="0"/>
    <x v="70"/>
    <s v="12:33:42"/>
    <x v="0"/>
    <s v="@firepack1121"/>
    <s v=""/>
    <n v="0"/>
    <n v="3"/>
    <n v="1"/>
    <n v="4"/>
    <s v="Low engagement"/>
    <b v="0"/>
    <b v="0"/>
    <b v="0"/>
    <x v="0"/>
  </r>
  <r>
    <s v="https://twitter.com/VW/status/638746308656795648"/>
    <s v="Volkswagen"/>
    <s v="@VW"/>
    <x v="651"/>
    <s v="2015-09-01T16:12:41.000Z"/>
    <x v="0"/>
    <x v="70"/>
    <s v="16:12:41"/>
    <x v="3"/>
    <s v=""/>
    <s v=""/>
    <n v="0"/>
    <n v="0"/>
    <n v="0"/>
    <n v="0"/>
    <s v="No engagement"/>
    <b v="0"/>
    <b v="0"/>
    <b v="0"/>
    <x v="0"/>
  </r>
  <r>
    <s v="https://twitter.com/VW/status/638746307130093568"/>
    <s v="Volkswagen"/>
    <s v="@VW"/>
    <x v="652"/>
    <s v="2015-09-01T16:12:41.000Z"/>
    <x v="0"/>
    <x v="70"/>
    <s v="16:12:41"/>
    <x v="3"/>
    <s v="@marl3yy_"/>
    <s v=""/>
    <n v="0"/>
    <n v="0"/>
    <n v="1"/>
    <n v="1"/>
    <s v="Low engagement"/>
    <b v="0"/>
    <b v="0"/>
    <b v="0"/>
    <x v="0"/>
  </r>
  <r>
    <s v="https://twitter.com/VW/status/638748568166133760"/>
    <s v="Volkswagen"/>
    <s v="@VW"/>
    <x v="653"/>
    <s v="2015-09-01T16:21:40.000Z"/>
    <x v="0"/>
    <x v="70"/>
    <s v="16:21:40"/>
    <x v="3"/>
    <s v=""/>
    <s v=""/>
    <n v="0"/>
    <n v="0"/>
    <n v="1"/>
    <n v="1"/>
    <s v="Low engagement"/>
    <b v="0"/>
    <b v="0"/>
    <b v="0"/>
    <x v="0"/>
  </r>
  <r>
    <s v="https://twitter.com/VW/status/638757402372771840"/>
    <s v="Volkswagen"/>
    <s v="@VW"/>
    <x v="654"/>
    <s v="2015-09-01T16:56:46.000Z"/>
    <x v="0"/>
    <x v="70"/>
    <s v="16:56:46"/>
    <x v="3"/>
    <s v="@piktrldy101"/>
    <s v=""/>
    <n v="0"/>
    <n v="1"/>
    <n v="1"/>
    <n v="2"/>
    <s v="Low engagement"/>
    <b v="0"/>
    <b v="0"/>
    <b v="0"/>
    <x v="0"/>
  </r>
  <r>
    <s v="https://twitter.com/VW/status/638775034845249536"/>
    <s v="Volkswagen"/>
    <s v="@VW"/>
    <x v="655"/>
    <s v="2015-09-01T18:06:50.000Z"/>
    <x v="0"/>
    <x v="70"/>
    <s v="18:06:50"/>
    <x v="1"/>
    <s v="@RineFnHart"/>
    <s v=""/>
    <n v="0"/>
    <n v="0"/>
    <n v="1"/>
    <n v="1"/>
    <s v="Low engagement"/>
    <b v="0"/>
    <b v="0"/>
    <b v="0"/>
    <x v="0"/>
  </r>
  <r>
    <s v="https://twitter.com/VW/status/638777264059097088"/>
    <s v="Volkswagen"/>
    <s v="@VW"/>
    <x v="656"/>
    <s v="2015-09-01T18:15:42.000Z"/>
    <x v="0"/>
    <x v="70"/>
    <s v="18:15:42"/>
    <x v="1"/>
    <s v="@ABryannFuentes"/>
    <s v=""/>
    <n v="0"/>
    <n v="1"/>
    <n v="1"/>
    <n v="2"/>
    <s v="Low engagement"/>
    <b v="0"/>
    <b v="0"/>
    <b v="0"/>
    <x v="0"/>
  </r>
  <r>
    <s v="https://twitter.com/VW/status/638790411289501696"/>
    <s v="Volkswagen"/>
    <s v="@VW"/>
    <x v="657"/>
    <s v="2015-09-01T19:07:56.000Z"/>
    <x v="0"/>
    <x v="70"/>
    <s v="19:07:56"/>
    <x v="1"/>
    <s v=""/>
    <s v=""/>
    <n v="0"/>
    <n v="0"/>
    <n v="1"/>
    <n v="1"/>
    <s v="Low engagement"/>
    <b v="0"/>
    <b v="0"/>
    <b v="1"/>
    <x v="3"/>
  </r>
  <r>
    <s v="https://twitter.com/VW/status/638790413374128128"/>
    <s v="Volkswagen"/>
    <s v="@VW"/>
    <x v="658"/>
    <s v="2015-09-01T19:07:57.000Z"/>
    <x v="0"/>
    <x v="70"/>
    <s v="19:07:57"/>
    <x v="1"/>
    <s v="@familyvacayus"/>
    <s v=""/>
    <n v="0"/>
    <n v="0"/>
    <n v="1"/>
    <n v="1"/>
    <s v="Low engagement"/>
    <b v="0"/>
    <b v="0"/>
    <b v="0"/>
    <x v="0"/>
  </r>
  <r>
    <s v="https://twitter.com/VW/status/639148097642213376"/>
    <s v="Volkswagen"/>
    <s v="@VW"/>
    <x v="659"/>
    <s v="2015-09-02T18:49:15.000Z"/>
    <x v="0"/>
    <x v="71"/>
    <s v="18:49:15"/>
    <x v="1"/>
    <s v="@beautybylee"/>
    <s v=""/>
    <n v="0"/>
    <n v="0"/>
    <n v="1"/>
    <n v="1"/>
    <s v="Low engagement"/>
    <b v="0"/>
    <b v="0"/>
    <b v="0"/>
    <x v="0"/>
  </r>
  <r>
    <s v="https://twitter.com/VW/status/639193171251998720"/>
    <s v="Volkswagen"/>
    <s v="@VW"/>
    <x v="660"/>
    <s v="2015-09-02T21:48:22.000Z"/>
    <x v="0"/>
    <x v="71"/>
    <s v="21:48:22"/>
    <x v="1"/>
    <s v="@supremeVENUS"/>
    <s v=""/>
    <n v="0"/>
    <n v="0"/>
    <n v="1"/>
    <n v="1"/>
    <s v="Low engagement"/>
    <b v="0"/>
    <b v="0"/>
    <b v="0"/>
    <x v="0"/>
  </r>
  <r>
    <s v="https://twitter.com/VW/status/639519881184960512"/>
    <s v="Volkswagen"/>
    <s v="@VW"/>
    <x v="661"/>
    <s v="2015-09-03T19:26:36.000Z"/>
    <x v="0"/>
    <x v="72"/>
    <s v="19:26:36"/>
    <x v="1"/>
    <s v="@CaraAnnMarie"/>
    <s v=""/>
    <n v="0"/>
    <n v="1"/>
    <n v="1"/>
    <n v="2"/>
    <s v="Low engagement"/>
    <b v="0"/>
    <b v="0"/>
    <b v="0"/>
    <x v="0"/>
  </r>
  <r>
    <s v="https://twitter.com/VW/status/639526154022555648"/>
    <s v="Volkswagen"/>
    <s v="@VW"/>
    <x v="662"/>
    <s v="2015-09-03T19:51:31.000Z"/>
    <x v="0"/>
    <x v="72"/>
    <s v="19:51:31"/>
    <x v="1"/>
    <s v="@ryanellisracing"/>
    <s v=""/>
    <n v="0"/>
    <n v="0"/>
    <n v="1"/>
    <n v="1"/>
    <s v="Low engagement"/>
    <b v="0"/>
    <b v="0"/>
    <b v="1"/>
    <x v="3"/>
  </r>
  <r>
    <s v="https://twitter.com/VW/status/639533217368907780"/>
    <s v="Volkswagen"/>
    <s v="@VW"/>
    <x v="663"/>
    <s v="2015-09-03T20:19:35.000Z"/>
    <x v="0"/>
    <x v="72"/>
    <s v="20:19:35"/>
    <x v="1"/>
    <s v="@juicychus"/>
    <s v=""/>
    <n v="0"/>
    <n v="0"/>
    <n v="1"/>
    <n v="1"/>
    <s v="Low engagement"/>
    <b v="0"/>
    <b v="0"/>
    <b v="1"/>
    <x v="3"/>
  </r>
  <r>
    <s v="https://twitter.com/VW/status/639857799279722496"/>
    <s v="Volkswagen"/>
    <s v="@VW"/>
    <x v="664"/>
    <s v="2015-09-04T17:49:21.000Z"/>
    <x v="0"/>
    <x v="73"/>
    <s v="17:49:21"/>
    <x v="3"/>
    <s v="@bretthrussell"/>
    <s v=""/>
    <n v="0"/>
    <n v="1"/>
    <n v="1"/>
    <n v="2"/>
    <s v="Low engagement"/>
    <b v="0"/>
    <b v="0"/>
    <b v="1"/>
    <x v="3"/>
  </r>
  <r>
    <s v="https://twitter.com/VW/status/639857797895589888"/>
    <s v="Volkswagen"/>
    <s v="@VW"/>
    <x v="665"/>
    <s v="2015-09-04T17:49:21.000Z"/>
    <x v="0"/>
    <x v="73"/>
    <s v="17:49:21"/>
    <x v="3"/>
    <s v="@bretthrussell"/>
    <s v=""/>
    <n v="0"/>
    <n v="0"/>
    <n v="1"/>
    <n v="1"/>
    <s v="Low engagement"/>
    <b v="0"/>
    <b v="0"/>
    <b v="0"/>
    <x v="0"/>
  </r>
  <r>
    <s v="https://twitter.com/VW/status/640220658497007616"/>
    <s v="Volkswagen"/>
    <s v="@VW"/>
    <x v="666"/>
    <s v="2015-09-05T17:51:14.000Z"/>
    <x v="0"/>
    <x v="74"/>
    <s v="17:51:14"/>
    <x v="3"/>
    <s v="@joshuacnorvell"/>
    <s v=""/>
    <n v="1"/>
    <n v="0"/>
    <n v="1"/>
    <n v="2"/>
    <s v="Low engagement"/>
    <b v="0"/>
    <b v="0"/>
    <b v="0"/>
    <x v="0"/>
  </r>
  <r>
    <s v="https://twitter.com/VW/status/640222830752174080"/>
    <s v="Volkswagen"/>
    <s v="@VW"/>
    <x v="667"/>
    <s v="2015-09-05T17:59:52.000Z"/>
    <x v="0"/>
    <x v="74"/>
    <s v="17:59:52"/>
    <x v="3"/>
    <s v=""/>
    <s v=""/>
    <n v="0"/>
    <n v="0"/>
    <n v="1"/>
    <n v="1"/>
    <s v="Low engagement"/>
    <b v="0"/>
    <b v="0"/>
    <b v="1"/>
    <x v="3"/>
  </r>
  <r>
    <s v="https://twitter.com/VW/status/640222836070592513"/>
    <s v="Volkswagen"/>
    <s v="@VW"/>
    <x v="668"/>
    <s v="2015-09-05T17:59:53.000Z"/>
    <x v="0"/>
    <x v="74"/>
    <s v="17:59:53"/>
    <x v="3"/>
    <s v="@piercemcg_"/>
    <s v=""/>
    <n v="1"/>
    <n v="0"/>
    <n v="1"/>
    <n v="2"/>
    <s v="Low engagement"/>
    <b v="0"/>
    <b v="0"/>
    <b v="0"/>
    <x v="0"/>
  </r>
  <r>
    <s v="https://twitter.com/VW/status/640222834648678400"/>
    <s v="Volkswagen"/>
    <s v="@VW"/>
    <x v="669"/>
    <s v="2015-09-05T17:59:53.000Z"/>
    <x v="0"/>
    <x v="74"/>
    <s v="17:59:53"/>
    <x v="3"/>
    <s v="@luke4696"/>
    <s v=""/>
    <n v="0"/>
    <n v="0"/>
    <n v="1"/>
    <n v="1"/>
    <s v="Low engagement"/>
    <b v="0"/>
    <b v="0"/>
    <b v="0"/>
    <x v="0"/>
  </r>
  <r>
    <s v="https://twitter.com/VW/status/641221928057868289"/>
    <s v="Volkswagen"/>
    <s v="@VW"/>
    <x v="670"/>
    <s v="2015-09-08T12:09:55.000Z"/>
    <x v="0"/>
    <x v="75"/>
    <s v="12:09:55"/>
    <x v="0"/>
    <s v="@bretthrussell"/>
    <s v=""/>
    <n v="0"/>
    <n v="0"/>
    <n v="1"/>
    <n v="1"/>
    <s v="Low engagement"/>
    <b v="0"/>
    <b v="0"/>
    <b v="0"/>
    <x v="0"/>
  </r>
  <r>
    <s v="https://twitter.com/VW/status/641327098041364480"/>
    <s v="Volkswagen"/>
    <s v="@VW"/>
    <x v="671"/>
    <s v="2015-09-08T19:07:50.000Z"/>
    <x v="0"/>
    <x v="75"/>
    <s v="19:07:50"/>
    <x v="1"/>
    <s v="@moises_ibarra"/>
    <s v=""/>
    <n v="0"/>
    <n v="0"/>
    <n v="1"/>
    <n v="1"/>
    <s v="Low engagement"/>
    <b v="0"/>
    <b v="0"/>
    <b v="0"/>
    <x v="0"/>
  </r>
  <r>
    <s v="https://twitter.com/VW/status/641399733785751552"/>
    <s v="Volkswagen"/>
    <s v="@VW"/>
    <x v="672"/>
    <s v="2015-09-08T23:56:27.000Z"/>
    <x v="0"/>
    <x v="75"/>
    <s v="23:56:27"/>
    <x v="1"/>
    <s v=""/>
    <s v=""/>
    <n v="0"/>
    <n v="1"/>
    <n v="1"/>
    <n v="2"/>
    <s v="Low engagement"/>
    <b v="0"/>
    <b v="0"/>
    <b v="0"/>
    <x v="0"/>
  </r>
  <r>
    <s v="https://twitter.com/VW/status/641399735295709185"/>
    <s v="Volkswagen"/>
    <s v="@VW"/>
    <x v="663"/>
    <s v="2015-09-08T23:56:28.000Z"/>
    <x v="0"/>
    <x v="75"/>
    <s v="23:56:28"/>
    <x v="1"/>
    <s v="@juicychus"/>
    <s v=""/>
    <n v="0"/>
    <n v="0"/>
    <n v="1"/>
    <n v="1"/>
    <s v="Low engagement"/>
    <b v="0"/>
    <b v="0"/>
    <b v="1"/>
    <x v="3"/>
  </r>
  <r>
    <s v="https://twitter.com/VW/status/641587093320282112"/>
    <s v="Volkswagen"/>
    <s v="@VW"/>
    <x v="673"/>
    <s v="2015-09-09T12:20:57.000Z"/>
    <x v="0"/>
    <x v="76"/>
    <s v="12:20:57"/>
    <x v="0"/>
    <s v="@piktrldy101"/>
    <s v=""/>
    <n v="0"/>
    <n v="0"/>
    <n v="0"/>
    <n v="0"/>
    <s v="No engagement"/>
    <b v="0"/>
    <b v="0"/>
    <b v="0"/>
    <x v="0"/>
  </r>
  <r>
    <s v="https://twitter.com/VW/status/641587091663511552"/>
    <s v="Volkswagen"/>
    <s v="@VW"/>
    <x v="674"/>
    <s v="2015-09-09T12:20:57.000Z"/>
    <x v="0"/>
    <x v="76"/>
    <s v="12:20:57"/>
    <x v="0"/>
    <s v="@MsHoughton"/>
    <s v=""/>
    <n v="0"/>
    <n v="0"/>
    <n v="0"/>
    <n v="0"/>
    <s v="No engagement"/>
    <b v="0"/>
    <b v="0"/>
    <b v="0"/>
    <x v="0"/>
  </r>
  <r>
    <s v="https://twitter.com/VW/status/641587094976987136"/>
    <s v="Volkswagen"/>
    <s v="@VW"/>
    <x v="675"/>
    <s v="2015-09-09T12:20:58.000Z"/>
    <x v="0"/>
    <x v="76"/>
    <s v="12:20:58"/>
    <x v="0"/>
    <s v=""/>
    <s v=""/>
    <n v="0"/>
    <n v="0"/>
    <n v="0"/>
    <n v="0"/>
    <s v="No engagement"/>
    <b v="0"/>
    <b v="0"/>
    <b v="0"/>
    <x v="0"/>
  </r>
  <r>
    <s v="https://twitter.com/VW/status/641593374286348289"/>
    <s v="Volkswagen"/>
    <s v="@VW"/>
    <x v="676"/>
    <s v="2015-09-09T12:45:55.000Z"/>
    <x v="0"/>
    <x v="76"/>
    <s v="12:45:55"/>
    <x v="0"/>
    <s v="@Wes_Maz14"/>
    <s v=""/>
    <n v="0"/>
    <n v="0"/>
    <n v="0"/>
    <n v="0"/>
    <s v="No engagement"/>
    <b v="0"/>
    <b v="0"/>
    <b v="0"/>
    <x v="0"/>
  </r>
  <r>
    <s v="https://twitter.com/VW/status/641593380888162305"/>
    <s v="Volkswagen"/>
    <s v="@VW"/>
    <x v="677"/>
    <s v="2015-09-09T12:45:56.000Z"/>
    <x v="0"/>
    <x v="76"/>
    <s v="12:45:56"/>
    <x v="0"/>
    <s v="@josephsmoseph"/>
    <s v=""/>
    <n v="1"/>
    <n v="0"/>
    <n v="0"/>
    <n v="1"/>
    <s v="Low engagement"/>
    <b v="0"/>
    <b v="0"/>
    <b v="0"/>
    <x v="0"/>
  </r>
  <r>
    <s v="https://twitter.com/VW/status/641593379424305152"/>
    <s v="Volkswagen"/>
    <s v="@VW"/>
    <x v="678"/>
    <s v="2015-09-09T12:45:56.000Z"/>
    <x v="0"/>
    <x v="76"/>
    <s v="12:45:56"/>
    <x v="0"/>
    <s v="@JimDilley"/>
    <s v=""/>
    <n v="1"/>
    <n v="0"/>
    <n v="0"/>
    <n v="1"/>
    <s v="Low engagement"/>
    <b v="0"/>
    <b v="0"/>
    <b v="1"/>
    <x v="3"/>
  </r>
  <r>
    <s v="https://twitter.com/VW/status/641593377230753792"/>
    <s v="Volkswagen"/>
    <s v="@VW"/>
    <x v="679"/>
    <s v="2015-09-09T12:45:56.000Z"/>
    <x v="0"/>
    <x v="76"/>
    <s v="12:45:56"/>
    <x v="0"/>
    <s v=""/>
    <s v=""/>
    <n v="1"/>
    <n v="0"/>
    <n v="0"/>
    <n v="1"/>
    <s v="Low engagement"/>
    <b v="0"/>
    <b v="0"/>
    <b v="0"/>
    <x v="0"/>
  </r>
  <r>
    <s v="https://twitter.com/VW/status/641593383773843458"/>
    <s v="Volkswagen"/>
    <s v="@VW"/>
    <x v="680"/>
    <s v="2015-09-09T12:45:57.000Z"/>
    <x v="0"/>
    <x v="76"/>
    <s v="12:45:57"/>
    <x v="0"/>
    <s v="@nic30k"/>
    <s v=""/>
    <n v="1"/>
    <n v="0"/>
    <n v="0"/>
    <n v="1"/>
    <s v="Low engagement"/>
    <b v="0"/>
    <b v="0"/>
    <b v="1"/>
    <x v="3"/>
  </r>
  <r>
    <s v="https://twitter.com/VW/status/641593382410719232"/>
    <s v="Volkswagen"/>
    <s v="@VW"/>
    <x v="681"/>
    <s v="2015-09-09T12:45:57.000Z"/>
    <x v="0"/>
    <x v="76"/>
    <s v="12:45:57"/>
    <x v="0"/>
    <s v=""/>
    <s v=""/>
    <n v="1"/>
    <n v="1"/>
    <n v="0"/>
    <n v="2"/>
    <s v="Low engagement"/>
    <b v="0"/>
    <b v="0"/>
    <b v="0"/>
    <x v="0"/>
  </r>
  <r>
    <s v="https://twitter.com/VW/status/641593387628363776"/>
    <s v="Volkswagen"/>
    <s v="@VW"/>
    <x v="682"/>
    <s v="2015-09-09T12:45:58.000Z"/>
    <x v="0"/>
    <x v="76"/>
    <s v="12:45:58"/>
    <x v="0"/>
    <s v=""/>
    <s v=""/>
    <n v="1"/>
    <n v="1"/>
    <n v="0"/>
    <n v="2"/>
    <s v="Low engagement"/>
    <b v="0"/>
    <b v="0"/>
    <b v="0"/>
    <x v="0"/>
  </r>
  <r>
    <s v="https://twitter.com/VW/status/641593385917153280"/>
    <s v="Volkswagen"/>
    <s v="@VW"/>
    <x v="683"/>
    <s v="2015-09-09T12:45:58.000Z"/>
    <x v="0"/>
    <x v="76"/>
    <s v="12:45:58"/>
    <x v="0"/>
    <s v="@kindofathing"/>
    <s v=""/>
    <n v="1"/>
    <n v="0"/>
    <n v="0"/>
    <n v="1"/>
    <s v="Low engagement"/>
    <b v="0"/>
    <b v="0"/>
    <b v="0"/>
    <x v="0"/>
  </r>
  <r>
    <s v="https://twitter.com/VW/status/641595464886816768"/>
    <s v="Volkswagen"/>
    <s v="@VW"/>
    <x v="684"/>
    <s v="2015-09-09T12:54:13.000Z"/>
    <x v="0"/>
    <x v="76"/>
    <s v="12:54:13"/>
    <x v="0"/>
    <s v="@Karl_2014"/>
    <s v=""/>
    <n v="1"/>
    <n v="0"/>
    <n v="1"/>
    <n v="2"/>
    <s v="Low engagement"/>
    <b v="0"/>
    <b v="0"/>
    <b v="1"/>
    <x v="3"/>
  </r>
  <r>
    <s v="https://twitter.com/VW/status/641632128669646848"/>
    <s v="Volkswagen"/>
    <s v="@VW"/>
    <x v="685"/>
    <s v="2015-09-09T15:19:55.000Z"/>
    <x v="0"/>
    <x v="76"/>
    <s v="15:19:55"/>
    <x v="3"/>
    <s v=""/>
    <s v=""/>
    <n v="1"/>
    <n v="0"/>
    <n v="0"/>
    <n v="1"/>
    <s v="Low engagement"/>
    <b v="0"/>
    <b v="0"/>
    <b v="0"/>
    <x v="0"/>
  </r>
  <r>
    <s v="https://twitter.com/VW/status/641644482463666177"/>
    <s v="Volkswagen"/>
    <s v="@VW"/>
    <x v="686"/>
    <s v="2015-09-09T16:09:00.000Z"/>
    <x v="0"/>
    <x v="76"/>
    <s v="16:09:00"/>
    <x v="3"/>
    <s v="@wjimenez5271"/>
    <s v=""/>
    <n v="1"/>
    <n v="1"/>
    <n v="1"/>
    <n v="3"/>
    <s v="Low engagement"/>
    <b v="0"/>
    <b v="0"/>
    <b v="0"/>
    <x v="0"/>
  </r>
  <r>
    <s v="https://twitter.com/VW/status/641649000681181184"/>
    <s v="Volkswagen"/>
    <s v="@VW"/>
    <x v="687"/>
    <s v="2015-09-09T16:26:57.000Z"/>
    <x v="0"/>
    <x v="76"/>
    <s v="16:26:57"/>
    <x v="3"/>
    <s v="@AbrahamZ"/>
    <s v=""/>
    <n v="1"/>
    <n v="0"/>
    <n v="0"/>
    <n v="1"/>
    <s v="Low engagement"/>
    <b v="0"/>
    <b v="0"/>
    <b v="0"/>
    <x v="0"/>
  </r>
  <r>
    <s v="https://twitter.com/VW/status/641649731089920000"/>
    <s v="Volkswagen"/>
    <s v="@VW"/>
    <x v="688"/>
    <s v="2015-09-09T16:29:51.000Z"/>
    <x v="0"/>
    <x v="76"/>
    <s v="16:29:51"/>
    <x v="3"/>
    <s v=""/>
    <s v=""/>
    <n v="1"/>
    <n v="1"/>
    <n v="0"/>
    <n v="2"/>
    <s v="Low engagement"/>
    <b v="0"/>
    <b v="0"/>
    <b v="1"/>
    <x v="3"/>
  </r>
  <r>
    <s v="https://twitter.com/VW/status/641649962422562816"/>
    <s v="Volkswagen"/>
    <s v="@VW"/>
    <x v="689"/>
    <s v="2015-09-09T16:30:46.000Z"/>
    <x v="0"/>
    <x v="76"/>
    <s v="16:30:46"/>
    <x v="3"/>
    <s v="@hellomrbungle"/>
    <s v=""/>
    <n v="2"/>
    <n v="0"/>
    <n v="0"/>
    <n v="2"/>
    <s v="Low engagement"/>
    <b v="0"/>
    <b v="0"/>
    <b v="0"/>
    <x v="0"/>
  </r>
  <r>
    <s v="https://twitter.com/VW/status/641720496845774852"/>
    <s v="Volkswagen"/>
    <s v="@VW"/>
    <x v="690"/>
    <s v="2015-09-09T21:11:03.000Z"/>
    <x v="0"/>
    <x v="76"/>
    <s v="21:11:03"/>
    <x v="1"/>
    <s v="@Musistics"/>
    <s v=""/>
    <n v="2"/>
    <n v="0"/>
    <n v="3"/>
    <n v="5"/>
    <s v="Moderate engagement"/>
    <b v="0"/>
    <b v="0"/>
    <b v="0"/>
    <x v="0"/>
  </r>
  <r>
    <s v="https://twitter.com/VW/status/641720498510893056"/>
    <s v="Volkswagen"/>
    <s v="@VW"/>
    <x v="691"/>
    <s v="2015-09-09T21:11:04.000Z"/>
    <x v="0"/>
    <x v="76"/>
    <s v="21:11:04"/>
    <x v="1"/>
    <s v="@Trekker56"/>
    <s v=""/>
    <n v="0"/>
    <n v="0"/>
    <n v="2"/>
    <n v="2"/>
    <s v="Low engagement"/>
    <b v="0"/>
    <b v="0"/>
    <b v="0"/>
    <x v="0"/>
  </r>
  <r>
    <s v="https://twitter.com/VW/status/642004605526667264"/>
    <s v="Volkswagen"/>
    <s v="@VW"/>
    <x v="692"/>
    <s v="2015-09-10T16:00:00.000Z"/>
    <x v="0"/>
    <x v="77"/>
    <s v="16:00:00"/>
    <x v="3"/>
    <s v=""/>
    <s v=""/>
    <n v="0"/>
    <n v="0"/>
    <n v="1"/>
    <n v="1"/>
    <s v="Low engagement"/>
    <b v="0"/>
    <b v="0"/>
    <b v="1"/>
    <x v="3"/>
  </r>
  <r>
    <s v="https://twitter.com/VW/status/642045007084433408"/>
    <s v="Volkswagen"/>
    <s v="@VW"/>
    <x v="693"/>
    <s v="2015-09-10T18:40:32.000Z"/>
    <x v="0"/>
    <x v="77"/>
    <s v="18:40:32"/>
    <x v="1"/>
    <s v=""/>
    <s v=""/>
    <n v="0"/>
    <n v="0"/>
    <n v="0"/>
    <n v="0"/>
    <s v="No engagement"/>
    <b v="0"/>
    <b v="0"/>
    <b v="0"/>
    <x v="0"/>
  </r>
  <r>
    <s v="https://twitter.com/VW/status/642049331416010752"/>
    <s v="Volkswagen"/>
    <s v="@VW"/>
    <x v="694"/>
    <s v="2015-09-10T18:57:43.000Z"/>
    <x v="0"/>
    <x v="77"/>
    <s v="18:57:43"/>
    <x v="1"/>
    <s v="@RailGGun"/>
    <s v=""/>
    <n v="0"/>
    <n v="0"/>
    <n v="0"/>
    <n v="0"/>
    <s v="No engagement"/>
    <b v="0"/>
    <b v="0"/>
    <b v="0"/>
    <x v="0"/>
  </r>
  <r>
    <s v="https://twitter.com/VW/status/642049332867305472"/>
    <s v="Volkswagen"/>
    <s v="@VW"/>
    <x v="695"/>
    <s v="2015-09-10T18:57:44.000Z"/>
    <x v="0"/>
    <x v="77"/>
    <s v="18:57:44"/>
    <x v="1"/>
    <s v="@cmakambi"/>
    <s v=""/>
    <n v="0"/>
    <n v="1"/>
    <n v="0"/>
    <n v="1"/>
    <s v="Low engagement"/>
    <b v="0"/>
    <b v="0"/>
    <b v="0"/>
    <x v="0"/>
  </r>
  <r>
    <s v="https://twitter.com/VW/status/642051402366251008"/>
    <s v="Volkswagen"/>
    <s v="@VW"/>
    <x v="696"/>
    <s v="2015-09-10T19:05:57.000Z"/>
    <x v="0"/>
    <x v="77"/>
    <s v="19:05:57"/>
    <x v="1"/>
    <s v="@cmakambi"/>
    <s v=""/>
    <n v="0"/>
    <n v="0"/>
    <n v="0"/>
    <n v="0"/>
    <s v="No engagement"/>
    <b v="0"/>
    <b v="0"/>
    <b v="1"/>
    <x v="3"/>
  </r>
  <r>
    <s v="https://twitter.com/VW/status/642053605533462528"/>
    <s v="Volkswagen"/>
    <s v="@VW"/>
    <x v="697"/>
    <s v="2015-09-10T19:14:42.000Z"/>
    <x v="0"/>
    <x v="77"/>
    <s v="19:14:42"/>
    <x v="1"/>
    <s v="@StephenHidalgo_"/>
    <s v=""/>
    <n v="0"/>
    <n v="0"/>
    <n v="0"/>
    <n v="0"/>
    <s v="No engagement"/>
    <b v="0"/>
    <b v="0"/>
    <b v="0"/>
    <x v="0"/>
  </r>
  <r>
    <s v="https://twitter.com/VW/status/642053608339476480"/>
    <s v="Volkswagen"/>
    <s v="@VW"/>
    <x v="698"/>
    <s v="2015-09-10T19:14:43.000Z"/>
    <x v="0"/>
    <x v="77"/>
    <s v="19:14:43"/>
    <x v="1"/>
    <s v="@StephenHidalgo_"/>
    <s v=""/>
    <n v="0"/>
    <n v="0"/>
    <n v="0"/>
    <n v="0"/>
    <s v="No engagement"/>
    <b v="0"/>
    <b v="0"/>
    <b v="1"/>
    <x v="3"/>
  </r>
  <r>
    <s v="https://twitter.com/VW/status/642071089456152576"/>
    <s v="Volkswagen"/>
    <s v="@VW"/>
    <x v="699"/>
    <s v="2015-09-10T20:24:11.000Z"/>
    <x v="0"/>
    <x v="77"/>
    <s v="20:24:11"/>
    <x v="1"/>
    <s v=""/>
    <s v=""/>
    <n v="1"/>
    <n v="0"/>
    <n v="1"/>
    <n v="2"/>
    <s v="Low engagement"/>
    <b v="0"/>
    <b v="0"/>
    <b v="1"/>
    <x v="3"/>
  </r>
  <r>
    <s v="https://twitter.com/VW/status/642079921058111489"/>
    <s v="Volkswagen"/>
    <s v="@VW"/>
    <x v="700"/>
    <s v="2015-09-10T20:59:17.000Z"/>
    <x v="0"/>
    <x v="77"/>
    <s v="20:59:17"/>
    <x v="1"/>
    <s v=""/>
    <s v=""/>
    <n v="0"/>
    <n v="0"/>
    <n v="1"/>
    <n v="1"/>
    <s v="Low engagement"/>
    <b v="0"/>
    <b v="0"/>
    <b v="0"/>
    <x v="0"/>
  </r>
  <r>
    <s v="https://twitter.com/VW/status/642084307440308224"/>
    <s v="Volkswagen"/>
    <s v="@VW"/>
    <x v="701"/>
    <s v="2015-09-10T21:16:42.000Z"/>
    <x v="0"/>
    <x v="77"/>
    <s v="21:16:42"/>
    <x v="1"/>
    <s v="@bk_moore"/>
    <s v=""/>
    <n v="0"/>
    <n v="0"/>
    <n v="1"/>
    <n v="1"/>
    <s v="Low engagement"/>
    <b v="0"/>
    <b v="0"/>
    <b v="0"/>
    <x v="0"/>
  </r>
  <r>
    <s v="https://twitter.com/VW/status/642084305687068672"/>
    <s v="Volkswagen"/>
    <s v="@VW"/>
    <x v="702"/>
    <s v="2015-09-10T21:16:42.000Z"/>
    <x v="0"/>
    <x v="77"/>
    <s v="21:16:42"/>
    <x v="1"/>
    <s v="@szsami"/>
    <s v=""/>
    <n v="0"/>
    <n v="0"/>
    <n v="1"/>
    <n v="1"/>
    <s v="Low engagement"/>
    <b v="0"/>
    <b v="0"/>
    <b v="0"/>
    <x v="0"/>
  </r>
  <r>
    <s v="https://twitter.com/VW/status/642084309096992769"/>
    <s v="Volkswagen"/>
    <s v="@VW"/>
    <x v="703"/>
    <s v="2015-09-10T21:16:43.000Z"/>
    <x v="0"/>
    <x v="77"/>
    <s v="21:16:43"/>
    <x v="1"/>
    <s v="@bk_moore"/>
    <s v=""/>
    <n v="0"/>
    <n v="0"/>
    <n v="1"/>
    <n v="1"/>
    <s v="Low engagement"/>
    <b v="0"/>
    <b v="0"/>
    <b v="1"/>
    <x v="3"/>
  </r>
  <r>
    <s v="https://twitter.com/VW/status/642086564273647616"/>
    <s v="Volkswagen"/>
    <s v="@VW"/>
    <x v="704"/>
    <s v="2015-09-10T21:25:40.000Z"/>
    <x v="0"/>
    <x v="77"/>
    <s v="21:25:40"/>
    <x v="1"/>
    <s v=""/>
    <s v=""/>
    <n v="0"/>
    <n v="0"/>
    <n v="1"/>
    <n v="1"/>
    <s v="Low engagement"/>
    <b v="0"/>
    <b v="0"/>
    <b v="1"/>
    <x v="3"/>
  </r>
  <r>
    <s v="https://twitter.com/VW/status/642086562478424064"/>
    <s v="Volkswagen"/>
    <s v="@VW"/>
    <x v="705"/>
    <s v="2015-09-10T21:25:40.000Z"/>
    <x v="0"/>
    <x v="77"/>
    <s v="21:25:40"/>
    <x v="1"/>
    <s v=""/>
    <s v=""/>
    <n v="0"/>
    <n v="0"/>
    <n v="1"/>
    <n v="1"/>
    <s v="Low engagement"/>
    <b v="0"/>
    <b v="0"/>
    <b v="0"/>
    <x v="0"/>
  </r>
  <r>
    <s v="https://twitter.com/VW/status/642086565620006912"/>
    <s v="Volkswagen"/>
    <s v="@VW"/>
    <x v="706"/>
    <s v="2015-09-10T21:25:41.000Z"/>
    <x v="0"/>
    <x v="77"/>
    <s v="21:25:41"/>
    <x v="1"/>
    <s v="@sammPOW"/>
    <s v=""/>
    <n v="0"/>
    <n v="0"/>
    <n v="1"/>
    <n v="1"/>
    <s v="Low engagement"/>
    <b v="0"/>
    <b v="0"/>
    <b v="0"/>
    <x v="0"/>
  </r>
  <r>
    <s v="https://twitter.com/VW/status/642088794259193856"/>
    <s v="Volkswagen"/>
    <s v="@VW"/>
    <x v="707"/>
    <s v="2015-09-10T21:34:32.000Z"/>
    <x v="0"/>
    <x v="77"/>
    <s v="21:34:32"/>
    <x v="1"/>
    <s v="@r1d3r"/>
    <s v=""/>
    <n v="0"/>
    <n v="1"/>
    <n v="1"/>
    <n v="2"/>
    <s v="Low engagement"/>
    <b v="0"/>
    <b v="0"/>
    <b v="1"/>
    <x v="3"/>
  </r>
  <r>
    <s v="https://twitter.com/VW/status/642088792602492930"/>
    <s v="Volkswagen"/>
    <s v="@VW"/>
    <x v="708"/>
    <s v="2015-09-10T21:34:32.000Z"/>
    <x v="0"/>
    <x v="77"/>
    <s v="21:34:32"/>
    <x v="1"/>
    <s v="@sammPOW"/>
    <s v=""/>
    <n v="0"/>
    <n v="0"/>
    <n v="1"/>
    <n v="1"/>
    <s v="Low engagement"/>
    <b v="0"/>
    <b v="0"/>
    <b v="1"/>
    <x v="3"/>
  </r>
  <r>
    <s v="https://twitter.com/VW/status/642136885884641280"/>
    <s v="Volkswagen"/>
    <s v="@VW"/>
    <x v="709"/>
    <s v="2015-09-11T00:45:38.000Z"/>
    <x v="0"/>
    <x v="78"/>
    <s v="00:45:38"/>
    <x v="4"/>
    <s v="@KerryKates1"/>
    <s v=""/>
    <n v="0"/>
    <n v="2"/>
    <n v="1"/>
    <n v="3"/>
    <s v="Low engagement"/>
    <b v="0"/>
    <b v="0"/>
    <b v="0"/>
    <x v="0"/>
  </r>
  <r>
    <s v="https://twitter.com/VW/status/642136884378927104"/>
    <s v="Volkswagen"/>
    <s v="@VW"/>
    <x v="710"/>
    <s v="2015-09-11T00:45:38.000Z"/>
    <x v="0"/>
    <x v="78"/>
    <s v="00:45:38"/>
    <x v="4"/>
    <s v="@suzroche"/>
    <s v=""/>
    <n v="0"/>
    <n v="1"/>
    <n v="1"/>
    <n v="2"/>
    <s v="Low engagement"/>
    <b v="0"/>
    <b v="0"/>
    <b v="0"/>
    <x v="0"/>
  </r>
  <r>
    <s v="https://twitter.com/VW/status/642138992691941377"/>
    <s v="Volkswagen"/>
    <s v="@VW"/>
    <x v="711"/>
    <s v="2015-09-11T00:54:00.000Z"/>
    <x v="0"/>
    <x v="78"/>
    <s v="00:54:00"/>
    <x v="4"/>
    <s v="@KerryKates1"/>
    <s v=""/>
    <n v="0"/>
    <n v="0"/>
    <n v="0"/>
    <n v="0"/>
    <s v="No engagement"/>
    <b v="0"/>
    <b v="0"/>
    <b v="0"/>
    <x v="0"/>
  </r>
  <r>
    <s v="https://twitter.com/VW/status/642155523865886720"/>
    <s v="Volkswagen"/>
    <s v="@VW"/>
    <x v="712"/>
    <s v="2015-09-11T01:59:42.000Z"/>
    <x v="0"/>
    <x v="78"/>
    <s v="01:59:42"/>
    <x v="4"/>
    <s v=""/>
    <s v=""/>
    <n v="24"/>
    <n v="0"/>
    <n v="7"/>
    <n v="31"/>
    <s v="High engagement"/>
    <b v="1"/>
    <b v="0"/>
    <b v="0"/>
    <x v="1"/>
  </r>
  <r>
    <s v="https://twitter.com/VW/status/642460112293003264"/>
    <s v="Volkswagen"/>
    <s v="@VW"/>
    <x v="713"/>
    <s v="2015-09-11T22:10:01.000Z"/>
    <x v="0"/>
    <x v="78"/>
    <s v="22:10:01"/>
    <x v="1"/>
    <s v=""/>
    <s v=""/>
    <n v="47"/>
    <n v="1"/>
    <n v="24"/>
    <n v="72"/>
    <s v="High engagement"/>
    <b v="1"/>
    <b v="0"/>
    <b v="0"/>
    <x v="1"/>
  </r>
  <r>
    <s v="https://twitter.com/VW/status/642488279846117376"/>
    <s v="Volkswagen"/>
    <s v="@VW"/>
    <x v="714"/>
    <s v="2015-09-12T00:01:57.000Z"/>
    <x v="0"/>
    <x v="79"/>
    <s v="00:01:57"/>
    <x v="4"/>
    <s v=""/>
    <s v=""/>
    <n v="32"/>
    <n v="0"/>
    <n v="11"/>
    <n v="43"/>
    <s v="High engagement"/>
    <b v="1"/>
    <b v="0"/>
    <b v="0"/>
    <x v="1"/>
  </r>
  <r>
    <s v="https://twitter.com/VW/status/642511189470154752"/>
    <s v="Volkswagen"/>
    <s v="@VW"/>
    <x v="715"/>
    <s v="2015-09-12T01:32:59.000Z"/>
    <x v="0"/>
    <x v="79"/>
    <s v="01:32:59"/>
    <x v="4"/>
    <s v=""/>
    <s v=""/>
    <n v="36"/>
    <n v="1"/>
    <n v="15"/>
    <n v="52"/>
    <s v="High engagement"/>
    <b v="1"/>
    <b v="0"/>
    <b v="0"/>
    <x v="1"/>
  </r>
  <r>
    <s v="https://twitter.com/VW/status/642769321760915457"/>
    <s v="Volkswagen"/>
    <s v="@VW"/>
    <x v="716"/>
    <s v="2015-09-12T18:38:43.000Z"/>
    <x v="0"/>
    <x v="79"/>
    <s v="18:38:43"/>
    <x v="1"/>
    <s v=""/>
    <s v=""/>
    <n v="37"/>
    <n v="1"/>
    <n v="22"/>
    <n v="60"/>
    <s v="High engagement"/>
    <b v="1"/>
    <b v="0"/>
    <b v="0"/>
    <x v="1"/>
  </r>
  <r>
    <s v="https://twitter.com/VW/status/642787013557555200"/>
    <s v="Volkswagen"/>
    <s v="@VW"/>
    <x v="717"/>
    <s v="2015-09-12T19:49:01.000Z"/>
    <x v="0"/>
    <x v="79"/>
    <s v="19:49:01"/>
    <x v="1"/>
    <s v=""/>
    <s v=""/>
    <n v="24"/>
    <n v="0"/>
    <n v="15"/>
    <n v="39"/>
    <s v="High engagement"/>
    <b v="1"/>
    <b v="0"/>
    <b v="0"/>
    <x v="1"/>
  </r>
  <r>
    <s v="https://twitter.com/VW/status/642804576530206720"/>
    <s v="Volkswagen"/>
    <s v="@VW"/>
    <x v="718"/>
    <s v="2015-09-12T20:58:48.000Z"/>
    <x v="0"/>
    <x v="79"/>
    <s v="20:58:48"/>
    <x v="1"/>
    <s v=""/>
    <s v=""/>
    <n v="45"/>
    <n v="0"/>
    <n v="17"/>
    <n v="62"/>
    <s v="High engagement"/>
    <b v="1"/>
    <b v="0"/>
    <b v="0"/>
    <x v="1"/>
  </r>
  <r>
    <s v="https://twitter.com/VW/status/642816134429831169"/>
    <s v="Volkswagen"/>
    <s v="@VW"/>
    <x v="719"/>
    <s v="2015-09-12T21:44:44.000Z"/>
    <x v="0"/>
    <x v="79"/>
    <s v="21:44:44"/>
    <x v="1"/>
    <s v=""/>
    <s v=""/>
    <n v="88"/>
    <n v="1"/>
    <n v="35"/>
    <n v="124"/>
    <s v="High engagement"/>
    <b v="1"/>
    <b v="0"/>
    <b v="0"/>
    <x v="1"/>
  </r>
  <r>
    <s v="https://twitter.com/VW/status/642836311175335936"/>
    <s v="Volkswagen"/>
    <s v="@VW"/>
    <x v="720"/>
    <s v="2015-09-12T23:04:54.000Z"/>
    <x v="0"/>
    <x v="79"/>
    <s v="23:04:54"/>
    <x v="1"/>
    <s v=""/>
    <s v=""/>
    <n v="31"/>
    <n v="1"/>
    <n v="12"/>
    <n v="44"/>
    <s v="High engagement"/>
    <b v="1"/>
    <b v="0"/>
    <b v="0"/>
    <x v="1"/>
  </r>
  <r>
    <s v="https://twitter.com/VW/status/642838586513948673"/>
    <s v="Volkswagen"/>
    <s v="@VW"/>
    <x v="721"/>
    <s v="2015-09-12T23:13:57.000Z"/>
    <x v="0"/>
    <x v="79"/>
    <s v="23:13:57"/>
    <x v="1"/>
    <s v=""/>
    <s v=""/>
    <n v="36"/>
    <n v="1"/>
    <n v="10"/>
    <n v="47"/>
    <s v="High engagement"/>
    <b v="1"/>
    <b v="0"/>
    <b v="0"/>
    <x v="1"/>
  </r>
  <r>
    <s v="https://twitter.com/VW/status/643099079354920961"/>
    <s v="Volkswagen"/>
    <s v="@VW"/>
    <x v="722"/>
    <s v="2015-09-13T16:29:03.000Z"/>
    <x v="0"/>
    <x v="80"/>
    <s v="16:29:03"/>
    <x v="3"/>
    <s v=""/>
    <s v=""/>
    <n v="34"/>
    <n v="2"/>
    <n v="14"/>
    <n v="50"/>
    <s v="High engagement"/>
    <b v="1"/>
    <b v="0"/>
    <b v="0"/>
    <x v="1"/>
  </r>
  <r>
    <s v="https://twitter.com/VW/status/643119703125168128"/>
    <s v="Volkswagen"/>
    <s v="@VW"/>
    <x v="723"/>
    <s v="2015-09-13T17:51:00.000Z"/>
    <x v="0"/>
    <x v="80"/>
    <s v="17:51:00"/>
    <x v="3"/>
    <s v=""/>
    <s v=""/>
    <n v="32"/>
    <n v="2"/>
    <n v="12"/>
    <n v="46"/>
    <s v="High engagement"/>
    <b v="1"/>
    <b v="0"/>
    <b v="0"/>
    <x v="1"/>
  </r>
  <r>
    <s v="https://twitter.com/VW/status/643128232980541440"/>
    <s v="Volkswagen"/>
    <s v="@VW"/>
    <x v="724"/>
    <s v="2015-09-13T18:24:54.000Z"/>
    <x v="0"/>
    <x v="80"/>
    <s v="18:24:54"/>
    <x v="1"/>
    <s v=""/>
    <s v=""/>
    <n v="20"/>
    <n v="0"/>
    <n v="8"/>
    <n v="28"/>
    <s v="High engagement"/>
    <b v="1"/>
    <b v="0"/>
    <b v="0"/>
    <x v="1"/>
  </r>
  <r>
    <s v="https://twitter.com/VW/status/643135526623576065"/>
    <s v="Volkswagen"/>
    <s v="@VW"/>
    <x v="725"/>
    <s v="2015-09-13T18:53:53.000Z"/>
    <x v="0"/>
    <x v="80"/>
    <s v="18:53:53"/>
    <x v="1"/>
    <s v="@sweet_tWhits"/>
    <s v=""/>
    <n v="0"/>
    <n v="0"/>
    <n v="0"/>
    <n v="0"/>
    <s v="No engagement"/>
    <b v="0"/>
    <b v="0"/>
    <b v="1"/>
    <x v="3"/>
  </r>
  <r>
    <s v="https://twitter.com/VW/status/643137639961374724"/>
    <s v="Volkswagen"/>
    <s v="@VW"/>
    <x v="726"/>
    <s v="2015-09-13T19:02:16.000Z"/>
    <x v="0"/>
    <x v="80"/>
    <s v="19:02:16"/>
    <x v="1"/>
    <s v=""/>
    <s v=""/>
    <n v="0"/>
    <n v="0"/>
    <n v="0"/>
    <n v="0"/>
    <s v="No engagement"/>
    <b v="0"/>
    <b v="0"/>
    <b v="0"/>
    <x v="0"/>
  </r>
  <r>
    <s v="https://twitter.com/VW/status/643137638560501761"/>
    <s v="Volkswagen"/>
    <s v="@VW"/>
    <x v="727"/>
    <s v="2015-09-13T19:02:16.000Z"/>
    <x v="0"/>
    <x v="80"/>
    <s v="19:02:16"/>
    <x v="1"/>
    <s v=""/>
    <s v=""/>
    <n v="0"/>
    <n v="0"/>
    <n v="0"/>
    <n v="0"/>
    <s v="No engagement"/>
    <b v="0"/>
    <b v="0"/>
    <b v="0"/>
    <x v="0"/>
  </r>
  <r>
    <s v="https://twitter.com/VW/status/643137637054726144"/>
    <s v="Volkswagen"/>
    <s v="@VW"/>
    <x v="728"/>
    <s v="2015-09-13T19:02:16.000Z"/>
    <x v="0"/>
    <x v="80"/>
    <s v="19:02:16"/>
    <x v="1"/>
    <s v="@MrkFrnc"/>
    <s v=""/>
    <n v="0"/>
    <n v="0"/>
    <n v="0"/>
    <n v="0"/>
    <s v="No engagement"/>
    <b v="0"/>
    <b v="0"/>
    <b v="1"/>
    <x v="3"/>
  </r>
  <r>
    <s v="https://twitter.com/VW/status/643137644021485569"/>
    <s v="Volkswagen"/>
    <s v="@VW"/>
    <x v="729"/>
    <s v="2015-09-13T19:02:17.000Z"/>
    <x v="0"/>
    <x v="80"/>
    <s v="19:02:17"/>
    <x v="1"/>
    <s v="@aatheus"/>
    <s v=""/>
    <n v="0"/>
    <n v="0"/>
    <n v="0"/>
    <n v="0"/>
    <s v="No engagement"/>
    <b v="0"/>
    <b v="0"/>
    <b v="0"/>
    <x v="0"/>
  </r>
  <r>
    <s v="https://twitter.com/VW/status/643137642729598976"/>
    <s v="Volkswagen"/>
    <s v="@VW"/>
    <x v="730"/>
    <s v="2015-09-13T19:02:17.000Z"/>
    <x v="0"/>
    <x v="80"/>
    <s v="19:02:17"/>
    <x v="1"/>
    <s v="@bryan_ltd"/>
    <s v=""/>
    <n v="0"/>
    <n v="1"/>
    <n v="0"/>
    <n v="1"/>
    <s v="Low engagement"/>
    <b v="0"/>
    <b v="0"/>
    <b v="0"/>
    <x v="0"/>
  </r>
  <r>
    <s v="https://twitter.com/VW/status/643137641332903936"/>
    <s v="Volkswagen"/>
    <s v="@VW"/>
    <x v="731"/>
    <s v="2015-09-13T19:02:17.000Z"/>
    <x v="0"/>
    <x v="80"/>
    <s v="19:02:17"/>
    <x v="1"/>
    <s v="@TheJveit"/>
    <s v=""/>
    <n v="0"/>
    <n v="0"/>
    <n v="0"/>
    <n v="0"/>
    <s v="No engagement"/>
    <b v="0"/>
    <b v="0"/>
    <b v="0"/>
    <x v="0"/>
  </r>
  <r>
    <s v="https://twitter.com/VW/status/643137647926317056"/>
    <s v="Volkswagen"/>
    <s v="@VW"/>
    <x v="732"/>
    <s v="2015-09-13T19:02:18.000Z"/>
    <x v="0"/>
    <x v="80"/>
    <s v="19:02:18"/>
    <x v="1"/>
    <s v="@scottfybush"/>
    <s v=""/>
    <n v="0"/>
    <n v="0"/>
    <n v="0"/>
    <n v="0"/>
    <s v="No engagement"/>
    <b v="0"/>
    <b v="0"/>
    <b v="1"/>
    <x v="3"/>
  </r>
  <r>
    <s v="https://twitter.com/VW/status/643137646751973376"/>
    <s v="Volkswagen"/>
    <s v="@VW"/>
    <x v="733"/>
    <s v="2015-09-13T19:02:18.000Z"/>
    <x v="0"/>
    <x v="80"/>
    <s v="19:02:18"/>
    <x v="1"/>
    <s v=""/>
    <s v=""/>
    <n v="0"/>
    <n v="0"/>
    <n v="0"/>
    <n v="0"/>
    <s v="No engagement"/>
    <b v="0"/>
    <b v="0"/>
    <b v="0"/>
    <x v="0"/>
  </r>
  <r>
    <s v="https://twitter.com/VW/status/643137645422313472"/>
    <s v="Volkswagen"/>
    <s v="@VW"/>
    <x v="734"/>
    <s v="2015-09-13T19:02:18.000Z"/>
    <x v="0"/>
    <x v="80"/>
    <s v="19:02:18"/>
    <x v="1"/>
    <s v=""/>
    <s v=""/>
    <n v="0"/>
    <n v="0"/>
    <n v="0"/>
    <n v="0"/>
    <s v="No engagement"/>
    <b v="0"/>
    <b v="0"/>
    <b v="0"/>
    <x v="0"/>
  </r>
  <r>
    <s v="https://twitter.com/VW/status/643139767824084993"/>
    <s v="Volkswagen"/>
    <s v="@VW"/>
    <x v="735"/>
    <s v="2015-09-13T19:10:44.000Z"/>
    <x v="0"/>
    <x v="80"/>
    <s v="19:10:44"/>
    <x v="1"/>
    <s v="@Thereal100grand"/>
    <s v=""/>
    <n v="0"/>
    <n v="0"/>
    <n v="0"/>
    <n v="0"/>
    <s v="No engagement"/>
    <b v="0"/>
    <b v="0"/>
    <b v="1"/>
    <x v="3"/>
  </r>
  <r>
    <s v="https://twitter.com/VW/status/643139773822070784"/>
    <s v="Volkswagen"/>
    <s v="@VW"/>
    <x v="736"/>
    <s v="2015-09-13T19:10:45.000Z"/>
    <x v="0"/>
    <x v="80"/>
    <s v="19:10:45"/>
    <x v="1"/>
    <s v=""/>
    <s v=""/>
    <n v="0"/>
    <n v="0"/>
    <n v="0"/>
    <n v="0"/>
    <s v="No engagement"/>
    <b v="0"/>
    <b v="0"/>
    <b v="0"/>
    <x v="0"/>
  </r>
  <r>
    <s v="https://twitter.com/VW/status/643139778456588288"/>
    <s v="Volkswagen"/>
    <s v="@VW"/>
    <x v="737"/>
    <s v="2015-09-13T19:10:46.000Z"/>
    <x v="0"/>
    <x v="80"/>
    <s v="19:10:46"/>
    <x v="1"/>
    <s v="@KidsAreHeroes"/>
    <s v=""/>
    <n v="0"/>
    <n v="0"/>
    <n v="0"/>
    <n v="0"/>
    <s v="No engagement"/>
    <b v="0"/>
    <b v="0"/>
    <b v="1"/>
    <x v="3"/>
  </r>
  <r>
    <s v="https://twitter.com/VW/status/643141914179440640"/>
    <s v="Volkswagen"/>
    <s v="@VW"/>
    <x v="738"/>
    <s v="2015-09-13T19:19:15.000Z"/>
    <x v="0"/>
    <x v="80"/>
    <s v="19:19:15"/>
    <x v="1"/>
    <s v=""/>
    <s v=""/>
    <n v="0"/>
    <n v="0"/>
    <n v="0"/>
    <n v="0"/>
    <s v="No engagement"/>
    <b v="0"/>
    <b v="0"/>
    <b v="0"/>
    <x v="0"/>
  </r>
  <r>
    <s v="https://twitter.com/VW/status/643141912258457601"/>
    <s v="Volkswagen"/>
    <s v="@VW"/>
    <x v="739"/>
    <s v="2015-09-13T19:19:15.000Z"/>
    <x v="0"/>
    <x v="80"/>
    <s v="19:19:15"/>
    <x v="1"/>
    <s v="@jetpuf"/>
    <s v=""/>
    <n v="0"/>
    <n v="1"/>
    <n v="0"/>
    <n v="1"/>
    <s v="Low engagement"/>
    <b v="0"/>
    <b v="0"/>
    <b v="0"/>
    <x v="0"/>
  </r>
  <r>
    <s v="https://twitter.com/VW/status/643141910652055552"/>
    <s v="Volkswagen"/>
    <s v="@VW"/>
    <x v="740"/>
    <s v="2015-09-13T19:19:15.000Z"/>
    <x v="0"/>
    <x v="80"/>
    <s v="19:19:15"/>
    <x v="1"/>
    <s v="@LNM588"/>
    <s v=""/>
    <n v="0"/>
    <n v="0"/>
    <n v="0"/>
    <n v="0"/>
    <s v="No engagement"/>
    <b v="0"/>
    <b v="0"/>
    <b v="0"/>
    <x v="0"/>
  </r>
  <r>
    <s v="https://twitter.com/VW/status/643141917912403968"/>
    <s v="Volkswagen"/>
    <s v="@VW"/>
    <x v="741"/>
    <s v="2015-09-13T19:19:16.000Z"/>
    <x v="0"/>
    <x v="80"/>
    <s v="19:19:16"/>
    <x v="1"/>
    <s v="@johnotani"/>
    <s v=""/>
    <n v="0"/>
    <n v="0"/>
    <n v="0"/>
    <n v="0"/>
    <s v="No engagement"/>
    <b v="0"/>
    <b v="0"/>
    <b v="0"/>
    <x v="0"/>
  </r>
  <r>
    <s v="https://twitter.com/VW/status/643141916129755136"/>
    <s v="Volkswagen"/>
    <s v="@VW"/>
    <x v="742"/>
    <s v="2015-09-13T19:19:16.000Z"/>
    <x v="0"/>
    <x v="80"/>
    <s v="19:19:16"/>
    <x v="1"/>
    <s v="@johnotani"/>
    <s v=""/>
    <n v="0"/>
    <n v="0"/>
    <n v="0"/>
    <n v="0"/>
    <s v="No engagement"/>
    <b v="0"/>
    <b v="0"/>
    <b v="0"/>
    <x v="0"/>
  </r>
  <r>
    <s v="https://twitter.com/VW/status/643141921045528576"/>
    <s v="Volkswagen"/>
    <s v="@VW"/>
    <x v="743"/>
    <s v="2015-09-13T19:19:17.000Z"/>
    <x v="0"/>
    <x v="80"/>
    <s v="19:19:17"/>
    <x v="1"/>
    <s v="@rchozick"/>
    <s v=""/>
    <n v="0"/>
    <n v="0"/>
    <n v="1"/>
    <n v="1"/>
    <s v="Low engagement"/>
    <b v="0"/>
    <b v="0"/>
    <b v="1"/>
    <x v="3"/>
  </r>
  <r>
    <s v="https://twitter.com/VW/status/643141919418150912"/>
    <s v="Volkswagen"/>
    <s v="@VW"/>
    <x v="744"/>
    <s v="2015-09-13T19:19:17.000Z"/>
    <x v="0"/>
    <x v="80"/>
    <s v="19:19:17"/>
    <x v="1"/>
    <s v="@SeunySeun"/>
    <s v=""/>
    <n v="0"/>
    <n v="0"/>
    <n v="1"/>
    <n v="1"/>
    <s v="Low engagement"/>
    <b v="0"/>
    <b v="0"/>
    <b v="0"/>
    <x v="0"/>
  </r>
  <r>
    <s v="https://twitter.com/VW/status/643141923058790400"/>
    <s v="Volkswagen"/>
    <s v="@VW"/>
    <x v="745"/>
    <s v="2015-09-13T19:19:18.000Z"/>
    <x v="0"/>
    <x v="80"/>
    <s v="19:19:18"/>
    <x v="1"/>
    <s v=""/>
    <s v=""/>
    <n v="0"/>
    <n v="0"/>
    <n v="1"/>
    <n v="1"/>
    <s v="Low engagement"/>
    <b v="0"/>
    <b v="0"/>
    <b v="0"/>
    <x v="0"/>
  </r>
  <r>
    <s v="https://twitter.com/VW/status/643157574188072960"/>
    <s v="Volkswagen"/>
    <s v="@VW"/>
    <x v="746"/>
    <s v="2015-09-13T20:21:29.000Z"/>
    <x v="0"/>
    <x v="80"/>
    <s v="20:21:29"/>
    <x v="1"/>
    <s v=""/>
    <s v=""/>
    <n v="30"/>
    <n v="0"/>
    <n v="19"/>
    <n v="49"/>
    <s v="High engagement"/>
    <b v="1"/>
    <b v="0"/>
    <b v="0"/>
    <x v="1"/>
  </r>
  <r>
    <s v="https://twitter.com/VW/status/643196395172708353"/>
    <s v="Volkswagen"/>
    <s v="@VW"/>
    <x v="747"/>
    <s v="2015-09-13T22:55:45.000Z"/>
    <x v="0"/>
    <x v="80"/>
    <s v="22:55:45"/>
    <x v="1"/>
    <s v=""/>
    <s v=""/>
    <n v="69"/>
    <n v="2"/>
    <n v="33"/>
    <n v="104"/>
    <s v="High engagement"/>
    <b v="1"/>
    <b v="0"/>
    <b v="0"/>
    <x v="1"/>
  </r>
  <r>
    <s v="https://twitter.com/VW/status/643416099111895040"/>
    <s v="Volkswagen"/>
    <s v="@VW"/>
    <x v="748"/>
    <s v="2015-09-14T13:28:46.000Z"/>
    <x v="0"/>
    <x v="81"/>
    <s v="13:28:46"/>
    <x v="0"/>
    <s v="@MeganGuarnier"/>
    <s v=""/>
    <n v="3"/>
    <n v="0"/>
    <n v="3"/>
    <n v="6"/>
    <s v="Moderate engagement"/>
    <b v="0"/>
    <b v="0"/>
    <b v="0"/>
    <x v="0"/>
  </r>
  <r>
    <s v="https://twitter.com/VW/status/643448046424973312"/>
    <s v="Volkswagen"/>
    <s v="@VW"/>
    <x v="749"/>
    <s v="2015-09-14T15:35:43.000Z"/>
    <x v="0"/>
    <x v="81"/>
    <s v="15:35:43"/>
    <x v="3"/>
    <s v="@BeTheNV"/>
    <s v=""/>
    <n v="0"/>
    <n v="0"/>
    <n v="1"/>
    <n v="1"/>
    <s v="Low engagement"/>
    <b v="0"/>
    <b v="0"/>
    <b v="0"/>
    <x v="0"/>
  </r>
  <r>
    <s v="https://twitter.com/VW/status/643448050174717952"/>
    <s v="Volkswagen"/>
    <s v="@VW"/>
    <x v="750"/>
    <s v="2015-09-14T15:35:44.000Z"/>
    <x v="0"/>
    <x v="81"/>
    <s v="15:35:44"/>
    <x v="3"/>
    <s v="@TheWilltoHunt"/>
    <s v=""/>
    <n v="1"/>
    <n v="1"/>
    <n v="1"/>
    <n v="3"/>
    <s v="Low engagement"/>
    <b v="0"/>
    <b v="0"/>
    <b v="1"/>
    <x v="3"/>
  </r>
  <r>
    <s v="https://twitter.com/VW/status/643448048861839360"/>
    <s v="Volkswagen"/>
    <s v="@VW"/>
    <x v="751"/>
    <s v="2015-09-14T15:35:44.000Z"/>
    <x v="0"/>
    <x v="81"/>
    <s v="15:35:44"/>
    <x v="3"/>
    <s v="@BeTheNV"/>
    <s v=""/>
    <n v="0"/>
    <n v="0"/>
    <n v="0"/>
    <n v="0"/>
    <s v="No engagement"/>
    <b v="0"/>
    <b v="0"/>
    <b v="0"/>
    <x v="0"/>
  </r>
  <r>
    <s v="https://twitter.com/VW/status/643454506164883458"/>
    <s v="Volkswagen"/>
    <s v="@VW"/>
    <x v="752"/>
    <s v="2015-09-14T16:01:23.000Z"/>
    <x v="0"/>
    <x v="81"/>
    <s v="16:01:23"/>
    <x v="3"/>
    <s v="@dpgerry"/>
    <s v=""/>
    <n v="0"/>
    <n v="0"/>
    <n v="0"/>
    <n v="0"/>
    <s v="No engagement"/>
    <b v="0"/>
    <b v="0"/>
    <b v="0"/>
    <x v="0"/>
  </r>
  <r>
    <s v="https://twitter.com/VW/status/643454504331939840"/>
    <s v="Volkswagen"/>
    <s v="@VW"/>
    <x v="753"/>
    <s v="2015-09-14T16:01:23.000Z"/>
    <x v="0"/>
    <x v="81"/>
    <s v="16:01:23"/>
    <x v="3"/>
    <s v="@dpgerry"/>
    <s v=""/>
    <n v="0"/>
    <n v="0"/>
    <n v="0"/>
    <n v="0"/>
    <s v="No engagement"/>
    <b v="0"/>
    <b v="0"/>
    <b v="0"/>
    <x v="0"/>
  </r>
  <r>
    <s v="https://twitter.com/VW/status/643504265177264128"/>
    <s v="Volkswagen"/>
    <s v="@VW"/>
    <x v="754"/>
    <s v="2015-09-14T19:19:07.000Z"/>
    <x v="0"/>
    <x v="81"/>
    <s v="19:19:07"/>
    <x v="1"/>
    <s v=""/>
    <s v=""/>
    <n v="0"/>
    <n v="0"/>
    <n v="1"/>
    <n v="1"/>
    <s v="Low engagement"/>
    <b v="0"/>
    <b v="0"/>
    <b v="1"/>
    <x v="3"/>
  </r>
  <r>
    <s v="https://twitter.com/VW/status/643510642033459200"/>
    <s v="Volkswagen"/>
    <s v="@VW"/>
    <x v="755"/>
    <s v="2015-09-14T19:44:27.000Z"/>
    <x v="0"/>
    <x v="81"/>
    <s v="19:44:27"/>
    <x v="1"/>
    <s v="@evely_29"/>
    <s v=""/>
    <n v="0"/>
    <n v="0"/>
    <n v="1"/>
    <n v="1"/>
    <s v="Low engagement"/>
    <b v="0"/>
    <b v="0"/>
    <b v="0"/>
    <x v="0"/>
  </r>
  <r>
    <s v="https://twitter.com/VW/status/643791574078349312"/>
    <s v="Volkswagen"/>
    <s v="@VW"/>
    <x v="756"/>
    <s v="2015-09-15T14:20:46.000Z"/>
    <x v="0"/>
    <x v="82"/>
    <s v="14:20:46"/>
    <x v="3"/>
    <s v=""/>
    <s v=""/>
    <n v="0"/>
    <n v="0"/>
    <n v="0"/>
    <n v="0"/>
    <s v="No engagement"/>
    <b v="0"/>
    <b v="0"/>
    <b v="1"/>
    <x v="3"/>
  </r>
  <r>
    <s v="https://twitter.com/VW/status/643817125698637824"/>
    <s v="Volkswagen"/>
    <s v="@VW"/>
    <x v="757"/>
    <s v="2015-09-15T16:02:18.000Z"/>
    <x v="0"/>
    <x v="82"/>
    <s v="16:02:18"/>
    <x v="3"/>
    <s v="@ImSabZar"/>
    <s v=""/>
    <n v="1"/>
    <n v="0"/>
    <n v="0"/>
    <n v="1"/>
    <s v="Low engagement"/>
    <b v="0"/>
    <b v="0"/>
    <b v="0"/>
    <x v="0"/>
  </r>
  <r>
    <s v="https://twitter.com/VW/status/643832141353123840"/>
    <s v="Volkswagen"/>
    <s v="@VW"/>
    <x v="758"/>
    <s v="2015-09-15T17:01:58.000Z"/>
    <x v="0"/>
    <x v="82"/>
    <s v="17:01:58"/>
    <x v="3"/>
    <s v=""/>
    <s v=""/>
    <n v="0"/>
    <n v="0"/>
    <n v="0"/>
    <n v="0"/>
    <s v="No engagement"/>
    <b v="0"/>
    <b v="0"/>
    <b v="1"/>
    <x v="3"/>
  </r>
  <r>
    <s v="https://twitter.com/VW/status/643832144779833344"/>
    <s v="Volkswagen"/>
    <s v="@VW"/>
    <x v="759"/>
    <s v="2015-09-15T17:01:59.000Z"/>
    <x v="0"/>
    <x v="82"/>
    <s v="17:01:59"/>
    <x v="3"/>
    <s v="@ColinChambers44"/>
    <s v=""/>
    <n v="0"/>
    <n v="0"/>
    <n v="0"/>
    <n v="0"/>
    <s v="No engagement"/>
    <b v="0"/>
    <b v="0"/>
    <b v="0"/>
    <x v="0"/>
  </r>
  <r>
    <s v="https://twitter.com/VW/status/643832143190167552"/>
    <s v="Volkswagen"/>
    <s v="@VW"/>
    <x v="760"/>
    <s v="2015-09-15T17:01:59.000Z"/>
    <x v="0"/>
    <x v="82"/>
    <s v="17:01:59"/>
    <x v="3"/>
    <s v="@ToriAnn88"/>
    <s v=""/>
    <n v="0"/>
    <n v="0"/>
    <n v="0"/>
    <n v="0"/>
    <s v="No engagement"/>
    <b v="0"/>
    <b v="0"/>
    <b v="1"/>
    <x v="3"/>
  </r>
  <r>
    <s v="https://twitter.com/VW/status/643832149745860608"/>
    <s v="Volkswagen"/>
    <s v="@VW"/>
    <x v="761"/>
    <s v="2015-09-15T17:02:00.000Z"/>
    <x v="0"/>
    <x v="82"/>
    <s v="17:02:00"/>
    <x v="3"/>
    <s v=""/>
    <s v=""/>
    <n v="0"/>
    <n v="0"/>
    <n v="0"/>
    <n v="0"/>
    <s v="No engagement"/>
    <b v="0"/>
    <b v="0"/>
    <b v="0"/>
    <x v="0"/>
  </r>
  <r>
    <s v="https://twitter.com/VW/status/643832147766210560"/>
    <s v="Volkswagen"/>
    <s v="@VW"/>
    <x v="762"/>
    <s v="2015-09-15T17:02:00.000Z"/>
    <x v="0"/>
    <x v="82"/>
    <s v="17:02:00"/>
    <x v="3"/>
    <s v="@AdManHayes"/>
    <s v=""/>
    <n v="0"/>
    <n v="0"/>
    <n v="0"/>
    <n v="0"/>
    <s v="No engagement"/>
    <b v="0"/>
    <b v="0"/>
    <b v="0"/>
    <x v="0"/>
  </r>
  <r>
    <s v="https://twitter.com/VW/status/643834308440887296"/>
    <s v="Volkswagen"/>
    <s v="@VW"/>
    <x v="763"/>
    <s v="2015-09-15T17:10:35.000Z"/>
    <x v="0"/>
    <x v="82"/>
    <s v="17:10:35"/>
    <x v="3"/>
    <s v=""/>
    <s v=""/>
    <n v="0"/>
    <n v="0"/>
    <n v="0"/>
    <n v="0"/>
    <s v="No engagement"/>
    <b v="0"/>
    <b v="0"/>
    <b v="0"/>
    <x v="0"/>
  </r>
  <r>
    <s v="https://twitter.com/VW/status/643834310433177602"/>
    <s v="Volkswagen"/>
    <s v="@VW"/>
    <x v="764"/>
    <s v="2015-09-15T17:10:36.000Z"/>
    <x v="0"/>
    <x v="82"/>
    <s v="17:10:36"/>
    <x v="3"/>
    <s v="@DorothyMeredit3"/>
    <s v=""/>
    <n v="0"/>
    <n v="0"/>
    <n v="1"/>
    <n v="1"/>
    <s v="Low engagement"/>
    <b v="0"/>
    <b v="0"/>
    <b v="1"/>
    <x v="3"/>
  </r>
  <r>
    <s v="https://twitter.com/VW/status/643844940607422464"/>
    <s v="Volkswagen"/>
    <s v="@VW"/>
    <x v="765"/>
    <s v="2015-09-15T17:52:50.000Z"/>
    <x v="0"/>
    <x v="82"/>
    <s v="17:52:50"/>
    <x v="3"/>
    <s v="@LSTMarketing"/>
    <s v=""/>
    <n v="2"/>
    <n v="0"/>
    <n v="2"/>
    <n v="4"/>
    <s v="Low engagement"/>
    <b v="0"/>
    <b v="0"/>
    <b v="0"/>
    <x v="0"/>
  </r>
  <r>
    <s v="https://twitter.com/VW/status/643885205380444160"/>
    <s v="Volkswagen"/>
    <s v="@VW"/>
    <x v="766"/>
    <s v="2015-09-15T20:32:50.000Z"/>
    <x v="0"/>
    <x v="82"/>
    <s v="20:32:50"/>
    <x v="1"/>
    <s v="@Luyanda56203804"/>
    <s v=""/>
    <n v="0"/>
    <n v="0"/>
    <n v="0"/>
    <n v="0"/>
    <s v="No engagement"/>
    <b v="0"/>
    <b v="0"/>
    <b v="0"/>
    <x v="0"/>
  </r>
  <r>
    <s v="https://twitter.com/VW/status/643885203870453766"/>
    <s v="Volkswagen"/>
    <s v="@VW"/>
    <x v="767"/>
    <s v="2015-09-15T20:32:50.000Z"/>
    <x v="0"/>
    <x v="82"/>
    <s v="20:32:50"/>
    <x v="1"/>
    <s v="@PastilleLeeds"/>
    <s v=""/>
    <n v="1"/>
    <n v="0"/>
    <n v="0"/>
    <n v="1"/>
    <s v="Low engagement"/>
    <b v="0"/>
    <b v="0"/>
    <b v="0"/>
    <x v="0"/>
  </r>
  <r>
    <s v="https://twitter.com/VW/status/643889564369588224"/>
    <s v="Volkswagen"/>
    <s v="@VW"/>
    <x v="768"/>
    <s v="2015-09-15T20:50:09.000Z"/>
    <x v="0"/>
    <x v="82"/>
    <s v="20:50:09"/>
    <x v="1"/>
    <s v="@JamesUWW"/>
    <s v=""/>
    <n v="0"/>
    <n v="0"/>
    <n v="0"/>
    <n v="0"/>
    <s v="No engagement"/>
    <b v="0"/>
    <b v="0"/>
    <b v="0"/>
    <x v="0"/>
  </r>
  <r>
    <s v="https://twitter.com/VW/status/643898075191230464"/>
    <s v="Volkswagen"/>
    <s v="@VW"/>
    <x v="769"/>
    <s v="2015-09-15T21:23:58.000Z"/>
    <x v="0"/>
    <x v="82"/>
    <s v="21:23:58"/>
    <x v="1"/>
    <s v=""/>
    <s v=""/>
    <n v="0"/>
    <n v="0"/>
    <n v="0"/>
    <n v="0"/>
    <s v="No engagement"/>
    <b v="0"/>
    <b v="0"/>
    <b v="0"/>
    <x v="0"/>
  </r>
  <r>
    <s v="https://twitter.com/VW/status/643900156102864896"/>
    <s v="Volkswagen"/>
    <s v="@VW"/>
    <x v="770"/>
    <s v="2015-09-15T21:32:14.000Z"/>
    <x v="0"/>
    <x v="82"/>
    <s v="21:32:14"/>
    <x v="1"/>
    <s v="@NYDNAutos"/>
    <s v=""/>
    <n v="0"/>
    <n v="0"/>
    <n v="1"/>
    <n v="1"/>
    <s v="Low engagement"/>
    <b v="0"/>
    <b v="0"/>
    <b v="0"/>
    <x v="0"/>
  </r>
  <r>
    <s v="https://twitter.com/VW/status/643904417515749376"/>
    <s v="Volkswagen"/>
    <s v="@VW"/>
    <x v="771"/>
    <s v="2015-09-15T21:49:10.000Z"/>
    <x v="0"/>
    <x v="82"/>
    <s v="21:49:10"/>
    <x v="1"/>
    <s v=""/>
    <s v=""/>
    <n v="0"/>
    <n v="0"/>
    <n v="1"/>
    <n v="1"/>
    <s v="Low engagement"/>
    <b v="0"/>
    <b v="0"/>
    <b v="1"/>
    <x v="3"/>
  </r>
  <r>
    <s v="https://twitter.com/VW/status/643906529767198720"/>
    <s v="Volkswagen"/>
    <s v="@VW"/>
    <x v="772"/>
    <s v="2015-09-15T21:57:34.000Z"/>
    <x v="0"/>
    <x v="82"/>
    <s v="21:57:34"/>
    <x v="1"/>
    <s v="@636_OC"/>
    <s v=""/>
    <n v="0"/>
    <n v="0"/>
    <n v="1"/>
    <n v="1"/>
    <s v="Low engagement"/>
    <b v="0"/>
    <b v="0"/>
    <b v="0"/>
    <x v="0"/>
  </r>
  <r>
    <s v="https://twitter.com/VW/status/643919188147343360"/>
    <s v="Volkswagen"/>
    <s v="@VW"/>
    <x v="773"/>
    <s v="2015-09-15T22:47:52.000Z"/>
    <x v="0"/>
    <x v="82"/>
    <s v="22:47:52"/>
    <x v="1"/>
    <s v="@StephieEpie"/>
    <s v=""/>
    <n v="1"/>
    <n v="0"/>
    <n v="1"/>
    <n v="2"/>
    <s v="Low engagement"/>
    <b v="0"/>
    <b v="0"/>
    <b v="1"/>
    <x v="3"/>
  </r>
  <r>
    <s v="https://twitter.com/VW/status/643921341201039360"/>
    <s v="Volkswagen"/>
    <s v="@VW"/>
    <x v="774"/>
    <s v="2015-09-15T22:56:25.000Z"/>
    <x v="0"/>
    <x v="82"/>
    <s v="22:56:25"/>
    <x v="1"/>
    <s v="@cherry_LA"/>
    <s v=""/>
    <n v="1"/>
    <n v="0"/>
    <n v="1"/>
    <n v="2"/>
    <s v="Low engagement"/>
    <b v="0"/>
    <b v="0"/>
    <b v="0"/>
    <x v="0"/>
  </r>
  <r>
    <s v="https://twitter.com/VW/status/643927721668534273"/>
    <s v="Volkswagen"/>
    <s v="@VW"/>
    <x v="775"/>
    <s v="2015-09-15T23:21:47.000Z"/>
    <x v="0"/>
    <x v="82"/>
    <s v="23:21:47"/>
    <x v="1"/>
    <s v="@BrianMarette"/>
    <s v=""/>
    <n v="1"/>
    <n v="0"/>
    <n v="0"/>
    <n v="1"/>
    <s v="Low engagement"/>
    <b v="0"/>
    <b v="0"/>
    <b v="0"/>
    <x v="0"/>
  </r>
  <r>
    <s v="https://twitter.com/VW/status/644267455230033921"/>
    <s v="Volkswagen"/>
    <s v="@VW"/>
    <x v="776"/>
    <s v="2015-09-16T21:51:45.000Z"/>
    <x v="0"/>
    <x v="83"/>
    <s v="21:51:45"/>
    <x v="1"/>
    <s v=""/>
    <s v=""/>
    <n v="0"/>
    <n v="1"/>
    <n v="0"/>
    <n v="1"/>
    <s v="Low engagement"/>
    <b v="0"/>
    <b v="0"/>
    <b v="0"/>
    <x v="0"/>
  </r>
  <r>
    <s v="https://twitter.com/VW/status/644267453493608448"/>
    <s v="Volkswagen"/>
    <s v="@VW"/>
    <x v="777"/>
    <s v="2015-09-16T21:51:45.000Z"/>
    <x v="0"/>
    <x v="83"/>
    <s v="21:51:45"/>
    <x v="1"/>
    <s v="@tkrupp07"/>
    <s v=""/>
    <n v="0"/>
    <n v="1"/>
    <n v="0"/>
    <n v="1"/>
    <s v="Low engagement"/>
    <b v="0"/>
    <b v="0"/>
    <b v="0"/>
    <x v="0"/>
  </r>
  <r>
    <s v="https://twitter.com/VW/status/644267457704685568"/>
    <s v="Volkswagen"/>
    <s v="@VW"/>
    <x v="778"/>
    <s v="2015-09-16T21:51:46.000Z"/>
    <x v="0"/>
    <x v="83"/>
    <s v="21:51:46"/>
    <x v="1"/>
    <s v=""/>
    <s v=""/>
    <n v="0"/>
    <n v="0"/>
    <n v="0"/>
    <n v="0"/>
    <s v="No engagement"/>
    <b v="0"/>
    <b v="0"/>
    <b v="1"/>
    <x v="3"/>
  </r>
  <r>
    <s v="https://twitter.com/VW/status/644267460951052288"/>
    <s v="Volkswagen"/>
    <s v="@VW"/>
    <x v="779"/>
    <s v="2015-09-16T21:51:47.000Z"/>
    <x v="0"/>
    <x v="83"/>
    <s v="21:51:47"/>
    <x v="1"/>
    <s v="@cabernet_life"/>
    <s v=""/>
    <n v="0"/>
    <n v="2"/>
    <n v="0"/>
    <n v="2"/>
    <s v="Low engagement"/>
    <b v="0"/>
    <b v="0"/>
    <b v="0"/>
    <x v="0"/>
  </r>
  <r>
    <s v="https://twitter.com/VW/status/644269611500748801"/>
    <s v="Volkswagen"/>
    <s v="@VW"/>
    <x v="780"/>
    <s v="2015-09-16T22:00:19.000Z"/>
    <x v="0"/>
    <x v="83"/>
    <s v="22:00:19"/>
    <x v="1"/>
    <s v="@mattix13"/>
    <s v=""/>
    <n v="0"/>
    <n v="0"/>
    <n v="0"/>
    <n v="0"/>
    <s v="No engagement"/>
    <b v="0"/>
    <b v="0"/>
    <b v="1"/>
    <x v="3"/>
  </r>
  <r>
    <s v="https://twitter.com/VW/status/644269615011360772"/>
    <s v="Volkswagen"/>
    <s v="@VW"/>
    <x v="781"/>
    <s v="2015-09-16T22:00:20.000Z"/>
    <x v="0"/>
    <x v="83"/>
    <s v="22:00:20"/>
    <x v="1"/>
    <s v=""/>
    <s v=""/>
    <n v="0"/>
    <n v="0"/>
    <n v="0"/>
    <n v="0"/>
    <s v="No engagement"/>
    <b v="0"/>
    <b v="0"/>
    <b v="1"/>
    <x v="3"/>
  </r>
  <r>
    <s v="https://twitter.com/VW/status/644269613404958721"/>
    <s v="Volkswagen"/>
    <s v="@VW"/>
    <x v="782"/>
    <s v="2015-09-16T22:00:20.000Z"/>
    <x v="0"/>
    <x v="83"/>
    <s v="22:00:20"/>
    <x v="1"/>
    <s v="@YungGosse"/>
    <s v=""/>
    <n v="0"/>
    <n v="0"/>
    <n v="0"/>
    <n v="0"/>
    <s v="No engagement"/>
    <b v="0"/>
    <b v="0"/>
    <b v="0"/>
    <x v="0"/>
  </r>
  <r>
    <s v="https://twitter.com/VW/status/644269619897761792"/>
    <s v="Volkswagen"/>
    <s v="@VW"/>
    <x v="783"/>
    <s v="2015-09-16T22:00:21.000Z"/>
    <x v="0"/>
    <x v="83"/>
    <s v="22:00:21"/>
    <x v="1"/>
    <s v=""/>
    <s v=""/>
    <n v="0"/>
    <n v="1"/>
    <n v="1"/>
    <n v="2"/>
    <s v="Low engagement"/>
    <b v="0"/>
    <b v="0"/>
    <b v="0"/>
    <x v="0"/>
  </r>
  <r>
    <s v="https://twitter.com/VW/status/644269618345852928"/>
    <s v="Volkswagen"/>
    <s v="@VW"/>
    <x v="784"/>
    <s v="2015-09-16T22:00:21.000Z"/>
    <x v="0"/>
    <x v="83"/>
    <s v="22:00:21"/>
    <x v="1"/>
    <s v="@Antoninetta"/>
    <s v=""/>
    <n v="0"/>
    <n v="0"/>
    <n v="1"/>
    <n v="1"/>
    <s v="Low engagement"/>
    <b v="0"/>
    <b v="0"/>
    <b v="0"/>
    <x v="0"/>
  </r>
  <r>
    <s v="https://twitter.com/VW/status/644269616705896448"/>
    <s v="Volkswagen"/>
    <s v="@VW"/>
    <x v="785"/>
    <s v="2015-09-16T22:00:21.000Z"/>
    <x v="0"/>
    <x v="83"/>
    <s v="22:00:21"/>
    <x v="1"/>
    <s v="@chadthegatorfan"/>
    <s v=""/>
    <n v="0"/>
    <n v="4"/>
    <n v="1"/>
    <n v="5"/>
    <s v="Moderate engagement"/>
    <b v="0"/>
    <b v="0"/>
    <b v="0"/>
    <x v="0"/>
  </r>
  <r>
    <s v="https://twitter.com/VW/status/644269624083611648"/>
    <s v="Volkswagen"/>
    <s v="@VW"/>
    <x v="786"/>
    <s v="2015-09-16T22:00:22.000Z"/>
    <x v="0"/>
    <x v="83"/>
    <s v="22:00:22"/>
    <x v="1"/>
    <s v=""/>
    <s v=""/>
    <n v="0"/>
    <n v="0"/>
    <n v="1"/>
    <n v="1"/>
    <s v="Low engagement"/>
    <b v="0"/>
    <b v="0"/>
    <b v="1"/>
    <x v="3"/>
  </r>
  <r>
    <s v="https://twitter.com/VW/status/644269622460420096"/>
    <s v="Volkswagen"/>
    <s v="@VW"/>
    <x v="787"/>
    <s v="2015-09-16T22:00:22.000Z"/>
    <x v="0"/>
    <x v="83"/>
    <s v="22:00:22"/>
    <x v="1"/>
    <s v=""/>
    <s v=""/>
    <n v="0"/>
    <n v="1"/>
    <n v="0"/>
    <n v="1"/>
    <s v="Low engagement"/>
    <b v="0"/>
    <b v="0"/>
    <b v="0"/>
    <x v="0"/>
  </r>
  <r>
    <s v="https://twitter.com/VW/status/644269628600913921"/>
    <s v="Volkswagen"/>
    <s v="@VW"/>
    <x v="788"/>
    <s v="2015-09-16T22:00:24.000Z"/>
    <x v="0"/>
    <x v="83"/>
    <s v="22:00:24"/>
    <x v="1"/>
    <s v=""/>
    <s v=""/>
    <n v="0"/>
    <n v="0"/>
    <n v="1"/>
    <n v="1"/>
    <s v="Low engagement"/>
    <b v="0"/>
    <b v="0"/>
    <b v="0"/>
    <x v="0"/>
  </r>
  <r>
    <s v="https://twitter.com/VW/status/644552818804723713"/>
    <s v="Volkswagen"/>
    <s v="@VW"/>
    <x v="789"/>
    <s v="2015-09-17T16:45:41.000Z"/>
    <x v="0"/>
    <x v="84"/>
    <s v="16:45:41"/>
    <x v="3"/>
    <s v=""/>
    <s v=""/>
    <n v="92"/>
    <n v="10"/>
    <n v="65"/>
    <n v="167"/>
    <s v="High engagement"/>
    <b v="1"/>
    <b v="0"/>
    <b v="0"/>
    <x v="1"/>
  </r>
  <r>
    <s v="https://twitter.com/VW/status/644587969714720769"/>
    <s v="Volkswagen"/>
    <s v="@VW"/>
    <x v="790"/>
    <s v="2015-09-17T19:05:22.000Z"/>
    <x v="0"/>
    <x v="84"/>
    <s v="19:05:22"/>
    <x v="1"/>
    <s v="@JANNETJE3"/>
    <s v=""/>
    <n v="0"/>
    <n v="0"/>
    <n v="0"/>
    <n v="0"/>
    <s v="No engagement"/>
    <b v="0"/>
    <b v="0"/>
    <b v="0"/>
    <x v="0"/>
  </r>
  <r>
    <s v="https://twitter.com/VW/status/644592240879255552"/>
    <s v="Volkswagen"/>
    <s v="@VW"/>
    <x v="791"/>
    <s v="2015-09-17T19:22:20.000Z"/>
    <x v="0"/>
    <x v="84"/>
    <s v="19:22:20"/>
    <x v="1"/>
    <s v="@covertbydesign"/>
    <s v=""/>
    <n v="0"/>
    <n v="0"/>
    <n v="1"/>
    <n v="1"/>
    <s v="Low engagement"/>
    <b v="0"/>
    <b v="0"/>
    <b v="1"/>
    <x v="3"/>
  </r>
  <r>
    <s v="https://twitter.com/VW/status/644621810596581376"/>
    <s v="Volkswagen"/>
    <s v="@VW"/>
    <x v="792"/>
    <s v="2015-09-17T21:19:50.000Z"/>
    <x v="0"/>
    <x v="84"/>
    <s v="21:19:50"/>
    <x v="1"/>
    <s v=""/>
    <s v=""/>
    <n v="45"/>
    <n v="12"/>
    <n v="40"/>
    <n v="97"/>
    <s v="High engagement"/>
    <b v="0"/>
    <b v="1"/>
    <b v="0"/>
    <x v="2"/>
  </r>
  <r>
    <s v="https://twitter.com/VW/status/644639125321072640"/>
    <s v="Volkswagen"/>
    <s v="@VW"/>
    <x v="793"/>
    <s v="2015-09-17T22:28:38.000Z"/>
    <x v="0"/>
    <x v="84"/>
    <s v="22:28:38"/>
    <x v="1"/>
    <s v="@JcJulianc"/>
    <s v=""/>
    <n v="0"/>
    <n v="0"/>
    <n v="0"/>
    <n v="0"/>
    <s v="No engagement"/>
    <b v="0"/>
    <b v="0"/>
    <b v="0"/>
    <x v="0"/>
  </r>
  <r>
    <s v="https://twitter.com/VW/status/644649814005694464"/>
    <s v="Volkswagen"/>
    <s v="@VW"/>
    <x v="794"/>
    <s v="2015-09-17T23:11:07.000Z"/>
    <x v="0"/>
    <x v="84"/>
    <s v="23:11:07"/>
    <x v="1"/>
    <s v="@MyVWGolf"/>
    <s v=""/>
    <n v="1"/>
    <n v="2"/>
    <n v="1"/>
    <n v="4"/>
    <s v="Low engagement"/>
    <b v="0"/>
    <b v="0"/>
    <b v="0"/>
    <x v="0"/>
  </r>
  <r>
    <s v="https://twitter.com/VW/status/644651908422995969"/>
    <s v="Volkswagen"/>
    <s v="@VW"/>
    <x v="795"/>
    <s v="2015-09-17T23:19:26.000Z"/>
    <x v="0"/>
    <x v="84"/>
    <s v="23:19:26"/>
    <x v="1"/>
    <s v=""/>
    <s v=""/>
    <n v="0"/>
    <n v="0"/>
    <n v="1"/>
    <n v="1"/>
    <s v="Low engagement"/>
    <b v="0"/>
    <b v="0"/>
    <b v="1"/>
    <x v="3"/>
  </r>
  <r>
    <s v="https://twitter.com/VW/status/644651906627821568"/>
    <s v="Volkswagen"/>
    <s v="@VW"/>
    <x v="796"/>
    <s v="2015-09-17T23:19:26.000Z"/>
    <x v="0"/>
    <x v="84"/>
    <s v="23:19:26"/>
    <x v="1"/>
    <s v="@nicolemortiz"/>
    <s v=""/>
    <n v="0"/>
    <n v="1"/>
    <n v="0"/>
    <n v="1"/>
    <s v="Low engagement"/>
    <b v="0"/>
    <b v="0"/>
    <b v="1"/>
    <x v="3"/>
  </r>
  <r>
    <s v="https://twitter.com/VW/status/644651912545996800"/>
    <s v="Volkswagen"/>
    <s v="@VW"/>
    <x v="797"/>
    <s v="2015-09-17T23:19:27.000Z"/>
    <x v="0"/>
    <x v="84"/>
    <s v="23:19:27"/>
    <x v="1"/>
    <s v=""/>
    <s v=""/>
    <n v="0"/>
    <n v="0"/>
    <n v="1"/>
    <n v="1"/>
    <s v="Low engagement"/>
    <b v="0"/>
    <b v="0"/>
    <b v="0"/>
    <x v="0"/>
  </r>
  <r>
    <s v="https://twitter.com/VW/status/644651910943780864"/>
    <s v="Volkswagen"/>
    <s v="@VW"/>
    <x v="798"/>
    <s v="2015-09-17T23:19:27.000Z"/>
    <x v="0"/>
    <x v="84"/>
    <s v="23:19:27"/>
    <x v="1"/>
    <s v="@mrsperlaaaa"/>
    <s v=""/>
    <n v="0"/>
    <n v="0"/>
    <n v="2"/>
    <n v="2"/>
    <s v="Low engagement"/>
    <b v="0"/>
    <b v="0"/>
    <b v="0"/>
    <x v="0"/>
  </r>
  <r>
    <s v="https://twitter.com/VW/status/644651916236984321"/>
    <s v="Volkswagen"/>
    <s v="@VW"/>
    <x v="799"/>
    <s v="2015-09-17T23:19:28.000Z"/>
    <x v="0"/>
    <x v="84"/>
    <s v="23:19:28"/>
    <x v="1"/>
    <s v="@teresapshum"/>
    <s v=""/>
    <n v="0"/>
    <n v="0"/>
    <n v="1"/>
    <n v="1"/>
    <s v="Low engagement"/>
    <b v="0"/>
    <b v="0"/>
    <b v="0"/>
    <x v="0"/>
  </r>
  <r>
    <s v="https://twitter.com/VW/status/644651914274074625"/>
    <s v="Volkswagen"/>
    <s v="@VW"/>
    <x v="800"/>
    <s v="2015-09-17T23:19:28.000Z"/>
    <x v="0"/>
    <x v="84"/>
    <s v="23:19:28"/>
    <x v="1"/>
    <s v="@teresapshum"/>
    <s v=""/>
    <n v="0"/>
    <n v="1"/>
    <n v="0"/>
    <n v="1"/>
    <s v="Low engagement"/>
    <b v="0"/>
    <b v="0"/>
    <b v="0"/>
    <x v="0"/>
  </r>
  <r>
    <s v="https://twitter.com/VW/status/644651918795476992"/>
    <s v="Volkswagen"/>
    <s v="@VW"/>
    <x v="801"/>
    <s v="2015-09-17T23:19:29.000Z"/>
    <x v="0"/>
    <x v="84"/>
    <s v="23:19:29"/>
    <x v="1"/>
    <s v="@valval28"/>
    <s v=""/>
    <n v="0"/>
    <n v="0"/>
    <n v="1"/>
    <n v="1"/>
    <s v="Low engagement"/>
    <b v="0"/>
    <b v="0"/>
    <b v="1"/>
    <x v="3"/>
  </r>
  <r>
    <s v="https://twitter.com/VW/status/644651922633297920"/>
    <s v="Volkswagen"/>
    <s v="@VW"/>
    <x v="802"/>
    <s v="2015-09-17T23:19:30.000Z"/>
    <x v="0"/>
    <x v="84"/>
    <s v="23:19:30"/>
    <x v="1"/>
    <s v=""/>
    <s v=""/>
    <n v="0"/>
    <n v="0"/>
    <n v="1"/>
    <n v="1"/>
    <s v="Low engagement"/>
    <b v="0"/>
    <b v="0"/>
    <b v="0"/>
    <x v="0"/>
  </r>
  <r>
    <s v="https://twitter.com/VW/status/644666676173107200"/>
    <s v="Volkswagen"/>
    <s v="@VW"/>
    <x v="803"/>
    <s v="2015-09-18T00:18:07.000Z"/>
    <x v="1"/>
    <x v="85"/>
    <s v="00:18:07"/>
    <x v="4"/>
    <s v="@solartint3042"/>
    <s v=""/>
    <n v="1"/>
    <n v="1"/>
    <n v="1"/>
    <n v="3"/>
    <s v="Low engagement"/>
    <b v="0"/>
    <b v="0"/>
    <b v="0"/>
    <x v="0"/>
  </r>
  <r>
    <s v="https://twitter.com/VW/status/644670926416510976"/>
    <s v="Volkswagen"/>
    <s v="@VW"/>
    <x v="804"/>
    <s v="2015-09-18T00:35:00.000Z"/>
    <x v="1"/>
    <x v="85"/>
    <s v="00:35:00"/>
    <x v="4"/>
    <s v=""/>
    <s v=""/>
    <n v="0"/>
    <n v="0"/>
    <n v="0"/>
    <n v="0"/>
    <s v="No engagement"/>
    <b v="0"/>
    <b v="0"/>
    <b v="1"/>
    <x v="3"/>
  </r>
  <r>
    <s v="https://twitter.com/VW/status/644675173237391360"/>
    <s v="Volkswagen"/>
    <s v="@VW"/>
    <x v="805"/>
    <s v="2015-09-18T00:51:53.000Z"/>
    <x v="1"/>
    <x v="85"/>
    <s v="00:51:53"/>
    <x v="4"/>
    <s v="@Meatwad650"/>
    <s v=""/>
    <n v="0"/>
    <n v="0"/>
    <n v="0"/>
    <n v="0"/>
    <s v="No engagement"/>
    <b v="0"/>
    <b v="0"/>
    <b v="0"/>
    <x v="0"/>
  </r>
  <r>
    <s v="https://twitter.com/VW/status/644874434247962624"/>
    <s v="Volkswagen"/>
    <s v="@VW"/>
    <x v="806"/>
    <s v="2015-09-18T14:03:40.000Z"/>
    <x v="1"/>
    <x v="85"/>
    <s v="14:03:40"/>
    <x v="3"/>
    <s v="@Petersen_Museum"/>
    <s v=""/>
    <n v="1"/>
    <n v="0"/>
    <n v="1"/>
    <n v="2"/>
    <s v="Low engagement"/>
    <b v="0"/>
    <b v="0"/>
    <b v="0"/>
    <x v="0"/>
  </r>
  <r>
    <s v="https://twitter.com/VW/status/644876552224706563"/>
    <s v="Volkswagen"/>
    <s v="@VW"/>
    <x v="807"/>
    <s v="2015-09-18T14:12:05.000Z"/>
    <x v="1"/>
    <x v="85"/>
    <s v="14:12:05"/>
    <x v="3"/>
    <s v="@steeringnews"/>
    <s v=""/>
    <n v="1"/>
    <n v="0"/>
    <n v="1"/>
    <n v="2"/>
    <s v="Low engagement"/>
    <b v="0"/>
    <b v="0"/>
    <b v="0"/>
    <x v="0"/>
  </r>
  <r>
    <s v="https://twitter.com/VW/status/644880763893092352"/>
    <s v="Volkswagen"/>
    <s v="@VW"/>
    <x v="808"/>
    <s v="2015-09-18T14:28:50.000Z"/>
    <x v="1"/>
    <x v="85"/>
    <s v="14:28:50"/>
    <x v="3"/>
    <s v=""/>
    <s v=""/>
    <n v="3"/>
    <n v="0"/>
    <n v="1"/>
    <n v="4"/>
    <s v="Low engagement"/>
    <b v="0"/>
    <b v="0"/>
    <b v="0"/>
    <x v="0"/>
  </r>
  <r>
    <s v="https://twitter.com/VW/status/644882898135351296"/>
    <s v="Volkswagen"/>
    <s v="@VW"/>
    <x v="809"/>
    <s v="2015-09-18T14:37:18.000Z"/>
    <x v="1"/>
    <x v="85"/>
    <s v="14:37:18"/>
    <x v="3"/>
    <s v="@thebrooksable"/>
    <s v=""/>
    <n v="0"/>
    <n v="0"/>
    <n v="0"/>
    <n v="0"/>
    <s v="No engagement"/>
    <b v="0"/>
    <b v="0"/>
    <b v="1"/>
    <x v="3"/>
  </r>
  <r>
    <s v="https://twitter.com/VW/status/644888195730157569"/>
    <s v="Volkswagen"/>
    <s v="@VW"/>
    <x v="810"/>
    <s v="2015-09-18T14:58:21.000Z"/>
    <x v="1"/>
    <x v="85"/>
    <s v="14:58:21"/>
    <x v="3"/>
    <s v="@curtsmith"/>
    <s v=""/>
    <n v="1"/>
    <n v="1"/>
    <n v="1"/>
    <n v="3"/>
    <s v="Low engagement"/>
    <b v="0"/>
    <b v="0"/>
    <b v="0"/>
    <x v="0"/>
  </r>
  <r>
    <s v="https://twitter.com/VW/status/644893583334490113"/>
    <s v="Volkswagen"/>
    <s v="@VW"/>
    <x v="811"/>
    <s v="2015-09-18T15:19:46.000Z"/>
    <x v="1"/>
    <x v="85"/>
    <s v="15:19:46"/>
    <x v="3"/>
    <s v="@aroymb"/>
    <s v=""/>
    <n v="2"/>
    <n v="0"/>
    <n v="2"/>
    <n v="4"/>
    <s v="Low engagement"/>
    <b v="0"/>
    <b v="0"/>
    <b v="0"/>
    <x v="0"/>
  </r>
  <r>
    <s v="https://twitter.com/VW/status/644901998026821632"/>
    <s v="Volkswagen"/>
    <s v="@VW"/>
    <x v="812"/>
    <s v="2015-09-18T15:53:12.000Z"/>
    <x v="1"/>
    <x v="85"/>
    <s v="15:53:12"/>
    <x v="3"/>
    <s v=""/>
    <s v=""/>
    <n v="2"/>
    <n v="1"/>
    <n v="0"/>
    <n v="3"/>
    <s v="Low engagement"/>
    <b v="0"/>
    <b v="0"/>
    <b v="1"/>
    <x v="3"/>
  </r>
  <r>
    <s v="https://twitter.com/VW/status/644910953813835776"/>
    <s v="Volkswagen"/>
    <s v="@VW"/>
    <x v="813"/>
    <s v="2015-09-18T16:28:47.000Z"/>
    <x v="1"/>
    <x v="85"/>
    <s v="16:28:47"/>
    <x v="3"/>
    <s v="@Sufistarz"/>
    <s v=""/>
    <n v="2"/>
    <n v="3"/>
    <n v="1"/>
    <n v="6"/>
    <s v="Moderate engagement"/>
    <b v="0"/>
    <b v="0"/>
    <b v="1"/>
    <x v="3"/>
  </r>
  <r>
    <s v="https://twitter.com/VW/status/644984475424690176"/>
    <s v="Volkswagen"/>
    <s v="@VW"/>
    <x v="814"/>
    <s v="2015-09-18T21:20:56.000Z"/>
    <x v="1"/>
    <x v="85"/>
    <s v="21:20:56"/>
    <x v="1"/>
    <s v=""/>
    <s v=""/>
    <n v="1"/>
    <n v="1"/>
    <n v="2"/>
    <n v="4"/>
    <s v="Low engagement"/>
    <b v="0"/>
    <b v="0"/>
    <b v="0"/>
    <x v="0"/>
  </r>
  <r>
    <s v="https://twitter.com/VW/status/644984473751187457"/>
    <s v="Volkswagen"/>
    <s v="@VW"/>
    <x v="815"/>
    <s v="2015-09-18T21:20:56.000Z"/>
    <x v="1"/>
    <x v="85"/>
    <s v="21:20:56"/>
    <x v="1"/>
    <s v=""/>
    <s v=""/>
    <n v="0"/>
    <n v="0"/>
    <n v="1"/>
    <n v="1"/>
    <s v="Low engagement"/>
    <b v="0"/>
    <b v="0"/>
    <b v="0"/>
    <x v="0"/>
  </r>
  <r>
    <s v="https://twitter.com/VW/status/644984479094693889"/>
    <s v="Volkswagen"/>
    <s v="@VW"/>
    <x v="816"/>
    <s v="2015-09-18T21:20:57.000Z"/>
    <x v="1"/>
    <x v="85"/>
    <s v="21:20:57"/>
    <x v="1"/>
    <s v="@wahmbasu"/>
    <s v=""/>
    <n v="0"/>
    <n v="2"/>
    <n v="2"/>
    <n v="4"/>
    <s v="Low engagement"/>
    <b v="0"/>
    <b v="0"/>
    <b v="0"/>
    <x v="0"/>
  </r>
  <r>
    <s v="https://twitter.com/VW/status/644984476959940609"/>
    <s v="Volkswagen"/>
    <s v="@VW"/>
    <x v="817"/>
    <s v="2015-09-18T21:20:57.000Z"/>
    <x v="1"/>
    <x v="85"/>
    <s v="21:20:57"/>
    <x v="1"/>
    <s v="@MikeCatalana"/>
    <s v=""/>
    <n v="0"/>
    <n v="1"/>
    <n v="0"/>
    <n v="1"/>
    <s v="Low engagement"/>
    <b v="0"/>
    <b v="0"/>
    <b v="0"/>
    <x v="0"/>
  </r>
  <r>
    <s v="https://twitter.com/VW/status/644984484362715140"/>
    <s v="Volkswagen"/>
    <s v="@VW"/>
    <x v="818"/>
    <s v="2015-09-18T21:20:58.000Z"/>
    <x v="1"/>
    <x v="85"/>
    <s v="21:20:58"/>
    <x v="1"/>
    <s v=""/>
    <s v=""/>
    <n v="0"/>
    <n v="2"/>
    <n v="1"/>
    <n v="3"/>
    <s v="Low engagement"/>
    <b v="0"/>
    <b v="0"/>
    <b v="1"/>
    <x v="3"/>
  </r>
  <r>
    <s v="https://twitter.com/VW/status/644984482693386240"/>
    <s v="Volkswagen"/>
    <s v="@VW"/>
    <x v="819"/>
    <s v="2015-09-18T21:20:58.000Z"/>
    <x v="1"/>
    <x v="85"/>
    <s v="21:20:58"/>
    <x v="1"/>
    <s v=""/>
    <s v=""/>
    <n v="0"/>
    <n v="1"/>
    <n v="2"/>
    <n v="3"/>
    <s v="Low engagement"/>
    <b v="0"/>
    <b v="0"/>
    <b v="0"/>
    <x v="0"/>
  </r>
  <r>
    <s v="https://twitter.com/VW/status/644984480759812097"/>
    <s v="Volkswagen"/>
    <s v="@VW"/>
    <x v="820"/>
    <s v="2015-09-18T21:20:58.000Z"/>
    <x v="1"/>
    <x v="85"/>
    <s v="21:20:58"/>
    <x v="1"/>
    <s v="@LeModulicious"/>
    <s v=""/>
    <n v="0"/>
    <n v="1"/>
    <n v="1"/>
    <n v="2"/>
    <s v="Low engagement"/>
    <b v="0"/>
    <b v="0"/>
    <b v="0"/>
    <x v="0"/>
  </r>
  <r>
    <s v="https://twitter.com/VW/status/644985362817769472"/>
    <s v="Volkswagen"/>
    <s v="@VW"/>
    <x v="821"/>
    <s v="2015-09-18T21:24:28.000Z"/>
    <x v="1"/>
    <x v="85"/>
    <s v="21:24:28"/>
    <x v="1"/>
    <s v="@julkinen"/>
    <s v=""/>
    <n v="3"/>
    <n v="1"/>
    <n v="1"/>
    <n v="5"/>
    <s v="Moderate engagement"/>
    <b v="0"/>
    <b v="0"/>
    <b v="0"/>
    <x v="0"/>
  </r>
  <r>
    <s v="https://twitter.com/VW/status/645986742332329984"/>
    <s v="Volkswagen"/>
    <s v="@VW"/>
    <x v="822"/>
    <s v="2015-09-21T15:43:35.000Z"/>
    <x v="1"/>
    <x v="86"/>
    <s v="15:43:35"/>
    <x v="3"/>
    <s v=""/>
    <s v=""/>
    <n v="0"/>
    <n v="0"/>
    <n v="1"/>
    <n v="1"/>
    <s v="Low engagement"/>
    <b v="0"/>
    <b v="0"/>
    <b v="1"/>
    <x v="3"/>
  </r>
  <r>
    <s v="https://twitter.com/VW/status/645991111073230848"/>
    <s v="Volkswagen"/>
    <s v="@VW"/>
    <x v="823"/>
    <s v="2015-09-21T16:00:57.000Z"/>
    <x v="1"/>
    <x v="86"/>
    <s v="16:00:57"/>
    <x v="3"/>
    <s v="@matadormi5"/>
    <s v=""/>
    <n v="0"/>
    <n v="2"/>
    <n v="0"/>
    <n v="2"/>
    <s v="Low engagement"/>
    <b v="0"/>
    <b v="0"/>
    <b v="0"/>
    <x v="0"/>
  </r>
  <r>
    <s v="https://twitter.com/VW/status/646011808407404545"/>
    <s v="Volkswagen"/>
    <s v="@VW"/>
    <x v="824"/>
    <s v="2015-09-21T17:23:12.000Z"/>
    <x v="1"/>
    <x v="86"/>
    <s v="17:23:12"/>
    <x v="3"/>
    <s v=""/>
    <s v=""/>
    <n v="0"/>
    <n v="1"/>
    <n v="0"/>
    <n v="1"/>
    <s v="Low engagement"/>
    <b v="0"/>
    <b v="0"/>
    <b v="1"/>
    <x v="3"/>
  </r>
  <r>
    <s v="https://twitter.com/VW/status/646051178908770304"/>
    <s v="Volkswagen"/>
    <s v="@VW"/>
    <x v="825"/>
    <s v="2015-09-21T19:59:38.000Z"/>
    <x v="1"/>
    <x v="86"/>
    <s v="19:59:38"/>
    <x v="1"/>
    <s v="@sweetjojalabama"/>
    <s v=""/>
    <n v="0"/>
    <n v="0"/>
    <n v="0"/>
    <n v="0"/>
    <s v="No engagement"/>
    <b v="0"/>
    <b v="0"/>
    <b v="0"/>
    <x v="0"/>
  </r>
  <r>
    <s v="https://twitter.com/VW/status/646053499105468416"/>
    <s v="Volkswagen"/>
    <s v="@VW"/>
    <x v="826"/>
    <s v="2015-09-21T20:08:51.000Z"/>
    <x v="1"/>
    <x v="86"/>
    <s v="20:08:51"/>
    <x v="1"/>
    <s v=""/>
    <s v=""/>
    <n v="0"/>
    <n v="1"/>
    <n v="0"/>
    <n v="1"/>
    <s v="Low engagement"/>
    <b v="0"/>
    <b v="0"/>
    <b v="0"/>
    <x v="0"/>
  </r>
  <r>
    <s v="https://twitter.com/VW/status/646053496995737600"/>
    <s v="Volkswagen"/>
    <s v="@VW"/>
    <x v="827"/>
    <s v="2015-09-21T20:08:51.000Z"/>
    <x v="1"/>
    <x v="86"/>
    <s v="20:08:51"/>
    <x v="1"/>
    <s v=""/>
    <s v=""/>
    <n v="0"/>
    <n v="1"/>
    <n v="0"/>
    <n v="1"/>
    <s v="Low engagement"/>
    <b v="0"/>
    <b v="0"/>
    <b v="0"/>
    <x v="0"/>
  </r>
  <r>
    <s v="https://twitter.com/VW/status/646058859967086592"/>
    <s v="Volkswagen"/>
    <s v="@VW"/>
    <x v="828"/>
    <s v="2015-09-21T20:30:10.000Z"/>
    <x v="1"/>
    <x v="86"/>
    <s v="20:30:10"/>
    <x v="1"/>
    <s v="@TahlyaStreet"/>
    <s v=""/>
    <n v="0"/>
    <n v="0"/>
    <n v="1"/>
    <n v="1"/>
    <s v="Low engagement"/>
    <b v="0"/>
    <b v="0"/>
    <b v="1"/>
    <x v="3"/>
  </r>
  <r>
    <s v="https://twitter.com/VW/status/646076620206243840"/>
    <s v="Volkswagen"/>
    <s v="@VW"/>
    <x v="829"/>
    <s v="2015-09-21T21:40:44.000Z"/>
    <x v="1"/>
    <x v="86"/>
    <s v="21:40:44"/>
    <x v="1"/>
    <s v="@mrjonesray"/>
    <s v=""/>
    <n v="0"/>
    <n v="0"/>
    <n v="1"/>
    <n v="1"/>
    <s v="Low engagement"/>
    <b v="0"/>
    <b v="0"/>
    <b v="0"/>
    <x v="0"/>
  </r>
  <r>
    <s v="https://twitter.com/VW/status/646083738246381568"/>
    <s v="Volkswagen"/>
    <s v="@VW"/>
    <x v="830"/>
    <s v="2015-09-21T22:09:01.000Z"/>
    <x v="1"/>
    <x v="86"/>
    <s v="22:09:01"/>
    <x v="1"/>
    <s v="@mrjonesray"/>
    <s v=""/>
    <n v="0"/>
    <n v="0"/>
    <n v="1"/>
    <n v="1"/>
    <s v="Low engagement"/>
    <b v="0"/>
    <b v="0"/>
    <b v="1"/>
    <x v="3"/>
  </r>
  <r>
    <s v="https://twitter.com/VW/status/646083748132335616"/>
    <s v="Volkswagen"/>
    <s v="@VW"/>
    <x v="831"/>
    <s v="2015-09-21T22:09:03.000Z"/>
    <x v="1"/>
    <x v="86"/>
    <s v="22:09:03"/>
    <x v="1"/>
    <s v=""/>
    <s v=""/>
    <n v="1"/>
    <n v="3"/>
    <n v="1"/>
    <n v="5"/>
    <s v="Moderate engagement"/>
    <b v="0"/>
    <b v="0"/>
    <b v="0"/>
    <x v="0"/>
  </r>
  <r>
    <s v="https://twitter.com/VW/status/646083751332593664"/>
    <s v="Volkswagen"/>
    <s v="@VW"/>
    <x v="832"/>
    <s v="2015-09-21T22:09:04.000Z"/>
    <x v="1"/>
    <x v="86"/>
    <s v="22:09:04"/>
    <x v="1"/>
    <s v="@marie_samir"/>
    <s v=""/>
    <n v="1"/>
    <n v="8"/>
    <n v="2"/>
    <n v="11"/>
    <s v="High engagement"/>
    <b v="0"/>
    <b v="0"/>
    <b v="0"/>
    <x v="0"/>
  </r>
  <r>
    <s v="https://twitter.com/VW/status/646328965875896320"/>
    <s v="Volkswagen"/>
    <s v="@VW"/>
    <x v="833"/>
    <s v="2015-09-22T14:23:28.000Z"/>
    <x v="1"/>
    <x v="87"/>
    <s v="14:23:28"/>
    <x v="3"/>
    <s v=""/>
    <s v=""/>
    <n v="0"/>
    <n v="0"/>
    <n v="0"/>
    <n v="0"/>
    <s v="No engagement"/>
    <b v="0"/>
    <b v="0"/>
    <b v="1"/>
    <x v="3"/>
  </r>
  <r>
    <s v="https://twitter.com/VW/status/646329020590616577"/>
    <s v="Volkswagen"/>
    <s v="@VW"/>
    <x v="834"/>
    <s v="2015-09-22T14:23:41.000Z"/>
    <x v="1"/>
    <x v="87"/>
    <s v="14:23:41"/>
    <x v="3"/>
    <s v=""/>
    <s v=""/>
    <n v="0"/>
    <n v="0"/>
    <n v="2"/>
    <n v="2"/>
    <s v="Low engagement"/>
    <b v="0"/>
    <b v="0"/>
    <b v="0"/>
    <x v="0"/>
  </r>
  <r>
    <s v="https://twitter.com/VW/status/646387742792904704"/>
    <s v="Volkswagen"/>
    <s v="@VW"/>
    <x v="835"/>
    <s v="2015-09-22T18:17:01.000Z"/>
    <x v="1"/>
    <x v="87"/>
    <s v="18:17:01"/>
    <x v="1"/>
    <s v="@antoncisne"/>
    <s v=""/>
    <n v="0"/>
    <n v="1"/>
    <n v="0"/>
    <n v="1"/>
    <s v="Low engagement"/>
    <b v="0"/>
    <b v="0"/>
    <b v="0"/>
    <x v="0"/>
  </r>
  <r>
    <s v="https://twitter.com/VW/status/646387745267535873"/>
    <s v="Volkswagen"/>
    <s v="@VW"/>
    <x v="836"/>
    <s v="2015-09-22T18:17:02.000Z"/>
    <x v="1"/>
    <x v="87"/>
    <s v="18:17:02"/>
    <x v="1"/>
    <s v="@Bostoneric"/>
    <s v=""/>
    <n v="0"/>
    <n v="0"/>
    <n v="0"/>
    <n v="0"/>
    <s v="No engagement"/>
    <b v="0"/>
    <b v="0"/>
    <b v="1"/>
    <x v="3"/>
  </r>
  <r>
    <s v="https://twitter.com/VW/status/646387758437691399"/>
    <s v="Volkswagen"/>
    <s v="@VW"/>
    <x v="837"/>
    <s v="2015-09-22T18:17:05.000Z"/>
    <x v="1"/>
    <x v="87"/>
    <s v="18:17:05"/>
    <x v="1"/>
    <s v="@schaeferthomasg"/>
    <s v=""/>
    <n v="0"/>
    <n v="2"/>
    <n v="0"/>
    <n v="2"/>
    <s v="Low engagement"/>
    <b v="0"/>
    <b v="0"/>
    <b v="0"/>
    <x v="0"/>
  </r>
  <r>
    <s v="https://twitter.com/VW/status/646387763273728000"/>
    <s v="Volkswagen"/>
    <s v="@VW"/>
    <x v="838"/>
    <s v="2015-09-22T18:17:06.000Z"/>
    <x v="1"/>
    <x v="87"/>
    <s v="18:17:06"/>
    <x v="1"/>
    <s v="@bridgesuite"/>
    <s v=""/>
    <n v="0"/>
    <n v="1"/>
    <n v="1"/>
    <n v="2"/>
    <s v="Low engagement"/>
    <b v="0"/>
    <b v="0"/>
    <b v="1"/>
    <x v="3"/>
  </r>
  <r>
    <s v="https://twitter.com/VW/status/646387760555761664"/>
    <s v="Volkswagen"/>
    <s v="@VW"/>
    <x v="839"/>
    <s v="2015-09-22T18:17:06.000Z"/>
    <x v="1"/>
    <x v="87"/>
    <s v="18:17:06"/>
    <x v="1"/>
    <s v="@schaeferthomasg"/>
    <s v=""/>
    <n v="0"/>
    <n v="0"/>
    <n v="0"/>
    <n v="0"/>
    <s v="No engagement"/>
    <b v="0"/>
    <b v="0"/>
    <b v="1"/>
    <x v="3"/>
  </r>
  <r>
    <s v="https://twitter.com/VW/status/646396708897878016"/>
    <s v="Volkswagen"/>
    <s v="@VW"/>
    <x v="840"/>
    <s v="2015-09-22T18:52:39.000Z"/>
    <x v="1"/>
    <x v="87"/>
    <s v="18:52:39"/>
    <x v="1"/>
    <s v=""/>
    <s v=""/>
    <n v="0"/>
    <n v="0"/>
    <n v="0"/>
    <n v="0"/>
    <s v="No engagement"/>
    <b v="0"/>
    <b v="0"/>
    <b v="1"/>
    <x v="3"/>
  </r>
  <r>
    <s v="https://twitter.com/VW/status/646398397788913664"/>
    <s v="Volkswagen"/>
    <s v="@VW"/>
    <x v="841"/>
    <s v="2015-09-22T18:59:22.000Z"/>
    <x v="1"/>
    <x v="87"/>
    <s v="18:59:22"/>
    <x v="1"/>
    <s v="@JimLahren"/>
    <s v=""/>
    <n v="0"/>
    <n v="0"/>
    <n v="0"/>
    <n v="0"/>
    <s v="No engagement"/>
    <b v="0"/>
    <b v="0"/>
    <b v="0"/>
    <x v="0"/>
  </r>
  <r>
    <s v="https://twitter.com/VW/status/646399219104878592"/>
    <s v="Volkswagen"/>
    <s v="@VW"/>
    <x v="842"/>
    <s v="2015-09-22T19:02:38.000Z"/>
    <x v="1"/>
    <x v="87"/>
    <s v="19:02:38"/>
    <x v="1"/>
    <s v="@JimLahren"/>
    <s v=""/>
    <n v="0"/>
    <n v="2"/>
    <n v="2"/>
    <n v="4"/>
    <s v="Low engagement"/>
    <b v="0"/>
    <b v="0"/>
    <b v="0"/>
    <x v="0"/>
  </r>
  <r>
    <s v="https://twitter.com/VW/status/646400025514364928"/>
    <s v="Volkswagen"/>
    <s v="@VW"/>
    <x v="843"/>
    <s v="2015-09-22T19:05:50.000Z"/>
    <x v="1"/>
    <x v="87"/>
    <s v="19:05:50"/>
    <x v="1"/>
    <s v="@anon_bhartiya"/>
    <s v=""/>
    <n v="0"/>
    <n v="2"/>
    <n v="0"/>
    <n v="2"/>
    <s v="Low engagement"/>
    <b v="0"/>
    <b v="0"/>
    <b v="0"/>
    <x v="0"/>
  </r>
  <r>
    <s v="https://twitter.com/VW/status/646400933123887104"/>
    <s v="Volkswagen"/>
    <s v="@VW"/>
    <x v="844"/>
    <s v="2015-09-22T19:09:26.000Z"/>
    <x v="1"/>
    <x v="87"/>
    <s v="19:09:26"/>
    <x v="1"/>
    <s v="@anon_bhartiya"/>
    <s v=""/>
    <n v="1"/>
    <n v="1"/>
    <n v="0"/>
    <n v="2"/>
    <s v="Low engagement"/>
    <b v="0"/>
    <b v="0"/>
    <b v="0"/>
    <x v="0"/>
  </r>
  <r>
    <s v="https://twitter.com/VW/status/646519838068748290"/>
    <s v="Volkswagen"/>
    <s v="@VW"/>
    <x v="845"/>
    <s v="2015-09-23T03:01:55.000Z"/>
    <x v="1"/>
    <x v="88"/>
    <s v="03:01:55"/>
    <x v="4"/>
    <s v="@TweetSmarter"/>
    <s v=""/>
    <n v="0"/>
    <n v="1"/>
    <n v="0"/>
    <n v="1"/>
    <s v="Low engagement"/>
    <b v="0"/>
    <b v="0"/>
    <b v="0"/>
    <x v="0"/>
  </r>
  <r>
    <s v="https://twitter.com/VW/status/646519835212431361"/>
    <s v="Volkswagen"/>
    <s v="@VW"/>
    <x v="846"/>
    <s v="2015-09-23T03:01:55.000Z"/>
    <x v="1"/>
    <x v="88"/>
    <s v="03:01:55"/>
    <x v="4"/>
    <s v="@VedranTheKing"/>
    <s v=""/>
    <n v="0"/>
    <n v="0"/>
    <n v="0"/>
    <n v="0"/>
    <s v="No engagement"/>
    <b v="0"/>
    <b v="0"/>
    <b v="0"/>
    <x v="0"/>
  </r>
  <r>
    <s v="https://twitter.com/VW/status/646519841554206720"/>
    <s v="Volkswagen"/>
    <s v="@VW"/>
    <x v="847"/>
    <s v="2015-09-23T03:01:56.000Z"/>
    <x v="1"/>
    <x v="88"/>
    <s v="03:01:56"/>
    <x v="4"/>
    <s v="@alexiscbcs"/>
    <s v=""/>
    <n v="0"/>
    <n v="0"/>
    <n v="0"/>
    <n v="0"/>
    <s v="No engagement"/>
    <b v="0"/>
    <b v="0"/>
    <b v="0"/>
    <x v="0"/>
  </r>
  <r>
    <s v="https://twitter.com/VW/status/646519850903310340"/>
    <s v="Volkswagen"/>
    <s v="@VW"/>
    <x v="848"/>
    <s v="2015-09-23T03:01:58.000Z"/>
    <x v="1"/>
    <x v="88"/>
    <s v="03:01:58"/>
    <x v="4"/>
    <s v="@sWEeTDreams3846"/>
    <s v=""/>
    <n v="0"/>
    <n v="1"/>
    <n v="0"/>
    <n v="1"/>
    <s v="Low engagement"/>
    <b v="0"/>
    <b v="0"/>
    <b v="0"/>
    <x v="0"/>
  </r>
  <r>
    <s v="https://twitter.com/VW/status/646519852782346240"/>
    <s v="Volkswagen"/>
    <s v="@VW"/>
    <x v="849"/>
    <s v="2015-09-23T03:01:59.000Z"/>
    <x v="1"/>
    <x v="88"/>
    <s v="03:01:59"/>
    <x v="4"/>
    <s v=""/>
    <s v=""/>
    <n v="0"/>
    <n v="0"/>
    <n v="1"/>
    <n v="1"/>
    <s v="Low engagement"/>
    <b v="0"/>
    <b v="0"/>
    <b v="1"/>
    <x v="3"/>
  </r>
  <r>
    <s v="https://twitter.com/VW/status/646519862643179525"/>
    <s v="Volkswagen"/>
    <s v="@VW"/>
    <x v="850"/>
    <s v="2015-09-23T03:02:01.000Z"/>
    <x v="1"/>
    <x v="88"/>
    <s v="03:02:01"/>
    <x v="4"/>
    <s v="@dmk_deb"/>
    <s v=""/>
    <n v="0"/>
    <n v="0"/>
    <n v="1"/>
    <n v="1"/>
    <s v="Low engagement"/>
    <b v="0"/>
    <b v="0"/>
    <b v="0"/>
    <x v="0"/>
  </r>
  <r>
    <s v="https://twitter.com/VW/status/646519865537265664"/>
    <s v="Volkswagen"/>
    <s v="@VW"/>
    <x v="851"/>
    <s v="2015-09-23T03:02:02.000Z"/>
    <x v="1"/>
    <x v="88"/>
    <s v="03:02:02"/>
    <x v="4"/>
    <s v="@schaeferthomasg"/>
    <s v=""/>
    <n v="1"/>
    <n v="2"/>
    <n v="4"/>
    <n v="7"/>
    <s v="Moderate engagement"/>
    <b v="0"/>
    <b v="0"/>
    <b v="1"/>
    <x v="3"/>
  </r>
  <r>
    <s v="https://twitter.com/VW/status/646687488849776641"/>
    <s v="Volkswagen"/>
    <s v="@VW"/>
    <x v="852"/>
    <s v="2015-09-23T14:08:06.000Z"/>
    <x v="1"/>
    <x v="88"/>
    <s v="14:08:06"/>
    <x v="3"/>
    <s v=""/>
    <s v=""/>
    <n v="0"/>
    <n v="0"/>
    <n v="0"/>
    <n v="0"/>
    <s v="No engagement"/>
    <b v="0"/>
    <b v="0"/>
    <b v="0"/>
    <x v="0"/>
  </r>
  <r>
    <s v="https://twitter.com/VW/status/646687491336998912"/>
    <s v="Volkswagen"/>
    <s v="@VW"/>
    <x v="853"/>
    <s v="2015-09-23T14:08:07.000Z"/>
    <x v="1"/>
    <x v="88"/>
    <s v="14:08:07"/>
    <x v="3"/>
    <s v="@PurelyNicole"/>
    <s v=""/>
    <n v="0"/>
    <n v="2"/>
    <n v="0"/>
    <n v="2"/>
    <s v="Low engagement"/>
    <b v="0"/>
    <b v="0"/>
    <b v="1"/>
    <x v="3"/>
  </r>
  <r>
    <s v="https://twitter.com/VW/status/646774439145672704"/>
    <s v="Volkswagen"/>
    <s v="@VW"/>
    <x v="854"/>
    <s v="2015-09-23T19:53:37.000Z"/>
    <x v="1"/>
    <x v="88"/>
    <s v="19:53:37"/>
    <x v="1"/>
    <s v="@BillyHoOfficial"/>
    <s v=""/>
    <n v="0"/>
    <n v="0"/>
    <n v="1"/>
    <n v="1"/>
    <s v="Low engagement"/>
    <b v="0"/>
    <b v="0"/>
    <b v="0"/>
    <x v="0"/>
  </r>
  <r>
    <s v="https://twitter.com/VW/status/646774443746824196"/>
    <s v="Volkswagen"/>
    <s v="@VW"/>
    <x v="855"/>
    <s v="2015-09-23T19:53:38.000Z"/>
    <x v="1"/>
    <x v="88"/>
    <s v="19:53:38"/>
    <x v="1"/>
    <s v=""/>
    <s v=""/>
    <n v="0"/>
    <n v="1"/>
    <n v="1"/>
    <n v="2"/>
    <s v="Low engagement"/>
    <b v="0"/>
    <b v="0"/>
    <b v="1"/>
    <x v="3"/>
  </r>
  <r>
    <s v="https://twitter.com/VW/status/646774442035556357"/>
    <s v="Volkswagen"/>
    <s v="@VW"/>
    <x v="856"/>
    <s v="2015-09-23T19:53:38.000Z"/>
    <x v="1"/>
    <x v="88"/>
    <s v="19:53:38"/>
    <x v="1"/>
    <s v=""/>
    <s v=""/>
    <n v="0"/>
    <n v="0"/>
    <n v="1"/>
    <n v="1"/>
    <s v="Low engagement"/>
    <b v="0"/>
    <b v="0"/>
    <b v="1"/>
    <x v="3"/>
  </r>
  <r>
    <s v="https://twitter.com/VW/status/646789120585404416"/>
    <s v="Volkswagen"/>
    <s v="@VW"/>
    <x v="857"/>
    <s v="2015-09-23T20:51:57.000Z"/>
    <x v="1"/>
    <x v="88"/>
    <s v="20:51:57"/>
    <x v="1"/>
    <s v="@TheFrthAngel"/>
    <s v=""/>
    <n v="0"/>
    <n v="1"/>
    <n v="1"/>
    <n v="2"/>
    <s v="Low engagement"/>
    <b v="0"/>
    <b v="0"/>
    <b v="1"/>
    <x v="3"/>
  </r>
  <r>
    <s v="https://twitter.com/VW/status/646789124939120640"/>
    <s v="Volkswagen"/>
    <s v="@VW"/>
    <x v="858"/>
    <s v="2015-09-23T20:51:58.000Z"/>
    <x v="1"/>
    <x v="88"/>
    <s v="20:51:58"/>
    <x v="1"/>
    <s v=""/>
    <s v=""/>
    <n v="2"/>
    <n v="0"/>
    <n v="1"/>
    <n v="3"/>
    <s v="Low engagement"/>
    <b v="0"/>
    <b v="0"/>
    <b v="1"/>
    <x v="3"/>
  </r>
  <r>
    <s v="https://twitter.com/VW/status/646789122351206400"/>
    <s v="Volkswagen"/>
    <s v="@VW"/>
    <x v="859"/>
    <s v="2015-09-23T20:51:58.000Z"/>
    <x v="1"/>
    <x v="88"/>
    <s v="20:51:58"/>
    <x v="1"/>
    <s v="@OmItOut"/>
    <s v=""/>
    <n v="0"/>
    <n v="2"/>
    <n v="1"/>
    <n v="3"/>
    <s v="Low engagement"/>
    <b v="0"/>
    <b v="0"/>
    <b v="1"/>
    <x v="3"/>
  </r>
  <r>
    <s v="https://twitter.com/VW/status/646789127300476929"/>
    <s v="Volkswagen"/>
    <s v="@VW"/>
    <x v="860"/>
    <s v="2015-09-23T20:51:59.000Z"/>
    <x v="1"/>
    <x v="88"/>
    <s v="20:51:59"/>
    <x v="1"/>
    <s v="@keons_dad"/>
    <s v=""/>
    <n v="2"/>
    <n v="8"/>
    <n v="1"/>
    <n v="11"/>
    <s v="High engagement"/>
    <b v="0"/>
    <b v="0"/>
    <b v="0"/>
    <x v="0"/>
  </r>
  <r>
    <s v="https://twitter.com/VW/status/647186834657685505"/>
    <s v="Volkswagen"/>
    <s v="@VW"/>
    <x v="861"/>
    <s v="2015-09-24T23:12:20.000Z"/>
    <x v="1"/>
    <x v="89"/>
    <s v="23:12:20"/>
    <x v="1"/>
    <s v=""/>
    <s v=""/>
    <n v="0"/>
    <n v="0"/>
    <n v="0"/>
    <n v="0"/>
    <s v="No engagement"/>
    <b v="0"/>
    <b v="0"/>
    <b v="1"/>
    <x v="3"/>
  </r>
  <r>
    <s v="https://twitter.com/VW/status/647188480737476608"/>
    <s v="Volkswagen"/>
    <s v="@VW"/>
    <x v="862"/>
    <s v="2015-09-24T23:18:52.000Z"/>
    <x v="1"/>
    <x v="89"/>
    <s v="23:18:52"/>
    <x v="1"/>
    <s v="@sallyano22"/>
    <s v=""/>
    <n v="0"/>
    <n v="1"/>
    <n v="0"/>
    <n v="1"/>
    <s v="Low engagement"/>
    <b v="0"/>
    <b v="0"/>
    <b v="0"/>
    <x v="0"/>
  </r>
  <r>
    <s v="https://twitter.com/VW/status/647188484873039872"/>
    <s v="Volkswagen"/>
    <s v="@VW"/>
    <x v="863"/>
    <s v="2015-09-24T23:18:53.000Z"/>
    <x v="1"/>
    <x v="89"/>
    <s v="23:18:53"/>
    <x v="1"/>
    <s v="@TweetSmarter"/>
    <s v=""/>
    <n v="0"/>
    <n v="1"/>
    <n v="0"/>
    <n v="1"/>
    <s v="Low engagement"/>
    <b v="0"/>
    <b v="0"/>
    <b v="1"/>
    <x v="3"/>
  </r>
  <r>
    <s v="https://twitter.com/VW/status/647188483094654976"/>
    <s v="Volkswagen"/>
    <s v="@VW"/>
    <x v="864"/>
    <s v="2015-09-24T23:18:53.000Z"/>
    <x v="1"/>
    <x v="89"/>
    <s v="23:18:53"/>
    <x v="1"/>
    <s v="@philipccoggin"/>
    <s v=""/>
    <n v="1"/>
    <n v="0"/>
    <n v="0"/>
    <n v="1"/>
    <s v="Low engagement"/>
    <b v="0"/>
    <b v="0"/>
    <b v="0"/>
    <x v="0"/>
  </r>
  <r>
    <s v="https://twitter.com/VW/status/647188490313056256"/>
    <s v="Volkswagen"/>
    <s v="@VW"/>
    <x v="865"/>
    <s v="2015-09-24T23:18:54.000Z"/>
    <x v="1"/>
    <x v="89"/>
    <s v="23:18:54"/>
    <x v="1"/>
    <s v="@cristina3rangel"/>
    <s v=""/>
    <n v="1"/>
    <n v="0"/>
    <n v="1"/>
    <n v="2"/>
    <s v="Low engagement"/>
    <b v="0"/>
    <b v="0"/>
    <b v="0"/>
    <x v="0"/>
  </r>
  <r>
    <s v="https://twitter.com/VW/status/647188486521401344"/>
    <s v="Volkswagen"/>
    <s v="@VW"/>
    <x v="866"/>
    <s v="2015-09-24T23:18:54.000Z"/>
    <x v="1"/>
    <x v="89"/>
    <s v="23:18:54"/>
    <x v="1"/>
    <s v="@tjben1323"/>
    <s v=""/>
    <n v="1"/>
    <n v="0"/>
    <n v="0"/>
    <n v="1"/>
    <s v="Low engagement"/>
    <b v="0"/>
    <b v="0"/>
    <b v="1"/>
    <x v="3"/>
  </r>
  <r>
    <s v="https://twitter.com/VW/status/647188494431862784"/>
    <s v="Volkswagen"/>
    <s v="@VW"/>
    <x v="867"/>
    <s v="2015-09-24T23:18:55.000Z"/>
    <x v="1"/>
    <x v="89"/>
    <s v="23:18:55"/>
    <x v="1"/>
    <s v="@agung_karyanto"/>
    <s v=""/>
    <n v="1"/>
    <n v="0"/>
    <n v="0"/>
    <n v="1"/>
    <s v="Low engagement"/>
    <b v="0"/>
    <b v="0"/>
    <b v="0"/>
    <x v="0"/>
  </r>
  <r>
    <s v="https://twitter.com/VW/status/647188493177786368"/>
    <s v="Volkswagen"/>
    <s v="@VW"/>
    <x v="868"/>
    <s v="2015-09-24T23:18:55.000Z"/>
    <x v="1"/>
    <x v="89"/>
    <s v="23:18:55"/>
    <x v="1"/>
    <s v="@cristina3rangel"/>
    <s v=""/>
    <n v="0"/>
    <n v="0"/>
    <n v="1"/>
    <n v="1"/>
    <s v="Low engagement"/>
    <b v="0"/>
    <b v="0"/>
    <b v="0"/>
    <x v="0"/>
  </r>
  <r>
    <s v="https://twitter.com/VW/status/647188496067657729"/>
    <s v="Volkswagen"/>
    <s v="@VW"/>
    <x v="869"/>
    <s v="2015-09-24T23:18:56.000Z"/>
    <x v="1"/>
    <x v="89"/>
    <s v="23:18:56"/>
    <x v="1"/>
    <s v="@emelia_annette"/>
    <s v=""/>
    <n v="0"/>
    <n v="0"/>
    <n v="1"/>
    <n v="1"/>
    <s v="Low engagement"/>
    <b v="0"/>
    <b v="0"/>
    <b v="1"/>
    <x v="3"/>
  </r>
  <r>
    <s v="https://twitter.com/VW/status/647190698223992832"/>
    <s v="Volkswagen"/>
    <s v="@VW"/>
    <x v="870"/>
    <s v="2015-09-24T23:27:41.000Z"/>
    <x v="1"/>
    <x v="89"/>
    <s v="23:27:41"/>
    <x v="1"/>
    <s v=""/>
    <s v=""/>
    <n v="641"/>
    <n v="304"/>
    <n v="486"/>
    <n v="1431"/>
    <s v="High engagement"/>
    <b v="1"/>
    <b v="0"/>
    <b v="0"/>
    <x v="1"/>
  </r>
  <r>
    <s v="https://twitter.com/VW/status/647192084730900480"/>
    <s v="Volkswagen"/>
    <s v="@VW"/>
    <x v="871"/>
    <s v="2015-09-24T23:33:11.000Z"/>
    <x v="1"/>
    <x v="89"/>
    <s v="23:33:11"/>
    <x v="1"/>
    <s v="@svintussen"/>
    <s v=""/>
    <n v="0"/>
    <n v="0"/>
    <n v="0"/>
    <n v="0"/>
    <s v="No engagement"/>
    <b v="0"/>
    <b v="0"/>
    <b v="0"/>
    <x v="0"/>
  </r>
  <r>
    <s v="https://twitter.com/VW/status/647192082935709696"/>
    <s v="Volkswagen"/>
    <s v="@VW"/>
    <x v="872"/>
    <s v="2015-09-24T23:33:11.000Z"/>
    <x v="1"/>
    <x v="89"/>
    <s v="23:33:11"/>
    <x v="1"/>
    <s v="@PurelyNicole"/>
    <s v=""/>
    <n v="1"/>
    <n v="1"/>
    <n v="1"/>
    <n v="3"/>
    <s v="Low engagement"/>
    <b v="0"/>
    <b v="0"/>
    <b v="0"/>
    <x v="0"/>
  </r>
  <r>
    <s v="https://twitter.com/VW/status/647192086437990400"/>
    <s v="Volkswagen"/>
    <s v="@VW"/>
    <x v="873"/>
    <s v="2015-09-24T23:33:12.000Z"/>
    <x v="1"/>
    <x v="89"/>
    <s v="23:33:12"/>
    <x v="1"/>
    <s v="@svintussen"/>
    <s v=""/>
    <n v="1"/>
    <n v="0"/>
    <n v="1"/>
    <n v="2"/>
    <s v="Low engagement"/>
    <b v="0"/>
    <b v="0"/>
    <b v="1"/>
    <x v="3"/>
  </r>
  <r>
    <s v="https://twitter.com/VW/status/647194755382665216"/>
    <s v="Volkswagen"/>
    <s v="@VW"/>
    <x v="874"/>
    <s v="2015-09-24T23:43:48.000Z"/>
    <x v="1"/>
    <x v="89"/>
    <s v="23:43:48"/>
    <x v="1"/>
    <s v="@TheFrthAngel"/>
    <s v=""/>
    <n v="0"/>
    <n v="0"/>
    <n v="1"/>
    <n v="1"/>
    <s v="Low engagement"/>
    <b v="0"/>
    <b v="0"/>
    <b v="0"/>
    <x v="0"/>
  </r>
  <r>
    <s v="https://twitter.com/VW/status/647194759933489152"/>
    <s v="Volkswagen"/>
    <s v="@VW"/>
    <x v="875"/>
    <s v="2015-09-24T23:43:49.000Z"/>
    <x v="1"/>
    <x v="89"/>
    <s v="23:43:49"/>
    <x v="1"/>
    <s v="@shanellrene"/>
    <s v=""/>
    <n v="1"/>
    <n v="0"/>
    <n v="2"/>
    <n v="3"/>
    <s v="Low engagement"/>
    <b v="0"/>
    <b v="0"/>
    <b v="0"/>
    <x v="0"/>
  </r>
  <r>
    <s v="https://twitter.com/VW/status/647194763754500096"/>
    <s v="Volkswagen"/>
    <s v="@VW"/>
    <x v="876"/>
    <s v="2015-09-24T23:43:50.000Z"/>
    <x v="1"/>
    <x v="89"/>
    <s v="23:43:50"/>
    <x v="1"/>
    <s v="@BgSmack"/>
    <s v=""/>
    <n v="2"/>
    <n v="2"/>
    <n v="2"/>
    <n v="6"/>
    <s v="Moderate engagement"/>
    <b v="0"/>
    <b v="0"/>
    <b v="0"/>
    <x v="0"/>
  </r>
  <r>
    <s v="https://twitter.com/VW/status/647194761439260672"/>
    <s v="Volkswagen"/>
    <s v="@VW"/>
    <x v="877"/>
    <s v="2015-09-24T23:43:50.000Z"/>
    <x v="1"/>
    <x v="89"/>
    <s v="23:43:50"/>
    <x v="1"/>
    <s v=""/>
    <s v=""/>
    <n v="0"/>
    <n v="0"/>
    <n v="1"/>
    <n v="1"/>
    <s v="Low engagement"/>
    <b v="0"/>
    <b v="0"/>
    <b v="0"/>
    <x v="0"/>
  </r>
  <r>
    <s v="https://twitter.com/VW/status/647417455610982400"/>
    <s v="Volkswagen"/>
    <s v="@VW"/>
    <x v="878"/>
    <s v="2015-09-25T14:28:44.000Z"/>
    <x v="1"/>
    <x v="90"/>
    <s v="14:28:44"/>
    <x v="3"/>
    <s v=""/>
    <s v=""/>
    <n v="0"/>
    <n v="0"/>
    <n v="1"/>
    <n v="1"/>
    <s v="Low engagement"/>
    <b v="0"/>
    <b v="0"/>
    <b v="1"/>
    <x v="3"/>
  </r>
  <r>
    <s v="https://twitter.com/VW/status/647417453702582276"/>
    <s v="Volkswagen"/>
    <s v="@VW"/>
    <x v="879"/>
    <s v="2015-09-25T14:28:44.000Z"/>
    <x v="1"/>
    <x v="90"/>
    <s v="14:28:44"/>
    <x v="3"/>
    <s v=""/>
    <s v=""/>
    <n v="0"/>
    <n v="0"/>
    <n v="1"/>
    <n v="1"/>
    <s v="Low engagement"/>
    <b v="0"/>
    <b v="0"/>
    <b v="0"/>
    <x v="0"/>
  </r>
  <r>
    <s v="https://twitter.com/VW/status/647489926057979904"/>
    <s v="Volkswagen"/>
    <s v="@VW"/>
    <x v="880"/>
    <s v="2015-09-25T19:16:42.000Z"/>
    <x v="1"/>
    <x v="90"/>
    <s v="19:16:42"/>
    <x v="1"/>
    <s v=""/>
    <s v=""/>
    <n v="0"/>
    <n v="0"/>
    <n v="0"/>
    <n v="0"/>
    <s v="No engagement"/>
    <b v="0"/>
    <b v="0"/>
    <b v="0"/>
    <x v="0"/>
  </r>
  <r>
    <s v="https://twitter.com/VW/status/647489929761587200"/>
    <s v="Volkswagen"/>
    <s v="@VW"/>
    <x v="881"/>
    <s v="2015-09-25T19:16:43.000Z"/>
    <x v="1"/>
    <x v="90"/>
    <s v="19:16:43"/>
    <x v="1"/>
    <s v="@gpbhr125"/>
    <s v=""/>
    <n v="0"/>
    <n v="0"/>
    <n v="1"/>
    <n v="1"/>
    <s v="Low engagement"/>
    <b v="0"/>
    <b v="0"/>
    <b v="1"/>
    <x v="3"/>
  </r>
  <r>
    <s v="https://twitter.com/VW/status/647489928448774145"/>
    <s v="Volkswagen"/>
    <s v="@VW"/>
    <x v="882"/>
    <s v="2015-09-25T19:16:43.000Z"/>
    <x v="1"/>
    <x v="90"/>
    <s v="19:16:43"/>
    <x v="1"/>
    <s v=""/>
    <s v=""/>
    <n v="0"/>
    <n v="0"/>
    <n v="1"/>
    <n v="1"/>
    <s v="Low engagement"/>
    <b v="0"/>
    <b v="0"/>
    <b v="1"/>
    <x v="3"/>
  </r>
  <r>
    <s v="https://twitter.com/VW/status/647489931644788736"/>
    <s v="Volkswagen"/>
    <s v="@VW"/>
    <x v="883"/>
    <s v="2015-09-25T19:16:44.000Z"/>
    <x v="1"/>
    <x v="90"/>
    <s v="19:16:44"/>
    <x v="1"/>
    <s v="@IRatchett"/>
    <s v=""/>
    <n v="1"/>
    <n v="1"/>
    <n v="1"/>
    <n v="3"/>
    <s v="Low engagement"/>
    <b v="0"/>
    <b v="0"/>
    <b v="1"/>
    <x v="3"/>
  </r>
  <r>
    <s v="https://twitter.com/VW/status/647492649834844161"/>
    <s v="Volkswagen"/>
    <s v="@VW"/>
    <x v="884"/>
    <s v="2015-09-25T19:27:32.000Z"/>
    <x v="1"/>
    <x v="90"/>
    <s v="19:27:32"/>
    <x v="1"/>
    <s v="@TheRealBranson"/>
    <s v=""/>
    <n v="0"/>
    <n v="0"/>
    <n v="1"/>
    <n v="1"/>
    <s v="Low engagement"/>
    <b v="0"/>
    <b v="0"/>
    <b v="0"/>
    <x v="0"/>
  </r>
  <r>
    <s v="https://twitter.com/VW/status/647492654809243648"/>
    <s v="Volkswagen"/>
    <s v="@VW"/>
    <x v="885"/>
    <s v="2015-09-25T19:27:33.000Z"/>
    <x v="1"/>
    <x v="90"/>
    <s v="19:27:33"/>
    <x v="1"/>
    <s v="@Geenger_kay"/>
    <s v=""/>
    <n v="1"/>
    <n v="0"/>
    <n v="1"/>
    <n v="2"/>
    <s v="Low engagement"/>
    <b v="0"/>
    <b v="0"/>
    <b v="0"/>
    <x v="0"/>
  </r>
  <r>
    <s v="https://twitter.com/VW/status/647492653626474496"/>
    <s v="Volkswagen"/>
    <s v="@VW"/>
    <x v="886"/>
    <s v="2015-09-25T19:27:33.000Z"/>
    <x v="1"/>
    <x v="90"/>
    <s v="19:27:33"/>
    <x v="1"/>
    <s v=""/>
    <s v=""/>
    <n v="0"/>
    <n v="1"/>
    <n v="1"/>
    <n v="2"/>
    <s v="Low engagement"/>
    <b v="0"/>
    <b v="0"/>
    <b v="0"/>
    <x v="0"/>
  </r>
  <r>
    <s v="https://twitter.com/VW/status/647533195815071744"/>
    <s v="Volkswagen"/>
    <s v="@VW"/>
    <x v="887"/>
    <s v="2015-09-25T22:08:39.000Z"/>
    <x v="1"/>
    <x v="90"/>
    <s v="22:08:39"/>
    <x v="1"/>
    <s v="@cdmbearcaps"/>
    <s v=""/>
    <n v="4"/>
    <n v="5"/>
    <n v="2"/>
    <n v="11"/>
    <s v="High engagement"/>
    <b v="0"/>
    <b v="0"/>
    <b v="1"/>
    <x v="3"/>
  </r>
  <r>
    <s v="https://twitter.com/VW/status/648165227574374402"/>
    <s v="Volkswagen"/>
    <s v="@VW"/>
    <x v="888"/>
    <s v="2015-09-27T16:00:07.000Z"/>
    <x v="1"/>
    <x v="91"/>
    <s v="16:00:07"/>
    <x v="3"/>
    <s v=""/>
    <s v=""/>
    <n v="455"/>
    <n v="139"/>
    <n v="429"/>
    <n v="1023"/>
    <s v="High engagement"/>
    <b v="1"/>
    <b v="0"/>
    <b v="1"/>
    <x v="1"/>
  </r>
  <r>
    <s v="https://twitter.com/VW/status/648868652683427841"/>
    <s v="Volkswagen"/>
    <s v="@VW"/>
    <x v="889"/>
    <s v="2015-09-29T14:35:16.000Z"/>
    <x v="1"/>
    <x v="92"/>
    <s v="14:35:16"/>
    <x v="3"/>
    <s v="@DJScoots10"/>
    <s v=""/>
    <n v="0"/>
    <n v="0"/>
    <n v="0"/>
    <n v="0"/>
    <s v="No engagement"/>
    <b v="0"/>
    <b v="0"/>
    <b v="0"/>
    <x v="0"/>
  </r>
  <r>
    <s v="https://twitter.com/VW/status/648868656177278976"/>
    <s v="Volkswagen"/>
    <s v="@VW"/>
    <x v="890"/>
    <s v="2015-09-29T14:35:17.000Z"/>
    <x v="1"/>
    <x v="92"/>
    <s v="14:35:17"/>
    <x v="3"/>
    <s v="@melmoney09"/>
    <s v=""/>
    <n v="0"/>
    <n v="0"/>
    <n v="0"/>
    <n v="0"/>
    <s v="No engagement"/>
    <b v="0"/>
    <b v="0"/>
    <b v="0"/>
    <x v="0"/>
  </r>
  <r>
    <s v="https://twitter.com/VW/status/648868654893826048"/>
    <s v="Volkswagen"/>
    <s v="@VW"/>
    <x v="891"/>
    <s v="2015-09-29T14:35:17.000Z"/>
    <x v="1"/>
    <x v="92"/>
    <s v="14:35:17"/>
    <x v="3"/>
    <s v="@DJScoots10"/>
    <s v=""/>
    <n v="0"/>
    <n v="0"/>
    <n v="0"/>
    <n v="0"/>
    <s v="No engagement"/>
    <b v="0"/>
    <b v="0"/>
    <b v="1"/>
    <x v="3"/>
  </r>
  <r>
    <s v="https://twitter.com/VW/status/648868657892757505"/>
    <s v="Volkswagen"/>
    <s v="@VW"/>
    <x v="892"/>
    <s v="2015-09-29T14:35:18.000Z"/>
    <x v="1"/>
    <x v="92"/>
    <s v="14:35:18"/>
    <x v="3"/>
    <s v="@MSnipple"/>
    <s v=""/>
    <n v="0"/>
    <n v="0"/>
    <n v="0"/>
    <n v="0"/>
    <s v="No engagement"/>
    <b v="0"/>
    <b v="0"/>
    <b v="0"/>
    <x v="0"/>
  </r>
  <r>
    <s v="https://twitter.com/VW/status/648868662351261697"/>
    <s v="Volkswagen"/>
    <s v="@VW"/>
    <x v="893"/>
    <s v="2015-09-29T14:35:19.000Z"/>
    <x v="1"/>
    <x v="92"/>
    <s v="14:35:19"/>
    <x v="3"/>
    <s v="@andyibarra2"/>
    <s v=""/>
    <n v="0"/>
    <n v="1"/>
    <n v="0"/>
    <n v="1"/>
    <s v="Low engagement"/>
    <b v="0"/>
    <b v="0"/>
    <b v="0"/>
    <x v="0"/>
  </r>
  <r>
    <s v="https://twitter.com/VW/status/648868668122656768"/>
    <s v="Volkswagen"/>
    <s v="@VW"/>
    <x v="894"/>
    <s v="2015-09-29T14:35:20.000Z"/>
    <x v="1"/>
    <x v="92"/>
    <s v="14:35:20"/>
    <x v="3"/>
    <s v=""/>
    <s v=""/>
    <n v="1"/>
    <n v="0"/>
    <n v="0"/>
    <n v="1"/>
    <s v="Low engagement"/>
    <b v="0"/>
    <b v="0"/>
    <b v="0"/>
    <x v="0"/>
  </r>
  <r>
    <s v="https://twitter.com/VW/status/648868666549768192"/>
    <s v="Volkswagen"/>
    <s v="@VW"/>
    <x v="895"/>
    <s v="2015-09-29T14:35:20.000Z"/>
    <x v="1"/>
    <x v="92"/>
    <s v="14:35:20"/>
    <x v="3"/>
    <s v=""/>
    <s v=""/>
    <n v="0"/>
    <n v="0"/>
    <n v="0"/>
    <n v="0"/>
    <s v="No engagement"/>
    <b v="0"/>
    <b v="0"/>
    <b v="0"/>
    <x v="0"/>
  </r>
  <r>
    <s v="https://twitter.com/VW/status/648868673088716801"/>
    <s v="Volkswagen"/>
    <s v="@VW"/>
    <x v="896"/>
    <s v="2015-09-29T14:35:21.000Z"/>
    <x v="1"/>
    <x v="92"/>
    <s v="14:35:21"/>
    <x v="3"/>
    <s v=""/>
    <s v=""/>
    <n v="0"/>
    <n v="0"/>
    <n v="0"/>
    <n v="0"/>
    <s v="No engagement"/>
    <b v="0"/>
    <b v="0"/>
    <b v="0"/>
    <x v="0"/>
  </r>
  <r>
    <s v="https://twitter.com/VW/status/648868671675236353"/>
    <s v="Volkswagen"/>
    <s v="@VW"/>
    <x v="897"/>
    <s v="2015-09-29T14:35:21.000Z"/>
    <x v="1"/>
    <x v="92"/>
    <s v="14:35:21"/>
    <x v="3"/>
    <s v="@LauraMogg"/>
    <s v=""/>
    <n v="0"/>
    <n v="0"/>
    <n v="0"/>
    <n v="0"/>
    <s v="No engagement"/>
    <b v="0"/>
    <b v="0"/>
    <b v="0"/>
    <x v="0"/>
  </r>
  <r>
    <s v="https://twitter.com/VW/status/648868670093987842"/>
    <s v="Volkswagen"/>
    <s v="@VW"/>
    <x v="898"/>
    <s v="2015-09-29T14:35:21.000Z"/>
    <x v="1"/>
    <x v="92"/>
    <s v="14:35:21"/>
    <x v="3"/>
    <s v=""/>
    <s v=""/>
    <n v="0"/>
    <n v="0"/>
    <n v="0"/>
    <n v="0"/>
    <s v="No engagement"/>
    <b v="0"/>
    <b v="0"/>
    <b v="0"/>
    <x v="0"/>
  </r>
  <r>
    <s v="https://twitter.com/VW/status/648868674644742145"/>
    <s v="Volkswagen"/>
    <s v="@VW"/>
    <x v="899"/>
    <s v="2015-09-29T14:35:22.000Z"/>
    <x v="1"/>
    <x v="92"/>
    <s v="14:35:22"/>
    <x v="3"/>
    <s v="@bbrooks784"/>
    <s v=""/>
    <n v="0"/>
    <n v="0"/>
    <n v="1"/>
    <n v="1"/>
    <s v="Low engagement"/>
    <b v="0"/>
    <b v="0"/>
    <b v="0"/>
    <x v="0"/>
  </r>
  <r>
    <s v="https://twitter.com/VW/status/648870379566399493"/>
    <s v="Volkswagen"/>
    <s v="@VW"/>
    <x v="900"/>
    <s v="2015-09-29T14:42:08.000Z"/>
    <x v="1"/>
    <x v="92"/>
    <s v="14:42:08"/>
    <x v="3"/>
    <s v="@sandrasolano"/>
    <s v=""/>
    <n v="0"/>
    <n v="2"/>
    <n v="0"/>
    <n v="2"/>
    <s v="Low engagement"/>
    <b v="0"/>
    <b v="0"/>
    <b v="0"/>
    <x v="0"/>
  </r>
  <r>
    <s v="https://twitter.com/VW/status/648870378043867137"/>
    <s v="Volkswagen"/>
    <s v="@VW"/>
    <x v="901"/>
    <s v="2015-09-29T14:42:08.000Z"/>
    <x v="1"/>
    <x v="92"/>
    <s v="14:42:08"/>
    <x v="3"/>
    <s v=""/>
    <s v=""/>
    <n v="0"/>
    <n v="0"/>
    <n v="0"/>
    <n v="0"/>
    <s v="No engagement"/>
    <b v="0"/>
    <b v="0"/>
    <b v="0"/>
    <x v="0"/>
  </r>
  <r>
    <s v="https://twitter.com/VW/status/648870384087928832"/>
    <s v="Volkswagen"/>
    <s v="@VW"/>
    <x v="902"/>
    <s v="2015-09-29T14:42:09.000Z"/>
    <x v="1"/>
    <x v="92"/>
    <s v="14:42:09"/>
    <x v="3"/>
    <s v="@natqueencole"/>
    <s v=""/>
    <n v="0"/>
    <n v="2"/>
    <n v="0"/>
    <n v="2"/>
    <s v="Low engagement"/>
    <b v="0"/>
    <b v="0"/>
    <b v="0"/>
    <x v="0"/>
  </r>
  <r>
    <s v="https://twitter.com/VW/status/648872930613395456"/>
    <s v="Volkswagen"/>
    <s v="@VW"/>
    <x v="903"/>
    <s v="2015-09-29T14:52:16.000Z"/>
    <x v="1"/>
    <x v="92"/>
    <s v="14:52:16"/>
    <x v="3"/>
    <s v="@drinkie"/>
    <s v=""/>
    <n v="0"/>
    <n v="0"/>
    <n v="1"/>
    <n v="1"/>
    <s v="Low engagement"/>
    <b v="0"/>
    <b v="0"/>
    <b v="0"/>
    <x v="0"/>
  </r>
  <r>
    <s v="https://twitter.com/VW/status/648872928134631425"/>
    <s v="Volkswagen"/>
    <s v="@VW"/>
    <x v="904"/>
    <s v="2015-09-29T14:52:16.000Z"/>
    <x v="1"/>
    <x v="92"/>
    <s v="14:52:16"/>
    <x v="3"/>
    <s v="@xjxcxpx"/>
    <s v=""/>
    <n v="0"/>
    <n v="0"/>
    <n v="0"/>
    <n v="0"/>
    <s v="No engagement"/>
    <b v="0"/>
    <b v="0"/>
    <b v="0"/>
    <x v="0"/>
  </r>
  <r>
    <s v="https://twitter.com/VW/status/648872935243911168"/>
    <s v="Volkswagen"/>
    <s v="@VW"/>
    <x v="905"/>
    <s v="2015-09-29T14:52:17.000Z"/>
    <x v="1"/>
    <x v="92"/>
    <s v="14:52:17"/>
    <x v="3"/>
    <s v="@Tracey_R_Lee"/>
    <s v=""/>
    <n v="0"/>
    <n v="2"/>
    <n v="1"/>
    <n v="3"/>
    <s v="Low engagement"/>
    <b v="0"/>
    <b v="0"/>
    <b v="0"/>
    <x v="0"/>
  </r>
  <r>
    <s v="https://twitter.com/VW/status/648872932907716608"/>
    <s v="Volkswagen"/>
    <s v="@VW"/>
    <x v="906"/>
    <s v="2015-09-29T14:52:17.000Z"/>
    <x v="1"/>
    <x v="92"/>
    <s v="14:52:17"/>
    <x v="3"/>
    <s v="@LauraNoah"/>
    <s v=""/>
    <n v="0"/>
    <n v="1"/>
    <n v="1"/>
    <n v="2"/>
    <s v="Low engagement"/>
    <b v="0"/>
    <b v="0"/>
    <b v="1"/>
    <x v="3"/>
  </r>
  <r>
    <s v="https://twitter.com/VW/status/648872936850354176"/>
    <s v="Volkswagen"/>
    <s v="@VW"/>
    <x v="907"/>
    <s v="2015-09-29T14:52:18.000Z"/>
    <x v="1"/>
    <x v="92"/>
    <s v="14:52:18"/>
    <x v="3"/>
    <s v="@DeJuanPenn"/>
    <s v=""/>
    <n v="0"/>
    <n v="0"/>
    <n v="1"/>
    <n v="1"/>
    <s v="Low engagement"/>
    <b v="0"/>
    <b v="0"/>
    <b v="0"/>
    <x v="0"/>
  </r>
  <r>
    <s v="https://twitter.com/VW/status/648974568980283396"/>
    <s v="Volkswagen"/>
    <s v="@VW"/>
    <x v="908"/>
    <s v="2015-09-29T21:36:09.000Z"/>
    <x v="1"/>
    <x v="92"/>
    <s v="21:36:09"/>
    <x v="1"/>
    <s v="@kevinisrael_nj"/>
    <s v=""/>
    <n v="0"/>
    <n v="0"/>
    <n v="1"/>
    <n v="1"/>
    <s v="Low engagement"/>
    <b v="0"/>
    <b v="0"/>
    <b v="1"/>
    <x v="3"/>
  </r>
  <r>
    <s v="https://twitter.com/VW/status/648974575967997953"/>
    <s v="Volkswagen"/>
    <s v="@VW"/>
    <x v="909"/>
    <s v="2015-09-29T21:36:10.000Z"/>
    <x v="1"/>
    <x v="92"/>
    <s v="21:36:10"/>
    <x v="1"/>
    <s v=""/>
    <s v=""/>
    <n v="1"/>
    <n v="1"/>
    <n v="0"/>
    <n v="2"/>
    <s v="Low engagement"/>
    <b v="0"/>
    <b v="0"/>
    <b v="0"/>
    <x v="0"/>
  </r>
  <r>
    <s v="https://twitter.com/VW/status/648974572268601344"/>
    <s v="Volkswagen"/>
    <s v="@VW"/>
    <x v="910"/>
    <s v="2015-09-29T21:36:10.000Z"/>
    <x v="1"/>
    <x v="92"/>
    <s v="21:36:10"/>
    <x v="1"/>
    <s v=""/>
    <s v=""/>
    <n v="0"/>
    <n v="0"/>
    <n v="1"/>
    <n v="1"/>
    <s v="Low engagement"/>
    <b v="0"/>
    <b v="0"/>
    <b v="0"/>
    <x v="0"/>
  </r>
  <r>
    <s v="https://twitter.com/VW/status/648974579226906632"/>
    <s v="Volkswagen"/>
    <s v="@VW"/>
    <x v="911"/>
    <s v="2015-09-29T21:36:11.000Z"/>
    <x v="1"/>
    <x v="92"/>
    <s v="21:36:11"/>
    <x v="1"/>
    <s v=""/>
    <s v=""/>
    <n v="0"/>
    <n v="0"/>
    <n v="1"/>
    <n v="1"/>
    <s v="Low engagement"/>
    <b v="0"/>
    <b v="0"/>
    <b v="0"/>
    <x v="0"/>
  </r>
  <r>
    <s v="https://twitter.com/VW/status/648974577905700865"/>
    <s v="Volkswagen"/>
    <s v="@VW"/>
    <x v="912"/>
    <s v="2015-09-29T21:36:11.000Z"/>
    <x v="1"/>
    <x v="92"/>
    <s v="21:36:11"/>
    <x v="1"/>
    <s v=""/>
    <s v=""/>
    <n v="0"/>
    <n v="1"/>
    <n v="0"/>
    <n v="1"/>
    <s v="Low engagement"/>
    <b v="0"/>
    <b v="0"/>
    <b v="0"/>
    <x v="0"/>
  </r>
  <r>
    <s v="https://twitter.com/VW/status/648974583584784384"/>
    <s v="Volkswagen"/>
    <s v="@VW"/>
    <x v="913"/>
    <s v="2015-09-29T21:36:12.000Z"/>
    <x v="1"/>
    <x v="92"/>
    <s v="21:36:12"/>
    <x v="1"/>
    <s v="@natqueencole"/>
    <s v=""/>
    <n v="0"/>
    <n v="1"/>
    <n v="1"/>
    <n v="2"/>
    <s v="Low engagement"/>
    <b v="0"/>
    <b v="0"/>
    <b v="0"/>
    <x v="0"/>
  </r>
  <r>
    <s v="https://twitter.com/VW/status/648974581328297984"/>
    <s v="Volkswagen"/>
    <s v="@VW"/>
    <x v="914"/>
    <s v="2015-09-29T21:36:12.000Z"/>
    <x v="1"/>
    <x v="92"/>
    <s v="21:36:12"/>
    <x v="1"/>
    <s v=""/>
    <s v=""/>
    <n v="1"/>
    <n v="1"/>
    <n v="1"/>
    <n v="3"/>
    <s v="Low engagement"/>
    <b v="0"/>
    <b v="0"/>
    <b v="0"/>
    <x v="0"/>
  </r>
  <r>
    <s v="https://twitter.com/VW/status/648974585686175744"/>
    <s v="Volkswagen"/>
    <s v="@VW"/>
    <x v="915"/>
    <s v="2015-09-29T21:36:13.000Z"/>
    <x v="1"/>
    <x v="92"/>
    <s v="21:36:13"/>
    <x v="1"/>
    <s v=""/>
    <s v=""/>
    <n v="1"/>
    <n v="1"/>
    <n v="1"/>
    <n v="3"/>
    <s v="Low engagement"/>
    <b v="0"/>
    <b v="0"/>
    <b v="1"/>
    <x v="3"/>
  </r>
  <r>
    <s v="https://twitter.com/VW/status/649280123066159104"/>
    <s v="Volkswagen"/>
    <s v="@VW"/>
    <x v="916"/>
    <s v="2015-09-30T17:50:19.000Z"/>
    <x v="1"/>
    <x v="93"/>
    <s v="17:50:19"/>
    <x v="3"/>
    <s v=""/>
    <s v=""/>
    <n v="0"/>
    <n v="0"/>
    <n v="1"/>
    <n v="1"/>
    <s v="Low engagement"/>
    <b v="0"/>
    <b v="0"/>
    <b v="0"/>
    <x v="0"/>
  </r>
  <r>
    <s v="https://twitter.com/VW/status/649280131152740353"/>
    <s v="Volkswagen"/>
    <s v="@VW"/>
    <x v="917"/>
    <s v="2015-09-30T17:50:20.000Z"/>
    <x v="1"/>
    <x v="93"/>
    <s v="17:50:20"/>
    <x v="3"/>
    <s v=""/>
    <s v=""/>
    <n v="0"/>
    <n v="0"/>
    <n v="1"/>
    <n v="1"/>
    <s v="Low engagement"/>
    <b v="0"/>
    <b v="0"/>
    <b v="0"/>
    <x v="0"/>
  </r>
  <r>
    <s v="https://twitter.com/VW/status/649280129756065792"/>
    <s v="Volkswagen"/>
    <s v="@VW"/>
    <x v="918"/>
    <s v="2015-09-30T17:50:20.000Z"/>
    <x v="1"/>
    <x v="93"/>
    <s v="17:50:20"/>
    <x v="3"/>
    <s v="@ltlmscantbwrong"/>
    <s v=""/>
    <n v="0"/>
    <n v="1"/>
    <n v="1"/>
    <n v="2"/>
    <s v="Low engagement"/>
    <b v="0"/>
    <b v="0"/>
    <b v="1"/>
    <x v="3"/>
  </r>
  <r>
    <s v="https://twitter.com/VW/status/649280127881252864"/>
    <s v="Volkswagen"/>
    <s v="@VW"/>
    <x v="919"/>
    <s v="2015-09-30T17:50:20.000Z"/>
    <x v="1"/>
    <x v="93"/>
    <s v="17:50:20"/>
    <x v="3"/>
    <s v="@ltlmscantbwrong"/>
    <s v=""/>
    <n v="0"/>
    <n v="1"/>
    <n v="1"/>
    <n v="2"/>
    <s v="Low engagement"/>
    <b v="0"/>
    <b v="0"/>
    <b v="1"/>
    <x v="3"/>
  </r>
  <r>
    <s v="https://twitter.com/VW/status/649280134936031232"/>
    <s v="Volkswagen"/>
    <s v="@VW"/>
    <x v="920"/>
    <s v="2015-09-30T17:50:21.000Z"/>
    <x v="1"/>
    <x v="93"/>
    <s v="17:50:21"/>
    <x v="3"/>
    <s v="@YBFYWE"/>
    <s v=""/>
    <n v="0"/>
    <n v="0"/>
    <n v="1"/>
    <n v="1"/>
    <s v="Low engagement"/>
    <b v="0"/>
    <b v="0"/>
    <b v="0"/>
    <x v="0"/>
  </r>
  <r>
    <s v="https://twitter.com/VW/status/649280133031833600"/>
    <s v="Volkswagen"/>
    <s v="@VW"/>
    <x v="921"/>
    <s v="2015-09-30T17:50:21.000Z"/>
    <x v="1"/>
    <x v="93"/>
    <s v="17:50:21"/>
    <x v="3"/>
    <s v=""/>
    <s v=""/>
    <n v="0"/>
    <n v="0"/>
    <n v="1"/>
    <n v="1"/>
    <s v="Low engagement"/>
    <b v="0"/>
    <b v="0"/>
    <b v="0"/>
    <x v="0"/>
  </r>
  <r>
    <s v="https://twitter.com/VW/status/649280138123698176"/>
    <s v="Volkswagen"/>
    <s v="@VW"/>
    <x v="922"/>
    <s v="2015-09-30T17:50:22.000Z"/>
    <x v="1"/>
    <x v="93"/>
    <s v="17:50:22"/>
    <x v="3"/>
    <s v=""/>
    <s v=""/>
    <n v="0"/>
    <n v="1"/>
    <n v="1"/>
    <n v="2"/>
    <s v="Low engagement"/>
    <b v="0"/>
    <b v="0"/>
    <b v="0"/>
    <x v="0"/>
  </r>
  <r>
    <s v="https://twitter.com/VW/status/649280140535443457"/>
    <s v="Volkswagen"/>
    <s v="@VW"/>
    <x v="923"/>
    <s v="2015-09-30T17:50:23.000Z"/>
    <x v="1"/>
    <x v="93"/>
    <s v="17:50:23"/>
    <x v="3"/>
    <s v="@xjxcxpx"/>
    <s v=""/>
    <n v="1"/>
    <n v="0"/>
    <n v="1"/>
    <n v="2"/>
    <s v="Low engagement"/>
    <b v="0"/>
    <b v="0"/>
    <b v="0"/>
    <x v="0"/>
  </r>
  <r>
    <s v="https://twitter.com/VW/status/649291576900890624"/>
    <s v="Volkswagen"/>
    <s v="@VW"/>
    <x v="924"/>
    <s v="2015-09-30T18:35:49.000Z"/>
    <x v="1"/>
    <x v="93"/>
    <s v="18:35:49"/>
    <x v="1"/>
    <s v="@xjxcxpx"/>
    <s v=""/>
    <n v="0"/>
    <n v="0"/>
    <n v="1"/>
    <n v="1"/>
    <s v="Low engagement"/>
    <b v="0"/>
    <b v="0"/>
    <b v="0"/>
    <x v="0"/>
  </r>
  <r>
    <s v="https://twitter.com/VW/status/649320660347457536"/>
    <s v="Volkswagen"/>
    <s v="@VW"/>
    <x v="925"/>
    <s v="2015-09-30T20:31:23.000Z"/>
    <x v="1"/>
    <x v="93"/>
    <s v="20:31:23"/>
    <x v="1"/>
    <s v=""/>
    <s v=""/>
    <n v="0"/>
    <n v="0"/>
    <n v="1"/>
    <n v="1"/>
    <s v="Low engagement"/>
    <b v="0"/>
    <b v="0"/>
    <b v="1"/>
    <x v="3"/>
  </r>
  <r>
    <s v="https://twitter.com/VW/status/649320658757816320"/>
    <s v="Volkswagen"/>
    <s v="@VW"/>
    <x v="926"/>
    <s v="2015-09-30T20:31:23.000Z"/>
    <x v="1"/>
    <x v="93"/>
    <s v="20:31:23"/>
    <x v="1"/>
    <s v="@mrslfmde"/>
    <s v=""/>
    <n v="1"/>
    <n v="2"/>
    <n v="1"/>
    <n v="4"/>
    <s v="Low engagement"/>
    <b v="0"/>
    <b v="0"/>
    <b v="0"/>
    <x v="0"/>
  </r>
  <r>
    <s v="https://twitter.com/VW/status/649670220940898304"/>
    <s v="Volkswagen"/>
    <s v="@VW"/>
    <x v="927"/>
    <s v="2015-10-01T19:40:25.000Z"/>
    <x v="1"/>
    <x v="94"/>
    <s v="19:40:25"/>
    <x v="1"/>
    <s v="@JohnVavrik"/>
    <s v=""/>
    <n v="0"/>
    <n v="1"/>
    <n v="1"/>
    <n v="2"/>
    <s v="Low engagement"/>
    <b v="0"/>
    <b v="0"/>
    <b v="0"/>
    <x v="0"/>
  </r>
  <r>
    <s v="https://twitter.com/VW/status/649670219137310720"/>
    <s v="Volkswagen"/>
    <s v="@VW"/>
    <x v="928"/>
    <s v="2015-10-01T19:40:25.000Z"/>
    <x v="1"/>
    <x v="94"/>
    <s v="19:40:25"/>
    <x v="1"/>
    <s v="@JohnVavrik"/>
    <s v=""/>
    <n v="0"/>
    <n v="2"/>
    <n v="0"/>
    <n v="2"/>
    <s v="Low engagement"/>
    <b v="0"/>
    <b v="0"/>
    <b v="0"/>
    <x v="0"/>
  </r>
  <r>
    <s v="https://twitter.com/VW/status/649676373443788808"/>
    <s v="Volkswagen"/>
    <s v="@VW"/>
    <x v="929"/>
    <s v="2015-10-01T20:04:52.000Z"/>
    <x v="1"/>
    <x v="94"/>
    <s v="20:04:52"/>
    <x v="1"/>
    <s v="@boii_legit"/>
    <s v=""/>
    <n v="3"/>
    <n v="1"/>
    <n v="1"/>
    <n v="5"/>
    <s v="Moderate engagement"/>
    <b v="0"/>
    <b v="0"/>
    <b v="0"/>
    <x v="0"/>
  </r>
  <r>
    <s v="https://twitter.com/VW/status/649988415757246464"/>
    <s v="Volkswagen"/>
    <s v="@VW"/>
    <x v="930"/>
    <s v="2015-10-02T16:44:49.000Z"/>
    <x v="1"/>
    <x v="95"/>
    <s v="16:44:49"/>
    <x v="3"/>
    <s v="@Im_JustJim"/>
    <s v=""/>
    <n v="1"/>
    <n v="1"/>
    <n v="1"/>
    <n v="3"/>
    <s v="Low engagement"/>
    <b v="0"/>
    <b v="0"/>
    <b v="0"/>
    <x v="0"/>
  </r>
  <r>
    <s v="https://twitter.com/VW/status/650019238837485568"/>
    <s v="Volkswagen"/>
    <s v="@VW"/>
    <x v="931"/>
    <s v="2015-10-02T18:47:17.000Z"/>
    <x v="1"/>
    <x v="95"/>
    <s v="18:47:17"/>
    <x v="1"/>
    <s v=""/>
    <s v=""/>
    <n v="0"/>
    <n v="0"/>
    <n v="1"/>
    <n v="1"/>
    <s v="Low engagement"/>
    <b v="0"/>
    <b v="0"/>
    <b v="1"/>
    <x v="3"/>
  </r>
  <r>
    <s v="https://twitter.com/VW/status/650019237344378880"/>
    <s v="Volkswagen"/>
    <s v="@VW"/>
    <x v="932"/>
    <s v="2015-10-02T18:47:17.000Z"/>
    <x v="1"/>
    <x v="95"/>
    <s v="18:47:17"/>
    <x v="1"/>
    <s v=""/>
    <s v=""/>
    <n v="0"/>
    <n v="0"/>
    <n v="1"/>
    <n v="1"/>
    <s v="Low engagement"/>
    <b v="0"/>
    <b v="0"/>
    <b v="0"/>
    <x v="0"/>
  </r>
  <r>
    <s v="https://twitter.com/VW/status/650019234966147072"/>
    <s v="Volkswagen"/>
    <s v="@VW"/>
    <x v="933"/>
    <s v="2015-10-02T18:47:17.000Z"/>
    <x v="1"/>
    <x v="95"/>
    <s v="18:47:17"/>
    <x v="1"/>
    <s v=""/>
    <s v=""/>
    <n v="0"/>
    <n v="0"/>
    <n v="0"/>
    <n v="0"/>
    <s v="No engagement"/>
    <b v="0"/>
    <b v="0"/>
    <b v="0"/>
    <x v="0"/>
  </r>
  <r>
    <s v="https://twitter.com/VW/status/650020077526368256"/>
    <s v="Volkswagen"/>
    <s v="@VW"/>
    <x v="934"/>
    <s v="2015-10-02T18:50:37.000Z"/>
    <x v="1"/>
    <x v="95"/>
    <s v="18:50:37"/>
    <x v="1"/>
    <s v="@PatrickSTAR489"/>
    <s v=""/>
    <n v="0"/>
    <n v="0"/>
    <n v="1"/>
    <n v="1"/>
    <s v="Low engagement"/>
    <b v="0"/>
    <b v="0"/>
    <b v="0"/>
    <x v="0"/>
  </r>
  <r>
    <s v="https://twitter.com/VW/status/650020079267119104"/>
    <s v="Volkswagen"/>
    <s v="@VW"/>
    <x v="935"/>
    <s v="2015-10-02T18:50:38.000Z"/>
    <x v="1"/>
    <x v="95"/>
    <s v="18:50:38"/>
    <x v="1"/>
    <s v="@PatrickSTAR489"/>
    <s v=""/>
    <n v="0"/>
    <n v="0"/>
    <n v="1"/>
    <n v="1"/>
    <s v="Low engagement"/>
    <b v="0"/>
    <b v="0"/>
    <b v="0"/>
    <x v="0"/>
  </r>
  <r>
    <s v="https://twitter.com/VW/status/650021077398130688"/>
    <s v="Volkswagen"/>
    <s v="@VW"/>
    <x v="936"/>
    <s v="2015-10-02T18:54:36.000Z"/>
    <x v="1"/>
    <x v="95"/>
    <s v="18:54:36"/>
    <x v="1"/>
    <s v="@RealChrisReese"/>
    <s v=""/>
    <n v="0"/>
    <n v="1"/>
    <n v="0"/>
    <n v="1"/>
    <s v="Low engagement"/>
    <b v="0"/>
    <b v="0"/>
    <b v="0"/>
    <x v="0"/>
  </r>
  <r>
    <s v="https://twitter.com/VW/status/650032408939524096"/>
    <s v="Volkswagen"/>
    <s v="@VW"/>
    <x v="937"/>
    <s v="2015-10-02T19:39:37.000Z"/>
    <x v="1"/>
    <x v="95"/>
    <s v="19:39:37"/>
    <x v="1"/>
    <s v="@SamDolci"/>
    <s v=""/>
    <n v="0"/>
    <n v="1"/>
    <n v="1"/>
    <n v="2"/>
    <s v="Low engagement"/>
    <b v="0"/>
    <b v="0"/>
    <b v="0"/>
    <x v="0"/>
  </r>
  <r>
    <s v="https://twitter.com/VW/status/650075015652642816"/>
    <s v="Volkswagen"/>
    <s v="@VW"/>
    <x v="938"/>
    <s v="2015-10-02T22:28:56.000Z"/>
    <x v="1"/>
    <x v="95"/>
    <s v="22:28:56"/>
    <x v="1"/>
    <s v="@xjxcxpx"/>
    <s v=""/>
    <n v="0"/>
    <n v="0"/>
    <n v="1"/>
    <n v="1"/>
    <s v="Low engagement"/>
    <b v="0"/>
    <b v="0"/>
    <b v="0"/>
    <x v="0"/>
  </r>
  <r>
    <s v="https://twitter.com/VW/status/650075021168111616"/>
    <s v="Volkswagen"/>
    <s v="@VW"/>
    <x v="939"/>
    <s v="2015-10-02T22:28:57.000Z"/>
    <x v="1"/>
    <x v="95"/>
    <s v="22:28:57"/>
    <x v="1"/>
    <s v="@Indasein"/>
    <s v=""/>
    <n v="1"/>
    <n v="0"/>
    <n v="1"/>
    <n v="2"/>
    <s v="Low engagement"/>
    <b v="0"/>
    <b v="0"/>
    <b v="0"/>
    <x v="0"/>
  </r>
  <r>
    <s v="https://twitter.com/VW/status/651068078927646720"/>
    <s v="Volkswagen"/>
    <s v="@VW"/>
    <x v="940"/>
    <s v="2015-10-05T16:15:00.000Z"/>
    <x v="1"/>
    <x v="96"/>
    <s v="16:15:00"/>
    <x v="3"/>
    <s v="@JR2themax"/>
    <s v=""/>
    <n v="0"/>
    <n v="0"/>
    <n v="0"/>
    <n v="0"/>
    <s v="No engagement"/>
    <b v="0"/>
    <b v="0"/>
    <b v="0"/>
    <x v="0"/>
  </r>
  <r>
    <s v="https://twitter.com/VW/status/651077700019318784"/>
    <s v="Volkswagen"/>
    <s v="@VW"/>
    <x v="941"/>
    <s v="2015-10-05T16:53:14.000Z"/>
    <x v="1"/>
    <x v="96"/>
    <s v="16:53:14"/>
    <x v="3"/>
    <s v="@ereibs89"/>
    <s v=""/>
    <n v="0"/>
    <n v="0"/>
    <n v="0"/>
    <n v="0"/>
    <s v="No engagement"/>
    <b v="0"/>
    <b v="0"/>
    <b v="0"/>
    <x v="0"/>
  </r>
  <r>
    <s v="https://twitter.com/VW/status/651077701600567296"/>
    <s v="Volkswagen"/>
    <s v="@VW"/>
    <x v="942"/>
    <s v="2015-10-05T16:53:15.000Z"/>
    <x v="1"/>
    <x v="96"/>
    <s v="16:53:15"/>
    <x v="3"/>
    <s v="@ereibs89"/>
    <s v=""/>
    <n v="0"/>
    <n v="0"/>
    <n v="0"/>
    <n v="0"/>
    <s v="No engagement"/>
    <b v="0"/>
    <b v="0"/>
    <b v="0"/>
    <x v="0"/>
  </r>
  <r>
    <s v="https://twitter.com/VW/status/651090794175070208"/>
    <s v="Volkswagen"/>
    <s v="@VW"/>
    <x v="943"/>
    <s v="2015-10-05T17:45:16.000Z"/>
    <x v="1"/>
    <x v="96"/>
    <s v="17:45:16"/>
    <x v="3"/>
    <s v="@pcusick3"/>
    <s v=""/>
    <n v="0"/>
    <n v="1"/>
    <n v="0"/>
    <n v="1"/>
    <s v="Low engagement"/>
    <b v="0"/>
    <b v="0"/>
    <b v="0"/>
    <x v="0"/>
  </r>
  <r>
    <s v="https://twitter.com/VW/status/651091691563126784"/>
    <s v="Volkswagen"/>
    <s v="@VW"/>
    <x v="944"/>
    <s v="2015-10-05T17:48:50.000Z"/>
    <x v="1"/>
    <x v="96"/>
    <s v="17:48:50"/>
    <x v="3"/>
    <s v=""/>
    <s v=""/>
    <n v="0"/>
    <n v="0"/>
    <n v="0"/>
    <n v="0"/>
    <s v="No engagement"/>
    <b v="0"/>
    <b v="0"/>
    <b v="1"/>
    <x v="3"/>
  </r>
  <r>
    <s v="https://twitter.com/VW/status/651091693266075648"/>
    <s v="Volkswagen"/>
    <s v="@VW"/>
    <x v="945"/>
    <s v="2015-10-05T17:48:51.000Z"/>
    <x v="1"/>
    <x v="96"/>
    <s v="17:48:51"/>
    <x v="3"/>
    <s v="@rachaaelle"/>
    <s v=""/>
    <n v="0"/>
    <n v="0"/>
    <n v="0"/>
    <n v="0"/>
    <s v="No engagement"/>
    <b v="0"/>
    <b v="0"/>
    <b v="1"/>
    <x v="3"/>
  </r>
  <r>
    <s v="https://twitter.com/VW/status/651094305042395136"/>
    <s v="Volkswagen"/>
    <s v="@VW"/>
    <x v="946"/>
    <s v="2015-10-05T17:59:13.000Z"/>
    <x v="1"/>
    <x v="96"/>
    <s v="17:59:13"/>
    <x v="3"/>
    <s v="@malanabjayde"/>
    <s v=""/>
    <n v="0"/>
    <n v="0"/>
    <n v="0"/>
    <n v="0"/>
    <s v="No engagement"/>
    <b v="0"/>
    <b v="0"/>
    <b v="1"/>
    <x v="3"/>
  </r>
  <r>
    <s v="https://twitter.com/VW/status/651094303448498176"/>
    <s v="Volkswagen"/>
    <s v="@VW"/>
    <x v="947"/>
    <s v="2015-10-05T17:59:13.000Z"/>
    <x v="1"/>
    <x v="96"/>
    <s v="17:59:13"/>
    <x v="3"/>
    <s v="@ltlmscantbwrong"/>
    <s v=""/>
    <n v="1"/>
    <n v="0"/>
    <n v="0"/>
    <n v="1"/>
    <s v="Low engagement"/>
    <b v="0"/>
    <b v="0"/>
    <b v="0"/>
    <x v="0"/>
  </r>
  <r>
    <s v="https://twitter.com/VW/status/651094310054576128"/>
    <s v="Volkswagen"/>
    <s v="@VW"/>
    <x v="948"/>
    <s v="2015-10-05T17:59:14.000Z"/>
    <x v="1"/>
    <x v="96"/>
    <s v="17:59:14"/>
    <x v="3"/>
    <s v=""/>
    <s v=""/>
    <n v="0"/>
    <n v="0"/>
    <n v="0"/>
    <n v="0"/>
    <s v="No engagement"/>
    <b v="0"/>
    <b v="0"/>
    <b v="0"/>
    <x v="0"/>
  </r>
  <r>
    <s v="https://twitter.com/VW/status/651094308225847296"/>
    <s v="Volkswagen"/>
    <s v="@VW"/>
    <x v="949"/>
    <s v="2015-10-05T17:59:14.000Z"/>
    <x v="1"/>
    <x v="96"/>
    <s v="17:59:14"/>
    <x v="3"/>
    <s v=""/>
    <s v=""/>
    <n v="0"/>
    <n v="0"/>
    <n v="0"/>
    <n v="0"/>
    <s v="No engagement"/>
    <b v="0"/>
    <b v="0"/>
    <b v="1"/>
    <x v="3"/>
  </r>
  <r>
    <s v="https://twitter.com/VW/status/651094306640424960"/>
    <s v="Volkswagen"/>
    <s v="@VW"/>
    <x v="950"/>
    <s v="2015-10-05T17:59:14.000Z"/>
    <x v="1"/>
    <x v="96"/>
    <s v="17:59:14"/>
    <x v="3"/>
    <s v=""/>
    <s v=""/>
    <n v="0"/>
    <n v="0"/>
    <n v="0"/>
    <n v="0"/>
    <s v="No engagement"/>
    <b v="0"/>
    <b v="0"/>
    <b v="1"/>
    <x v="3"/>
  </r>
  <r>
    <s v="https://twitter.com/VW/status/651119750395785216"/>
    <s v="Volkswagen"/>
    <s v="@VW"/>
    <x v="951"/>
    <s v="2015-10-05T19:40:20.000Z"/>
    <x v="1"/>
    <x v="96"/>
    <s v="19:40:20"/>
    <x v="1"/>
    <s v=""/>
    <s v=""/>
    <n v="0"/>
    <n v="0"/>
    <n v="1"/>
    <n v="1"/>
    <s v="Low engagement"/>
    <b v="0"/>
    <b v="0"/>
    <b v="0"/>
    <x v="0"/>
  </r>
  <r>
    <s v="https://twitter.com/VW/status/651127581052305408"/>
    <s v="Volkswagen"/>
    <s v="@VW"/>
    <x v="952"/>
    <s v="2015-10-05T20:11:27.000Z"/>
    <x v="1"/>
    <x v="96"/>
    <s v="20:11:27"/>
    <x v="1"/>
    <s v="@predd71"/>
    <s v=""/>
    <n v="0"/>
    <n v="0"/>
    <n v="0"/>
    <n v="0"/>
    <s v="No engagement"/>
    <b v="0"/>
    <b v="0"/>
    <b v="0"/>
    <x v="0"/>
  </r>
  <r>
    <s v="https://twitter.com/VW/status/651128443141120000"/>
    <s v="Volkswagen"/>
    <s v="@VW"/>
    <x v="953"/>
    <s v="2015-10-05T20:14:52.000Z"/>
    <x v="1"/>
    <x v="96"/>
    <s v="20:14:52"/>
    <x v="1"/>
    <s v="@predd71"/>
    <s v=""/>
    <n v="0"/>
    <n v="0"/>
    <n v="1"/>
    <n v="1"/>
    <s v="Low engagement"/>
    <b v="0"/>
    <b v="0"/>
    <b v="1"/>
    <x v="3"/>
  </r>
  <r>
    <s v="https://twitter.com/VW/status/651135404444266497"/>
    <s v="Volkswagen"/>
    <s v="@VW"/>
    <x v="954"/>
    <s v="2015-10-05T20:42:32.000Z"/>
    <x v="1"/>
    <x v="96"/>
    <s v="20:42:32"/>
    <x v="1"/>
    <s v="@aantdamn"/>
    <s v=""/>
    <n v="0"/>
    <n v="1"/>
    <n v="0"/>
    <n v="1"/>
    <s v="Low engagement"/>
    <b v="0"/>
    <b v="0"/>
    <b v="0"/>
    <x v="0"/>
  </r>
  <r>
    <s v="https://twitter.com/VW/status/651137963217170432"/>
    <s v="Volkswagen"/>
    <s v="@VW"/>
    <x v="955"/>
    <s v="2015-10-05T20:52:42.000Z"/>
    <x v="1"/>
    <x v="96"/>
    <s v="20:52:42"/>
    <x v="1"/>
    <s v="@Yolys_boy"/>
    <s v=""/>
    <n v="0"/>
    <n v="0"/>
    <n v="1"/>
    <n v="1"/>
    <s v="Low engagement"/>
    <b v="0"/>
    <b v="0"/>
    <b v="1"/>
    <x v="3"/>
  </r>
  <r>
    <s v="https://twitter.com/VW/status/651380650444853248"/>
    <s v="Volkswagen"/>
    <s v="@VW"/>
    <x v="956"/>
    <s v="2015-10-06T12:57:03.000Z"/>
    <x v="1"/>
    <x v="97"/>
    <s v="12:57:03"/>
    <x v="0"/>
    <s v="@bridgesuite"/>
    <s v=""/>
    <n v="0"/>
    <n v="0"/>
    <n v="0"/>
    <n v="0"/>
    <s v="No engagement"/>
    <b v="0"/>
    <b v="0"/>
    <b v="0"/>
    <x v="0"/>
  </r>
  <r>
    <s v="https://twitter.com/VW/status/651380654559531008"/>
    <s v="Volkswagen"/>
    <s v="@VW"/>
    <x v="957"/>
    <s v="2015-10-06T12:57:04.000Z"/>
    <x v="1"/>
    <x v="97"/>
    <s v="12:57:04"/>
    <x v="0"/>
    <s v=""/>
    <s v=""/>
    <n v="0"/>
    <n v="0"/>
    <n v="0"/>
    <n v="0"/>
    <s v="No engagement"/>
    <b v="0"/>
    <b v="0"/>
    <b v="1"/>
    <x v="3"/>
  </r>
  <r>
    <s v="https://twitter.com/VW/status/651380652114219009"/>
    <s v="Volkswagen"/>
    <s v="@VW"/>
    <x v="958"/>
    <s v="2015-10-06T12:57:04.000Z"/>
    <x v="1"/>
    <x v="97"/>
    <s v="12:57:04"/>
    <x v="0"/>
    <s v="@yosukdisco"/>
    <s v=""/>
    <n v="0"/>
    <n v="0"/>
    <n v="0"/>
    <n v="0"/>
    <s v="No engagement"/>
    <b v="0"/>
    <b v="0"/>
    <b v="0"/>
    <x v="0"/>
  </r>
  <r>
    <s v="https://twitter.com/VW/status/651385993723908096"/>
    <s v="Volkswagen"/>
    <s v="@VW"/>
    <x v="959"/>
    <s v="2015-10-06T13:18:17.000Z"/>
    <x v="1"/>
    <x v="97"/>
    <s v="13:18:17"/>
    <x v="0"/>
    <s v="@Sharif_Shaalan"/>
    <s v=""/>
    <n v="0"/>
    <n v="0"/>
    <n v="0"/>
    <n v="0"/>
    <s v="No engagement"/>
    <b v="0"/>
    <b v="0"/>
    <b v="0"/>
    <x v="0"/>
  </r>
  <r>
    <s v="https://twitter.com/VW/status/651386831280340992"/>
    <s v="Volkswagen"/>
    <s v="@VW"/>
    <x v="960"/>
    <s v="2015-10-06T13:21:37.000Z"/>
    <x v="1"/>
    <x v="97"/>
    <s v="13:21:37"/>
    <x v="0"/>
    <s v="@Sharif_Shaalan"/>
    <s v=""/>
    <n v="0"/>
    <n v="1"/>
    <n v="1"/>
    <n v="2"/>
    <s v="Low engagement"/>
    <b v="0"/>
    <b v="0"/>
    <b v="0"/>
    <x v="0"/>
  </r>
  <r>
    <s v="https://twitter.com/VW/status/651409587627683840"/>
    <s v="Volkswagen"/>
    <s v="@VW"/>
    <x v="961"/>
    <s v="2015-10-06T14:52:02.000Z"/>
    <x v="1"/>
    <x v="97"/>
    <s v="14:52:02"/>
    <x v="3"/>
    <s v=""/>
    <s v=""/>
    <n v="0"/>
    <n v="0"/>
    <n v="0"/>
    <n v="0"/>
    <s v="No engagement"/>
    <b v="0"/>
    <b v="0"/>
    <b v="0"/>
    <x v="0"/>
  </r>
  <r>
    <s v="https://twitter.com/VW/status/651423309892972544"/>
    <s v="Volkswagen"/>
    <s v="@VW"/>
    <x v="962"/>
    <s v="2015-10-06T15:46:34.000Z"/>
    <x v="1"/>
    <x v="97"/>
    <s v="15:46:34"/>
    <x v="3"/>
    <s v="@madi_rena"/>
    <s v=""/>
    <n v="0"/>
    <n v="0"/>
    <n v="1"/>
    <n v="1"/>
    <s v="Low engagement"/>
    <b v="0"/>
    <b v="0"/>
    <b v="1"/>
    <x v="3"/>
  </r>
  <r>
    <s v="https://twitter.com/VW/status/651423308005568512"/>
    <s v="Volkswagen"/>
    <s v="@VW"/>
    <x v="963"/>
    <s v="2015-10-06T15:46:34.000Z"/>
    <x v="1"/>
    <x v="97"/>
    <s v="15:46:34"/>
    <x v="3"/>
    <s v="@GarronnNegronnn"/>
    <s v=""/>
    <n v="0"/>
    <n v="0"/>
    <n v="0"/>
    <n v="0"/>
    <s v="No engagement"/>
    <b v="0"/>
    <b v="0"/>
    <b v="1"/>
    <x v="3"/>
  </r>
  <r>
    <s v="https://twitter.com/VW/status/651428738026967040"/>
    <s v="Volkswagen"/>
    <s v="@VW"/>
    <x v="964"/>
    <s v="2015-10-06T16:08:08.000Z"/>
    <x v="1"/>
    <x v="97"/>
    <s v="16:08:08"/>
    <x v="3"/>
    <s v="@NessaOFarrell"/>
    <s v=""/>
    <n v="0"/>
    <n v="0"/>
    <n v="1"/>
    <n v="1"/>
    <s v="Low engagement"/>
    <b v="0"/>
    <b v="0"/>
    <b v="0"/>
    <x v="0"/>
  </r>
  <r>
    <s v="https://twitter.com/VW/status/651433172043870208"/>
    <s v="Volkswagen"/>
    <s v="@VW"/>
    <x v="965"/>
    <s v="2015-10-06T16:25:45.000Z"/>
    <x v="1"/>
    <x v="97"/>
    <s v="16:25:45"/>
    <x v="3"/>
    <s v="@NessaOFarrell"/>
    <s v=""/>
    <n v="0"/>
    <n v="1"/>
    <n v="0"/>
    <n v="1"/>
    <s v="Low engagement"/>
    <b v="0"/>
    <b v="0"/>
    <b v="1"/>
    <x v="3"/>
  </r>
  <r>
    <s v="https://twitter.com/VW/status/651458664587378688"/>
    <s v="Volkswagen"/>
    <s v="@VW"/>
    <x v="966"/>
    <s v="2015-10-06T18:07:03.000Z"/>
    <x v="1"/>
    <x v="97"/>
    <s v="18:07:03"/>
    <x v="1"/>
    <s v=""/>
    <s v=""/>
    <n v="0"/>
    <n v="0"/>
    <n v="1"/>
    <n v="1"/>
    <s v="Low engagement"/>
    <b v="0"/>
    <b v="0"/>
    <b v="0"/>
    <x v="0"/>
  </r>
  <r>
    <s v="https://twitter.com/VW/status/651465815053590528"/>
    <s v="Volkswagen"/>
    <s v="@VW"/>
    <x v="967"/>
    <s v="2015-10-06T18:35:28.000Z"/>
    <x v="1"/>
    <x v="97"/>
    <s v="18:35:28"/>
    <x v="1"/>
    <s v=""/>
    <s v=""/>
    <n v="0"/>
    <n v="0"/>
    <n v="1"/>
    <n v="1"/>
    <s v="Low engagement"/>
    <b v="0"/>
    <b v="0"/>
    <b v="0"/>
    <x v="0"/>
  </r>
  <r>
    <s v="https://twitter.com/VW/status/651468470207451137"/>
    <s v="Volkswagen"/>
    <s v="@VW"/>
    <x v="968"/>
    <s v="2015-10-06T18:46:01.000Z"/>
    <x v="1"/>
    <x v="97"/>
    <s v="18:46:01"/>
    <x v="1"/>
    <s v=""/>
    <s v=""/>
    <n v="0"/>
    <n v="0"/>
    <n v="1"/>
    <n v="1"/>
    <s v="Low engagement"/>
    <b v="0"/>
    <b v="0"/>
    <b v="1"/>
    <x v="3"/>
  </r>
  <r>
    <s v="https://twitter.com/VW/status/651494547034259456"/>
    <s v="Volkswagen"/>
    <s v="@VW"/>
    <x v="969"/>
    <s v="2015-10-06T20:29:38.000Z"/>
    <x v="1"/>
    <x v="97"/>
    <s v="20:29:38"/>
    <x v="1"/>
    <s v="@itsjustafatkid"/>
    <s v=""/>
    <n v="0"/>
    <n v="1"/>
    <n v="0"/>
    <n v="1"/>
    <s v="Low engagement"/>
    <b v="0"/>
    <b v="0"/>
    <b v="1"/>
    <x v="3"/>
  </r>
  <r>
    <s v="https://twitter.com/VW/status/651499058993868800"/>
    <s v="Volkswagen"/>
    <s v="@VW"/>
    <x v="970"/>
    <s v="2015-10-06T20:47:34.000Z"/>
    <x v="1"/>
    <x v="97"/>
    <s v="20:47:34"/>
    <x v="1"/>
    <s v="@nyonnais"/>
    <s v=""/>
    <n v="0"/>
    <n v="1"/>
    <n v="1"/>
    <n v="2"/>
    <s v="Low engagement"/>
    <b v="0"/>
    <b v="0"/>
    <b v="0"/>
    <x v="0"/>
  </r>
  <r>
    <s v="https://twitter.com/VW/status/651500801911754752"/>
    <s v="Volkswagen"/>
    <s v="@VW"/>
    <x v="971"/>
    <s v="2015-10-06T20:54:30.000Z"/>
    <x v="1"/>
    <x v="97"/>
    <s v="20:54:30"/>
    <x v="1"/>
    <s v="@nyonnais"/>
    <s v=""/>
    <n v="0"/>
    <n v="0"/>
    <n v="2"/>
    <n v="2"/>
    <s v="Low engagement"/>
    <b v="0"/>
    <b v="0"/>
    <b v="1"/>
    <x v="3"/>
  </r>
  <r>
    <s v="https://twitter.com/VW/status/651504322874740736"/>
    <s v="Volkswagen"/>
    <s v="@VW"/>
    <x v="972"/>
    <s v="2015-10-06T21:08:29.000Z"/>
    <x v="1"/>
    <x v="97"/>
    <s v="21:08:29"/>
    <x v="1"/>
    <s v="@sworksbill"/>
    <s v=""/>
    <n v="0"/>
    <n v="0"/>
    <n v="1"/>
    <n v="1"/>
    <s v="Low engagement"/>
    <b v="0"/>
    <b v="0"/>
    <b v="0"/>
    <x v="0"/>
  </r>
  <r>
    <s v="https://twitter.com/VW/status/651505177610944512"/>
    <s v="Volkswagen"/>
    <s v="@VW"/>
    <x v="973"/>
    <s v="2015-10-06T21:11:53.000Z"/>
    <x v="1"/>
    <x v="97"/>
    <s v="21:11:53"/>
    <x v="1"/>
    <s v="@sworksbill"/>
    <s v=""/>
    <n v="0"/>
    <n v="0"/>
    <n v="0"/>
    <n v="0"/>
    <s v="No engagement"/>
    <b v="0"/>
    <b v="0"/>
    <b v="0"/>
    <x v="0"/>
  </r>
  <r>
    <s v="https://twitter.com/VW/status/651772640919601152"/>
    <s v="Volkswagen"/>
    <s v="@VW"/>
    <x v="974"/>
    <s v="2015-10-07T14:54:41.000Z"/>
    <x v="1"/>
    <x v="98"/>
    <s v="14:54:41"/>
    <x v="3"/>
    <s v="@_IGetTrippy_"/>
    <s v=""/>
    <n v="0"/>
    <n v="1"/>
    <n v="1"/>
    <n v="2"/>
    <s v="Low engagement"/>
    <b v="0"/>
    <b v="0"/>
    <b v="0"/>
    <x v="0"/>
  </r>
  <r>
    <s v="https://twitter.com/VW/status/651778056630079493"/>
    <s v="Volkswagen"/>
    <s v="@VW"/>
    <x v="975"/>
    <s v="2015-10-07T15:16:12.000Z"/>
    <x v="1"/>
    <x v="98"/>
    <s v="15:16:12"/>
    <x v="3"/>
    <s v="@wholeJakey"/>
    <s v=""/>
    <n v="1"/>
    <n v="1"/>
    <n v="2"/>
    <n v="4"/>
    <s v="Low engagement"/>
    <b v="0"/>
    <b v="0"/>
    <b v="0"/>
    <x v="0"/>
  </r>
  <r>
    <s v="https://twitter.com/VW/status/651778053824118784"/>
    <s v="Volkswagen"/>
    <s v="@VW"/>
    <x v="976"/>
    <s v="2015-10-07T15:16:12.000Z"/>
    <x v="1"/>
    <x v="98"/>
    <s v="15:16:12"/>
    <x v="3"/>
    <s v="@_IGetTrippy_"/>
    <s v=""/>
    <n v="0"/>
    <n v="0"/>
    <n v="2"/>
    <n v="2"/>
    <s v="Low engagement"/>
    <b v="0"/>
    <b v="0"/>
    <b v="1"/>
    <x v="3"/>
  </r>
  <r>
    <s v="https://twitter.com/VW/status/651785076666077184"/>
    <s v="Volkswagen"/>
    <s v="@VW"/>
    <x v="977"/>
    <s v="2015-10-07T15:44:06.000Z"/>
    <x v="1"/>
    <x v="98"/>
    <s v="15:44:06"/>
    <x v="3"/>
    <s v="@whatseriously"/>
    <s v=""/>
    <n v="0"/>
    <n v="0"/>
    <n v="2"/>
    <n v="2"/>
    <s v="Low engagement"/>
    <b v="0"/>
    <b v="0"/>
    <b v="0"/>
    <x v="0"/>
  </r>
  <r>
    <s v="https://twitter.com/VW/status/651785079673348100"/>
    <s v="Volkswagen"/>
    <s v="@VW"/>
    <x v="978"/>
    <s v="2015-10-07T15:44:07.000Z"/>
    <x v="1"/>
    <x v="98"/>
    <s v="15:44:07"/>
    <x v="3"/>
    <s v="@whatseriously"/>
    <s v=""/>
    <n v="0"/>
    <n v="0"/>
    <n v="2"/>
    <n v="2"/>
    <s v="Low engagement"/>
    <b v="0"/>
    <b v="0"/>
    <b v="1"/>
    <x v="3"/>
  </r>
  <r>
    <s v="https://twitter.com/VW/status/651801488163930112"/>
    <s v="Volkswagen"/>
    <s v="@VW"/>
    <x v="979"/>
    <s v="2015-10-07T16:49:19.000Z"/>
    <x v="1"/>
    <x v="98"/>
    <s v="16:49:19"/>
    <x v="3"/>
    <s v="@DopaliciousDar"/>
    <s v=""/>
    <n v="1"/>
    <n v="0"/>
    <n v="2"/>
    <n v="3"/>
    <s v="Low engagement"/>
    <b v="0"/>
    <b v="0"/>
    <b v="0"/>
    <x v="0"/>
  </r>
  <r>
    <s v="https://twitter.com/VW/status/651803245883428864"/>
    <s v="Volkswagen"/>
    <s v="@VW"/>
    <x v="980"/>
    <s v="2015-10-07T16:56:18.000Z"/>
    <x v="1"/>
    <x v="98"/>
    <s v="16:56:18"/>
    <x v="3"/>
    <s v="@dba_baker"/>
    <s v=""/>
    <n v="0"/>
    <n v="2"/>
    <n v="1"/>
    <n v="3"/>
    <s v="Low engagement"/>
    <b v="0"/>
    <b v="0"/>
    <b v="0"/>
    <x v="0"/>
  </r>
  <r>
    <s v="https://twitter.com/VW/status/652140972080402435"/>
    <s v="Volkswagen"/>
    <s v="@VW"/>
    <x v="981"/>
    <s v="2015-10-08T15:18:18.000Z"/>
    <x v="1"/>
    <x v="99"/>
    <s v="15:18:18"/>
    <x v="3"/>
    <s v=""/>
    <s v=""/>
    <n v="0"/>
    <n v="0"/>
    <n v="1"/>
    <n v="1"/>
    <s v="Low engagement"/>
    <b v="0"/>
    <b v="0"/>
    <b v="0"/>
    <x v="0"/>
  </r>
  <r>
    <s v="https://twitter.com/VW/status/652152280095952898"/>
    <s v="Volkswagen"/>
    <s v="@VW"/>
    <x v="982"/>
    <s v="2015-10-08T16:03:14.000Z"/>
    <x v="1"/>
    <x v="99"/>
    <s v="16:03:14"/>
    <x v="3"/>
    <s v="@JKREW"/>
    <s v=""/>
    <n v="2"/>
    <n v="0"/>
    <n v="1"/>
    <n v="3"/>
    <s v="Low engagement"/>
    <b v="0"/>
    <b v="0"/>
    <b v="0"/>
    <x v="0"/>
  </r>
  <r>
    <s v="https://twitter.com/VW/status/652200530094133248"/>
    <s v="Volkswagen"/>
    <s v="@VW"/>
    <x v="983"/>
    <s v="2015-10-08T19:14:58.000Z"/>
    <x v="1"/>
    <x v="99"/>
    <s v="19:14:58"/>
    <x v="1"/>
    <s v=""/>
    <s v=""/>
    <n v="0"/>
    <n v="0"/>
    <n v="1"/>
    <n v="1"/>
    <s v="Low engagement"/>
    <b v="0"/>
    <b v="0"/>
    <b v="1"/>
    <x v="3"/>
  </r>
  <r>
    <s v="https://twitter.com/VW/status/652227644231053312"/>
    <s v="Volkswagen"/>
    <s v="@VW"/>
    <x v="984"/>
    <s v="2015-10-08T21:02:42.000Z"/>
    <x v="1"/>
    <x v="99"/>
    <s v="21:02:42"/>
    <x v="1"/>
    <s v="@nickbrownokc"/>
    <s v=""/>
    <n v="0"/>
    <n v="0"/>
    <n v="1"/>
    <n v="1"/>
    <s v="Low engagement"/>
    <b v="0"/>
    <b v="0"/>
    <b v="0"/>
    <x v="0"/>
  </r>
  <r>
    <s v="https://twitter.com/VW/status/652232787538239488"/>
    <s v="Volkswagen"/>
    <s v="@VW"/>
    <x v="985"/>
    <s v="2015-10-08T21:23:09.000Z"/>
    <x v="1"/>
    <x v="99"/>
    <s v="21:23:09"/>
    <x v="1"/>
    <s v="@literaticat"/>
    <s v=""/>
    <n v="0"/>
    <n v="1"/>
    <n v="0"/>
    <n v="1"/>
    <s v="Low engagement"/>
    <b v="0"/>
    <b v="0"/>
    <b v="0"/>
    <x v="0"/>
  </r>
  <r>
    <s v="https://twitter.com/VW/status/652283499290845184"/>
    <s v="Volkswagen"/>
    <s v="@VW"/>
    <x v="986"/>
    <s v="2015-10-09T00:44:39.000Z"/>
    <x v="1"/>
    <x v="100"/>
    <s v="00:44:39"/>
    <x v="4"/>
    <s v="@PBear_8"/>
    <s v=""/>
    <n v="0"/>
    <n v="1"/>
    <n v="1"/>
    <n v="2"/>
    <s v="Low engagement"/>
    <b v="0"/>
    <b v="0"/>
    <b v="0"/>
    <x v="0"/>
  </r>
  <r>
    <s v="https://twitter.com/VW/status/652284362143043584"/>
    <s v="Volkswagen"/>
    <s v="@VW"/>
    <x v="987"/>
    <s v="2015-10-09T00:48:05.000Z"/>
    <x v="1"/>
    <x v="100"/>
    <s v="00:48:05"/>
    <x v="4"/>
    <s v="@markdeecee"/>
    <s v=""/>
    <n v="0"/>
    <n v="1"/>
    <n v="1"/>
    <n v="2"/>
    <s v="Low engagement"/>
    <b v="0"/>
    <b v="0"/>
    <b v="1"/>
    <x v="3"/>
  </r>
  <r>
    <s v="https://twitter.com/VW/status/652506689430622208"/>
    <s v="Volkswagen"/>
    <s v="@VW"/>
    <x v="988"/>
    <s v="2015-10-09T15:31:32.000Z"/>
    <x v="1"/>
    <x v="100"/>
    <s v="15:31:32"/>
    <x v="3"/>
    <s v="@sirdinho702"/>
    <s v=""/>
    <n v="0"/>
    <n v="2"/>
    <n v="1"/>
    <n v="3"/>
    <s v="Low engagement"/>
    <b v="0"/>
    <b v="0"/>
    <b v="0"/>
    <x v="0"/>
  </r>
  <r>
    <s v="https://twitter.com/VW/status/652528292575096832"/>
    <s v="Volkswagen"/>
    <s v="@VW"/>
    <x v="989"/>
    <s v="2015-10-09T16:57:22.000Z"/>
    <x v="1"/>
    <x v="100"/>
    <s v="16:57:22"/>
    <x v="3"/>
    <s v="@Queenrosygb"/>
    <s v=""/>
    <n v="0"/>
    <n v="0"/>
    <n v="1"/>
    <n v="1"/>
    <s v="Low engagement"/>
    <b v="0"/>
    <b v="0"/>
    <b v="0"/>
    <x v="0"/>
  </r>
  <r>
    <s v="https://twitter.com/VW/status/652528294693212160"/>
    <s v="Volkswagen"/>
    <s v="@VW"/>
    <x v="990"/>
    <s v="2015-10-09T16:57:23.000Z"/>
    <x v="1"/>
    <x v="100"/>
    <s v="16:57:23"/>
    <x v="3"/>
    <s v="@TheLostChinese"/>
    <s v=""/>
    <n v="0"/>
    <n v="0"/>
    <n v="1"/>
    <n v="1"/>
    <s v="Low engagement"/>
    <b v="0"/>
    <b v="0"/>
    <b v="1"/>
    <x v="3"/>
  </r>
  <r>
    <s v="https://twitter.com/VW/status/652560635905966080"/>
    <s v="Volkswagen"/>
    <s v="@VW"/>
    <x v="991"/>
    <s v="2015-10-09T19:05:54.000Z"/>
    <x v="1"/>
    <x v="100"/>
    <s v="19:05:54"/>
    <x v="1"/>
    <s v=""/>
    <s v=""/>
    <n v="0"/>
    <n v="1"/>
    <n v="1"/>
    <n v="2"/>
    <s v="Low engagement"/>
    <b v="0"/>
    <b v="0"/>
    <b v="0"/>
    <x v="0"/>
  </r>
  <r>
    <s v="https://twitter.com/VW/status/652595622550241284"/>
    <s v="Volkswagen"/>
    <s v="@VW"/>
    <x v="992"/>
    <s v="2015-10-09T21:24:55.000Z"/>
    <x v="1"/>
    <x v="100"/>
    <s v="21:24:55"/>
    <x v="1"/>
    <s v=""/>
    <s v=""/>
    <n v="0"/>
    <n v="0"/>
    <n v="1"/>
    <n v="1"/>
    <s v="Low engagement"/>
    <b v="0"/>
    <b v="0"/>
    <b v="0"/>
    <x v="0"/>
  </r>
  <r>
    <s v="https://twitter.com/VW/status/652595620885037056"/>
    <s v="Volkswagen"/>
    <s v="@VW"/>
    <x v="993"/>
    <s v="2015-10-09T21:24:55.000Z"/>
    <x v="1"/>
    <x v="100"/>
    <s v="21:24:55"/>
    <x v="1"/>
    <s v=""/>
    <s v=""/>
    <n v="0"/>
    <n v="0"/>
    <n v="0"/>
    <n v="0"/>
    <s v="No engagement"/>
    <b v="0"/>
    <b v="0"/>
    <b v="0"/>
    <x v="0"/>
  </r>
  <r>
    <s v="https://twitter.com/VW/status/652599130741600256"/>
    <s v="Volkswagen"/>
    <s v="@VW"/>
    <x v="994"/>
    <s v="2015-10-09T21:38:52.000Z"/>
    <x v="1"/>
    <x v="100"/>
    <s v="21:38:52"/>
    <x v="1"/>
    <s v="@Jasmineismajor"/>
    <s v=""/>
    <n v="0"/>
    <n v="1"/>
    <n v="2"/>
    <n v="3"/>
    <s v="Low engagement"/>
    <b v="0"/>
    <b v="0"/>
    <b v="0"/>
    <x v="0"/>
  </r>
  <r>
    <s v="https://twitter.com/VW/status/653587772272316416"/>
    <s v="Volkswagen"/>
    <s v="@VW"/>
    <x v="995"/>
    <s v="2015-10-12T15:07:22.000Z"/>
    <x v="1"/>
    <x v="101"/>
    <s v="15:07:22"/>
    <x v="3"/>
    <s v="@gennaromusic"/>
    <s v=""/>
    <n v="0"/>
    <n v="1"/>
    <n v="0"/>
    <n v="1"/>
    <s v="Low engagement"/>
    <b v="0"/>
    <b v="0"/>
    <b v="0"/>
    <x v="0"/>
  </r>
  <r>
    <s v="https://twitter.com/VW/status/653587770422591488"/>
    <s v="Volkswagen"/>
    <s v="@VW"/>
    <x v="996"/>
    <s v="2015-10-12T15:07:22.000Z"/>
    <x v="1"/>
    <x v="101"/>
    <s v="15:07:22"/>
    <x v="3"/>
    <s v="@The_KylePenny"/>
    <s v=""/>
    <n v="0"/>
    <n v="1"/>
    <n v="0"/>
    <n v="1"/>
    <s v="Low engagement"/>
    <b v="0"/>
    <b v="0"/>
    <b v="0"/>
    <x v="0"/>
  </r>
  <r>
    <s v="https://twitter.com/VW/status/653587775749361664"/>
    <s v="Volkswagen"/>
    <s v="@VW"/>
    <x v="997"/>
    <s v="2015-10-12T15:07:23.000Z"/>
    <x v="1"/>
    <x v="101"/>
    <s v="15:07:23"/>
    <x v="3"/>
    <s v="@meaghanc98"/>
    <s v=""/>
    <n v="0"/>
    <n v="0"/>
    <n v="0"/>
    <n v="0"/>
    <s v="No engagement"/>
    <b v="0"/>
    <b v="0"/>
    <b v="1"/>
    <x v="3"/>
  </r>
  <r>
    <s v="https://twitter.com/VW/status/653587773908058113"/>
    <s v="Volkswagen"/>
    <s v="@VW"/>
    <x v="998"/>
    <s v="2015-10-12T15:07:23.000Z"/>
    <x v="1"/>
    <x v="101"/>
    <s v="15:07:23"/>
    <x v="3"/>
    <s v="@gennaromusic"/>
    <s v=""/>
    <n v="0"/>
    <n v="2"/>
    <n v="0"/>
    <n v="2"/>
    <s v="Low engagement"/>
    <b v="0"/>
    <b v="0"/>
    <b v="0"/>
    <x v="0"/>
  </r>
  <r>
    <s v="https://twitter.com/VW/status/653593131120652290"/>
    <s v="Volkswagen"/>
    <s v="@VW"/>
    <x v="999"/>
    <s v="2015-10-12T15:28:40.000Z"/>
    <x v="1"/>
    <x v="101"/>
    <s v="15:28:40"/>
    <x v="3"/>
    <s v="@drewpatty"/>
    <s v=""/>
    <n v="0"/>
    <n v="0"/>
    <n v="0"/>
    <n v="0"/>
    <s v="No engagement"/>
    <b v="0"/>
    <b v="0"/>
    <b v="0"/>
    <x v="0"/>
  </r>
  <r>
    <s v="https://twitter.com/VW/status/653596738263973888"/>
    <s v="Volkswagen"/>
    <s v="@VW"/>
    <x v="1000"/>
    <s v="2015-10-12T15:43:00.000Z"/>
    <x v="1"/>
    <x v="101"/>
    <s v="15:43:00"/>
    <x v="3"/>
    <s v="@_lifeaslizz"/>
    <s v=""/>
    <n v="0"/>
    <n v="0"/>
    <n v="0"/>
    <n v="0"/>
    <s v="No engagement"/>
    <b v="0"/>
    <b v="0"/>
    <b v="1"/>
    <x v="3"/>
  </r>
  <r>
    <s v="https://twitter.com/VW/status/653601875393011712"/>
    <s v="Volkswagen"/>
    <s v="@VW"/>
    <x v="1001"/>
    <s v="2015-10-12T16:03:25.000Z"/>
    <x v="1"/>
    <x v="101"/>
    <s v="16:03:25"/>
    <x v="3"/>
    <s v="@HollowayHorace"/>
    <s v=""/>
    <n v="1"/>
    <n v="0"/>
    <n v="0"/>
    <n v="1"/>
    <s v="Low engagement"/>
    <b v="0"/>
    <b v="0"/>
    <b v="1"/>
    <x v="3"/>
  </r>
  <r>
    <s v="https://twitter.com/VW/status/653603619124543489"/>
    <s v="Volkswagen"/>
    <s v="@VW"/>
    <x v="1002"/>
    <s v="2015-10-12T16:10:20.000Z"/>
    <x v="1"/>
    <x v="101"/>
    <s v="16:10:20"/>
    <x v="3"/>
    <s v="@SteveFrancis9"/>
    <s v=""/>
    <n v="1"/>
    <n v="1"/>
    <n v="0"/>
    <n v="2"/>
    <s v="Low engagement"/>
    <b v="0"/>
    <b v="0"/>
    <b v="0"/>
    <x v="0"/>
  </r>
  <r>
    <s v="https://twitter.com/VW/status/653621382358503424"/>
    <s v="Volkswagen"/>
    <s v="@VW"/>
    <x v="1003"/>
    <s v="2015-10-12T17:20:55.000Z"/>
    <x v="1"/>
    <x v="101"/>
    <s v="17:20:55"/>
    <x v="3"/>
    <s v="@etemizel"/>
    <s v=""/>
    <n v="0"/>
    <n v="0"/>
    <n v="0"/>
    <n v="0"/>
    <s v="No engagement"/>
    <b v="0"/>
    <b v="0"/>
    <b v="0"/>
    <x v="0"/>
  </r>
  <r>
    <s v="https://twitter.com/VW/status/653621384292110337"/>
    <s v="Volkswagen"/>
    <s v="@VW"/>
    <x v="1004"/>
    <s v="2015-10-12T17:20:56.000Z"/>
    <x v="1"/>
    <x v="101"/>
    <s v="17:20:56"/>
    <x v="3"/>
    <s v="@etemizel"/>
    <s v=""/>
    <n v="0"/>
    <n v="1"/>
    <n v="0"/>
    <n v="1"/>
    <s v="Low engagement"/>
    <b v="0"/>
    <b v="0"/>
    <b v="1"/>
    <x v="3"/>
  </r>
  <r>
    <s v="https://twitter.com/VW/status/653628361139351552"/>
    <s v="Volkswagen"/>
    <s v="@VW"/>
    <x v="1005"/>
    <s v="2015-10-12T17:48:39.000Z"/>
    <x v="1"/>
    <x v="101"/>
    <s v="17:48:39"/>
    <x v="3"/>
    <s v=""/>
    <s v=""/>
    <n v="0"/>
    <n v="0"/>
    <n v="0"/>
    <n v="0"/>
    <s v="No engagement"/>
    <b v="0"/>
    <b v="0"/>
    <b v="0"/>
    <x v="0"/>
  </r>
  <r>
    <s v="https://twitter.com/VW/status/653628365828550656"/>
    <s v="Volkswagen"/>
    <s v="@VW"/>
    <x v="1006"/>
    <s v="2015-10-12T17:48:40.000Z"/>
    <x v="1"/>
    <x v="101"/>
    <s v="17:48:40"/>
    <x v="3"/>
    <s v="@thesoifer"/>
    <s v=""/>
    <n v="1"/>
    <n v="1"/>
    <n v="2"/>
    <n v="4"/>
    <s v="Low engagement"/>
    <b v="0"/>
    <b v="0"/>
    <b v="0"/>
    <x v="0"/>
  </r>
  <r>
    <s v="https://twitter.com/VW/status/653628364687671296"/>
    <s v="Volkswagen"/>
    <s v="@VW"/>
    <x v="1007"/>
    <s v="2015-10-12T17:48:40.000Z"/>
    <x v="1"/>
    <x v="101"/>
    <s v="17:48:40"/>
    <x v="3"/>
    <s v="@jrichard333"/>
    <s v=""/>
    <n v="0"/>
    <n v="1"/>
    <n v="1"/>
    <n v="2"/>
    <s v="Low engagement"/>
    <b v="0"/>
    <b v="0"/>
    <b v="0"/>
    <x v="0"/>
  </r>
  <r>
    <s v="https://twitter.com/VW/status/653628362871541761"/>
    <s v="Volkswagen"/>
    <s v="@VW"/>
    <x v="1008"/>
    <s v="2015-10-12T17:48:40.000Z"/>
    <x v="1"/>
    <x v="101"/>
    <s v="17:48:40"/>
    <x v="3"/>
    <s v="@jrichard333"/>
    <s v=""/>
    <n v="0"/>
    <n v="1"/>
    <n v="1"/>
    <n v="2"/>
    <s v="Low engagement"/>
    <b v="0"/>
    <b v="0"/>
    <b v="0"/>
    <x v="0"/>
  </r>
  <r>
    <s v="https://twitter.com/VW/status/653656603636305920"/>
    <s v="Volkswagen"/>
    <s v="@VW"/>
    <x v="1009"/>
    <s v="2015-10-12T19:40:53.000Z"/>
    <x v="1"/>
    <x v="101"/>
    <s v="19:40:53"/>
    <x v="1"/>
    <s v="@emars72"/>
    <s v=""/>
    <n v="0"/>
    <n v="1"/>
    <n v="1"/>
    <n v="2"/>
    <s v="Low engagement"/>
    <b v="0"/>
    <b v="0"/>
    <b v="0"/>
    <x v="0"/>
  </r>
  <r>
    <s v="https://twitter.com/VW/status/653941099006791680"/>
    <s v="Volkswagen"/>
    <s v="@VW"/>
    <x v="1010"/>
    <s v="2015-10-13T14:31:22.000Z"/>
    <x v="1"/>
    <x v="102"/>
    <s v="14:31:22"/>
    <x v="3"/>
    <s v="@RichesLP"/>
    <s v=""/>
    <n v="0"/>
    <n v="0"/>
    <n v="0"/>
    <n v="0"/>
    <s v="No engagement"/>
    <b v="0"/>
    <b v="0"/>
    <b v="0"/>
    <x v="0"/>
  </r>
  <r>
    <s v="https://twitter.com/VW/status/653943726763446272"/>
    <s v="Volkswagen"/>
    <s v="@VW"/>
    <x v="1011"/>
    <s v="2015-10-13T14:41:48.000Z"/>
    <x v="1"/>
    <x v="102"/>
    <s v="14:41:48"/>
    <x v="3"/>
    <s v="@AlexaTC"/>
    <s v=""/>
    <n v="0"/>
    <n v="2"/>
    <n v="0"/>
    <n v="2"/>
    <s v="Low engagement"/>
    <b v="0"/>
    <b v="0"/>
    <b v="0"/>
    <x v="0"/>
  </r>
  <r>
    <s v="https://twitter.com/VW/status/653943725094080512"/>
    <s v="Volkswagen"/>
    <s v="@VW"/>
    <x v="1012"/>
    <s v="2015-10-13T14:41:48.000Z"/>
    <x v="1"/>
    <x v="102"/>
    <s v="14:41:48"/>
    <x v="3"/>
    <s v="@AlexaTC"/>
    <s v=""/>
    <n v="1"/>
    <n v="0"/>
    <n v="0"/>
    <n v="1"/>
    <s v="Low engagement"/>
    <b v="0"/>
    <b v="0"/>
    <b v="0"/>
    <x v="0"/>
  </r>
  <r>
    <s v="https://twitter.com/VW/status/653960147715297281"/>
    <s v="Volkswagen"/>
    <s v="@VW"/>
    <x v="1013"/>
    <s v="2015-10-13T15:47:03.000Z"/>
    <x v="1"/>
    <x v="102"/>
    <s v="15:47:03"/>
    <x v="3"/>
    <s v="@chadhartsays"/>
    <s v=""/>
    <n v="2"/>
    <n v="0"/>
    <n v="1"/>
    <n v="3"/>
    <s v="Low engagement"/>
    <b v="0"/>
    <b v="0"/>
    <b v="0"/>
    <x v="0"/>
  </r>
  <r>
    <s v="https://twitter.com/VW/status/653977568035508224"/>
    <s v="Volkswagen"/>
    <s v="@VW"/>
    <x v="1014"/>
    <s v="2015-10-13T16:56:17.000Z"/>
    <x v="1"/>
    <x v="102"/>
    <s v="16:56:17"/>
    <x v="3"/>
    <s v=""/>
    <s v=""/>
    <n v="0"/>
    <n v="0"/>
    <n v="0"/>
    <n v="0"/>
    <s v="No engagement"/>
    <b v="0"/>
    <b v="0"/>
    <b v="0"/>
    <x v="0"/>
  </r>
  <r>
    <s v="https://twitter.com/VW/status/654006108177063936"/>
    <s v="Volkswagen"/>
    <s v="@VW"/>
    <x v="1015"/>
    <s v="2015-10-13T18:49:41.000Z"/>
    <x v="1"/>
    <x v="102"/>
    <s v="18:49:41"/>
    <x v="1"/>
    <s v="@DanielMallinder"/>
    <s v=""/>
    <n v="0"/>
    <n v="0"/>
    <n v="0"/>
    <n v="0"/>
    <s v="No engagement"/>
    <b v="0"/>
    <b v="0"/>
    <b v="0"/>
    <x v="0"/>
  </r>
  <r>
    <s v="https://twitter.com/VW/status/654008700655370240"/>
    <s v="Volkswagen"/>
    <s v="@VW"/>
    <x v="1016"/>
    <s v="2015-10-13T18:59:59.000Z"/>
    <x v="1"/>
    <x v="102"/>
    <s v="18:59:59"/>
    <x v="1"/>
    <s v="@M_GutschmidtCLE"/>
    <s v=""/>
    <n v="0"/>
    <n v="0"/>
    <n v="0"/>
    <n v="0"/>
    <s v="No engagement"/>
    <b v="0"/>
    <b v="0"/>
    <b v="0"/>
    <x v="0"/>
  </r>
  <r>
    <s v="https://twitter.com/VW/status/654008702437953536"/>
    <s v="Volkswagen"/>
    <s v="@VW"/>
    <x v="1017"/>
    <s v="2015-10-13T19:00:00.000Z"/>
    <x v="1"/>
    <x v="102"/>
    <s v="19:00:00"/>
    <x v="1"/>
    <s v="@M_GutschmidtCLE"/>
    <s v=""/>
    <n v="0"/>
    <n v="1"/>
    <n v="0"/>
    <n v="1"/>
    <s v="Low engagement"/>
    <b v="0"/>
    <b v="0"/>
    <b v="0"/>
    <x v="0"/>
  </r>
  <r>
    <s v="https://twitter.com/VW/status/654011304076709888"/>
    <s v="Volkswagen"/>
    <s v="@VW"/>
    <x v="1018"/>
    <s v="2015-10-13T19:10:20.000Z"/>
    <x v="1"/>
    <x v="102"/>
    <s v="19:10:20"/>
    <x v="1"/>
    <s v="@martinchavez331"/>
    <s v=""/>
    <n v="0"/>
    <n v="0"/>
    <n v="0"/>
    <n v="0"/>
    <s v="No engagement"/>
    <b v="0"/>
    <b v="0"/>
    <b v="0"/>
    <x v="0"/>
  </r>
  <r>
    <s v="https://twitter.com/VW/status/654021774087077888"/>
    <s v="Volkswagen"/>
    <s v="@VW"/>
    <x v="1019"/>
    <s v="2015-10-13T19:51:56.000Z"/>
    <x v="1"/>
    <x v="102"/>
    <s v="19:51:56"/>
    <x v="1"/>
    <s v="@Hayes_BL"/>
    <s v=""/>
    <n v="0"/>
    <n v="0"/>
    <n v="1"/>
    <n v="1"/>
    <s v="Low engagement"/>
    <b v="0"/>
    <b v="0"/>
    <b v="0"/>
    <x v="0"/>
  </r>
  <r>
    <s v="https://twitter.com/VW/status/654021776339398656"/>
    <s v="Volkswagen"/>
    <s v="@VW"/>
    <x v="1020"/>
    <s v="2015-10-13T19:51:57.000Z"/>
    <x v="1"/>
    <x v="102"/>
    <s v="19:51:57"/>
    <x v="1"/>
    <s v=""/>
    <s v=""/>
    <n v="0"/>
    <n v="0"/>
    <n v="1"/>
    <n v="1"/>
    <s v="Low engagement"/>
    <b v="0"/>
    <b v="0"/>
    <b v="0"/>
    <x v="0"/>
  </r>
  <r>
    <s v="https://twitter.com/VW/status/654039939286302720"/>
    <s v="Volkswagen"/>
    <s v="@VW"/>
    <x v="1021"/>
    <s v="2015-10-13T21:04:07.000Z"/>
    <x v="1"/>
    <x v="102"/>
    <s v="21:04:07"/>
    <x v="1"/>
    <s v="@AlexaTC"/>
    <s v=""/>
    <n v="0"/>
    <n v="1"/>
    <n v="1"/>
    <n v="2"/>
    <s v="Low engagement"/>
    <b v="0"/>
    <b v="0"/>
    <b v="0"/>
    <x v="0"/>
  </r>
  <r>
    <s v="https://twitter.com/VW/status/654052076247355392"/>
    <s v="Volkswagen"/>
    <s v="@VW"/>
    <x v="1022"/>
    <s v="2015-10-13T21:52:21.000Z"/>
    <x v="1"/>
    <x v="102"/>
    <s v="21:52:21"/>
    <x v="1"/>
    <s v="@j_wearing"/>
    <s v=""/>
    <n v="0"/>
    <n v="0"/>
    <n v="1"/>
    <n v="1"/>
    <s v="Low engagement"/>
    <b v="0"/>
    <b v="0"/>
    <b v="1"/>
    <x v="3"/>
  </r>
  <r>
    <s v="https://twitter.com/VW/status/654395059056476160"/>
    <s v="Volkswagen"/>
    <s v="@VW"/>
    <x v="1023"/>
    <s v="2015-10-14T20:35:14.000Z"/>
    <x v="1"/>
    <x v="103"/>
    <s v="20:35:14"/>
    <x v="1"/>
    <s v=""/>
    <s v=""/>
    <n v="0"/>
    <n v="0"/>
    <n v="1"/>
    <n v="1"/>
    <s v="Low engagement"/>
    <b v="0"/>
    <b v="0"/>
    <b v="0"/>
    <x v="0"/>
  </r>
  <r>
    <s v="https://twitter.com/VW/status/654395060562190336"/>
    <s v="Volkswagen"/>
    <s v="@VW"/>
    <x v="1024"/>
    <s v="2015-10-14T20:35:15.000Z"/>
    <x v="1"/>
    <x v="103"/>
    <s v="20:35:15"/>
    <x v="1"/>
    <s v=""/>
    <s v=""/>
    <n v="0"/>
    <n v="0"/>
    <n v="1"/>
    <n v="1"/>
    <s v="Low engagement"/>
    <b v="0"/>
    <b v="0"/>
    <b v="0"/>
    <x v="0"/>
  </r>
  <r>
    <s v="https://twitter.com/VW/status/654411675638960128"/>
    <s v="Volkswagen"/>
    <s v="@VW"/>
    <x v="1025"/>
    <s v="2015-10-14T21:41:16.000Z"/>
    <x v="1"/>
    <x v="103"/>
    <s v="21:41:16"/>
    <x v="1"/>
    <s v="@montanabohemian"/>
    <s v=""/>
    <n v="1"/>
    <n v="1"/>
    <n v="1"/>
    <n v="3"/>
    <s v="Low engagement"/>
    <b v="0"/>
    <b v="0"/>
    <b v="0"/>
    <x v="0"/>
  </r>
  <r>
    <s v="https://twitter.com/VW/status/654413485770608640"/>
    <s v="Volkswagen"/>
    <s v="@VW"/>
    <x v="1026"/>
    <s v="2015-10-14T21:48:28.000Z"/>
    <x v="1"/>
    <x v="103"/>
    <s v="21:48:28"/>
    <x v="1"/>
    <s v="@M_GutschmidtCLE"/>
    <s v=""/>
    <n v="0"/>
    <n v="0"/>
    <n v="1"/>
    <n v="1"/>
    <s v="Low engagement"/>
    <b v="0"/>
    <b v="0"/>
    <b v="0"/>
    <x v="0"/>
  </r>
  <r>
    <s v="https://twitter.com/VW/status/654687822863925248"/>
    <s v="Volkswagen"/>
    <s v="@VW"/>
    <x v="1027"/>
    <s v="2015-10-15T15:58:35.000Z"/>
    <x v="1"/>
    <x v="104"/>
    <s v="15:58:35"/>
    <x v="3"/>
    <s v="@LL_Kane"/>
    <s v=""/>
    <n v="0"/>
    <n v="1"/>
    <n v="0"/>
    <n v="1"/>
    <s v="Low engagement"/>
    <b v="0"/>
    <b v="0"/>
    <b v="0"/>
    <x v="0"/>
  </r>
  <r>
    <s v="https://twitter.com/VW/status/654712249437655040"/>
    <s v="Volkswagen"/>
    <s v="@VW"/>
    <x v="1028"/>
    <s v="2015-10-15T17:35:38.000Z"/>
    <x v="1"/>
    <x v="104"/>
    <s v="17:35:38"/>
    <x v="3"/>
    <s v=""/>
    <s v=""/>
    <n v="0"/>
    <n v="0"/>
    <n v="0"/>
    <n v="0"/>
    <s v="No engagement"/>
    <b v="0"/>
    <b v="0"/>
    <b v="0"/>
    <x v="0"/>
  </r>
  <r>
    <s v="https://twitter.com/VW/status/654712252470194176"/>
    <s v="Volkswagen"/>
    <s v="@VW"/>
    <x v="1029"/>
    <s v="2015-10-15T17:35:39.000Z"/>
    <x v="1"/>
    <x v="104"/>
    <s v="17:35:39"/>
    <x v="3"/>
    <s v=""/>
    <s v=""/>
    <n v="0"/>
    <n v="0"/>
    <n v="0"/>
    <n v="0"/>
    <s v="No engagement"/>
    <b v="0"/>
    <b v="0"/>
    <b v="1"/>
    <x v="3"/>
  </r>
  <r>
    <s v="https://twitter.com/VW/status/654714024819490817"/>
    <s v="Volkswagen"/>
    <s v="@VW"/>
    <x v="1030"/>
    <s v="2015-10-15T17:42:42.000Z"/>
    <x v="1"/>
    <x v="104"/>
    <s v="17:42:42"/>
    <x v="3"/>
    <s v="@AngeliqueKenney"/>
    <s v=""/>
    <n v="1"/>
    <n v="1"/>
    <n v="0"/>
    <n v="2"/>
    <s v="Low engagement"/>
    <b v="0"/>
    <b v="0"/>
    <b v="0"/>
    <x v="0"/>
  </r>
  <r>
    <s v="https://twitter.com/VW/status/654738482959532032"/>
    <s v="Volkswagen"/>
    <s v="@VW"/>
    <x v="1031"/>
    <s v="2015-10-15T19:19:53.000Z"/>
    <x v="1"/>
    <x v="104"/>
    <s v="19:19:53"/>
    <x v="1"/>
    <s v="@DonSchenck"/>
    <s v=""/>
    <n v="1"/>
    <n v="0"/>
    <n v="0"/>
    <n v="1"/>
    <s v="Low engagement"/>
    <b v="0"/>
    <b v="0"/>
    <b v="0"/>
    <x v="0"/>
  </r>
  <r>
    <s v="https://twitter.com/VW/status/654744691934564352"/>
    <s v="Volkswagen"/>
    <s v="@VW"/>
    <x v="1032"/>
    <s v="2015-10-15T19:44:33.000Z"/>
    <x v="1"/>
    <x v="104"/>
    <s v="19:44:33"/>
    <x v="1"/>
    <s v="@imeuic"/>
    <s v=""/>
    <n v="0"/>
    <n v="0"/>
    <n v="0"/>
    <n v="0"/>
    <s v="No engagement"/>
    <b v="0"/>
    <b v="0"/>
    <b v="0"/>
    <x v="0"/>
  </r>
  <r>
    <s v="https://twitter.com/VW/status/654744690206502913"/>
    <s v="Volkswagen"/>
    <s v="@VW"/>
    <x v="1033"/>
    <s v="2015-10-15T19:44:33.000Z"/>
    <x v="1"/>
    <x v="104"/>
    <s v="19:44:33"/>
    <x v="1"/>
    <s v="@imeuic"/>
    <s v=""/>
    <n v="0"/>
    <n v="0"/>
    <n v="0"/>
    <n v="0"/>
    <s v="No engagement"/>
    <b v="0"/>
    <b v="0"/>
    <b v="0"/>
    <x v="0"/>
  </r>
  <r>
    <s v="https://twitter.com/VW/status/654786119616172034"/>
    <s v="Volkswagen"/>
    <s v="@VW"/>
    <x v="1034"/>
    <s v="2015-10-15T22:29:10.000Z"/>
    <x v="1"/>
    <x v="104"/>
    <s v="22:29:10"/>
    <x v="1"/>
    <s v="@Oaksandnix"/>
    <s v=""/>
    <n v="0"/>
    <n v="0"/>
    <n v="1"/>
    <n v="1"/>
    <s v="Low engagement"/>
    <b v="0"/>
    <b v="0"/>
    <b v="0"/>
    <x v="0"/>
  </r>
  <r>
    <s v="https://twitter.com/VW/status/654786118223704064"/>
    <s v="Volkswagen"/>
    <s v="@VW"/>
    <x v="1035"/>
    <s v="2015-10-15T22:29:10.000Z"/>
    <x v="1"/>
    <x v="104"/>
    <s v="22:29:10"/>
    <x v="1"/>
    <s v=""/>
    <s v=""/>
    <n v="0"/>
    <n v="0"/>
    <n v="1"/>
    <n v="1"/>
    <s v="Low engagement"/>
    <b v="0"/>
    <b v="0"/>
    <b v="1"/>
    <x v="3"/>
  </r>
  <r>
    <s v="https://twitter.com/VW/status/654786116277551104"/>
    <s v="Volkswagen"/>
    <s v="@VW"/>
    <x v="1036"/>
    <s v="2015-10-15T22:29:10.000Z"/>
    <x v="1"/>
    <x v="104"/>
    <s v="22:29:10"/>
    <x v="1"/>
    <s v=""/>
    <s v=""/>
    <n v="0"/>
    <n v="0"/>
    <n v="0"/>
    <n v="0"/>
    <s v="No engagement"/>
    <b v="0"/>
    <b v="0"/>
    <b v="0"/>
    <x v="0"/>
  </r>
  <r>
    <s v="https://twitter.com/VW/status/654786978446077952"/>
    <s v="Volkswagen"/>
    <s v="@VW"/>
    <x v="1037"/>
    <s v="2015-10-15T22:32:35.000Z"/>
    <x v="1"/>
    <x v="104"/>
    <s v="22:32:35"/>
    <x v="1"/>
    <s v="@YousefJay"/>
    <s v=""/>
    <n v="0"/>
    <n v="0"/>
    <n v="1"/>
    <n v="1"/>
    <s v="Low engagement"/>
    <b v="0"/>
    <b v="0"/>
    <b v="0"/>
    <x v="0"/>
  </r>
  <r>
    <s v="https://twitter.com/VW/status/654786976114040832"/>
    <s v="Volkswagen"/>
    <s v="@VW"/>
    <x v="1038"/>
    <s v="2015-10-15T22:32:35.000Z"/>
    <x v="1"/>
    <x v="104"/>
    <s v="22:32:35"/>
    <x v="1"/>
    <s v="@Oaksandnix"/>
    <s v=""/>
    <n v="0"/>
    <n v="1"/>
    <n v="1"/>
    <n v="2"/>
    <s v="Low engagement"/>
    <b v="0"/>
    <b v="0"/>
    <b v="0"/>
    <x v="0"/>
  </r>
  <r>
    <s v="https://twitter.com/VW/status/654786980153159680"/>
    <s v="Volkswagen"/>
    <s v="@VW"/>
    <x v="1039"/>
    <s v="2015-10-15T22:32:36.000Z"/>
    <x v="1"/>
    <x v="104"/>
    <s v="22:32:36"/>
    <x v="1"/>
    <s v="@YousefJay"/>
    <s v=""/>
    <n v="0"/>
    <n v="0"/>
    <n v="0"/>
    <n v="0"/>
    <s v="No engagement"/>
    <b v="0"/>
    <b v="0"/>
    <b v="1"/>
    <x v="3"/>
  </r>
  <r>
    <s v="https://twitter.com/VW/status/654786986826313729"/>
    <s v="Volkswagen"/>
    <s v="@VW"/>
    <x v="1040"/>
    <s v="2015-10-15T22:32:37.000Z"/>
    <x v="1"/>
    <x v="104"/>
    <s v="22:32:37"/>
    <x v="1"/>
    <s v="@moevarg1"/>
    <s v=""/>
    <n v="0"/>
    <n v="1"/>
    <n v="1"/>
    <n v="2"/>
    <s v="Low engagement"/>
    <b v="0"/>
    <b v="0"/>
    <b v="0"/>
    <x v="0"/>
  </r>
  <r>
    <s v="https://twitter.com/VW/status/654786985089888256"/>
    <s v="Volkswagen"/>
    <s v="@VW"/>
    <x v="1041"/>
    <s v="2015-10-15T22:32:37.000Z"/>
    <x v="1"/>
    <x v="104"/>
    <s v="22:32:37"/>
    <x v="1"/>
    <s v="@moevarg1"/>
    <s v=""/>
    <n v="0"/>
    <n v="1"/>
    <n v="1"/>
    <n v="2"/>
    <s v="Low engagement"/>
    <b v="0"/>
    <b v="0"/>
    <b v="0"/>
    <x v="0"/>
  </r>
  <r>
    <s v="https://twitter.com/VW/status/655044202313617408"/>
    <s v="Volkswagen"/>
    <s v="@VW"/>
    <x v="1042"/>
    <s v="2015-10-16T15:34:42.000Z"/>
    <x v="1"/>
    <x v="105"/>
    <s v="15:34:42"/>
    <x v="3"/>
    <s v="@moevarg1"/>
    <s v=""/>
    <n v="0"/>
    <n v="0"/>
    <n v="0"/>
    <n v="0"/>
    <s v="No engagement"/>
    <b v="0"/>
    <b v="0"/>
    <b v="0"/>
    <x v="0"/>
  </r>
  <r>
    <s v="https://twitter.com/VW/status/655044205153136640"/>
    <s v="Volkswagen"/>
    <s v="@VW"/>
    <x v="1043"/>
    <s v="2015-10-16T15:34:43.000Z"/>
    <x v="1"/>
    <x v="105"/>
    <s v="15:34:43"/>
    <x v="3"/>
    <s v="@moevarg1"/>
    <s v=""/>
    <n v="0"/>
    <n v="0"/>
    <n v="1"/>
    <n v="1"/>
    <s v="Low engagement"/>
    <b v="0"/>
    <b v="0"/>
    <b v="0"/>
    <x v="0"/>
  </r>
  <r>
    <s v="https://twitter.com/VW/status/655048623269351424"/>
    <s v="Volkswagen"/>
    <s v="@VW"/>
    <x v="1044"/>
    <s v="2015-10-16T15:52:16.000Z"/>
    <x v="1"/>
    <x v="105"/>
    <s v="15:52:16"/>
    <x v="3"/>
    <s v="@AntonZalutsky"/>
    <s v=""/>
    <n v="1"/>
    <n v="0"/>
    <n v="1"/>
    <n v="2"/>
    <s v="Low engagement"/>
    <b v="0"/>
    <b v="0"/>
    <b v="0"/>
    <x v="0"/>
  </r>
  <r>
    <s v="https://twitter.com/VW/status/655048628252250112"/>
    <s v="Volkswagen"/>
    <s v="@VW"/>
    <x v="1045"/>
    <s v="2015-10-16T15:52:17.000Z"/>
    <x v="1"/>
    <x v="105"/>
    <s v="15:52:17"/>
    <x v="3"/>
    <s v="@liquidvw"/>
    <s v=""/>
    <n v="0"/>
    <n v="0"/>
    <n v="1"/>
    <n v="1"/>
    <s v="Low engagement"/>
    <b v="0"/>
    <b v="0"/>
    <b v="0"/>
    <x v="0"/>
  </r>
  <r>
    <s v="https://twitter.com/VW/status/655048624892592128"/>
    <s v="Volkswagen"/>
    <s v="@VW"/>
    <x v="1046"/>
    <s v="2015-10-16T15:52:17.000Z"/>
    <x v="1"/>
    <x v="105"/>
    <s v="15:52:17"/>
    <x v="3"/>
    <s v=""/>
    <s v=""/>
    <n v="0"/>
    <n v="0"/>
    <n v="1"/>
    <n v="1"/>
    <s v="Low engagement"/>
    <b v="0"/>
    <b v="0"/>
    <b v="1"/>
    <x v="3"/>
  </r>
  <r>
    <s v="https://twitter.com/VW/status/655048631645376512"/>
    <s v="Volkswagen"/>
    <s v="@VW"/>
    <x v="1047"/>
    <s v="2015-10-16T15:52:18.000Z"/>
    <x v="1"/>
    <x v="105"/>
    <s v="15:52:18"/>
    <x v="3"/>
    <s v="@richie7307"/>
    <s v=""/>
    <n v="0"/>
    <n v="0"/>
    <n v="1"/>
    <n v="1"/>
    <s v="Low engagement"/>
    <b v="0"/>
    <b v="0"/>
    <b v="0"/>
    <x v="0"/>
  </r>
  <r>
    <s v="https://twitter.com/VW/status/655048629867016192"/>
    <s v="Volkswagen"/>
    <s v="@VW"/>
    <x v="1048"/>
    <s v="2015-10-16T15:52:18.000Z"/>
    <x v="1"/>
    <x v="105"/>
    <s v="15:52:18"/>
    <x v="3"/>
    <s v="@liquidvw"/>
    <s v=""/>
    <n v="0"/>
    <n v="0"/>
    <n v="0"/>
    <n v="0"/>
    <s v="No engagement"/>
    <b v="0"/>
    <b v="0"/>
    <b v="0"/>
    <x v="0"/>
  </r>
  <r>
    <s v="https://twitter.com/VW/status/655068775528599552"/>
    <s v="Volkswagen"/>
    <s v="@VW"/>
    <x v="1049"/>
    <s v="2015-10-16T17:12:21.000Z"/>
    <x v="1"/>
    <x v="105"/>
    <s v="17:12:21"/>
    <x v="3"/>
    <s v="@nashib"/>
    <s v=""/>
    <n v="0"/>
    <n v="1"/>
    <n v="0"/>
    <n v="1"/>
    <s v="Low engagement"/>
    <b v="0"/>
    <b v="0"/>
    <b v="0"/>
    <x v="0"/>
  </r>
  <r>
    <s v="https://twitter.com/VW/status/655071397148950529"/>
    <s v="Volkswagen"/>
    <s v="@VW"/>
    <x v="1050"/>
    <s v="2015-10-16T17:22:46.000Z"/>
    <x v="1"/>
    <x v="105"/>
    <s v="17:22:46"/>
    <x v="3"/>
    <s v="@hemsyberry13"/>
    <s v=""/>
    <n v="0"/>
    <n v="0"/>
    <n v="1"/>
    <n v="1"/>
    <s v="Low engagement"/>
    <b v="0"/>
    <b v="0"/>
    <b v="0"/>
    <x v="0"/>
  </r>
  <r>
    <s v="https://twitter.com/VW/status/655095904911904768"/>
    <s v="Volkswagen"/>
    <s v="@VW"/>
    <x v="1051"/>
    <s v="2015-10-16T19:00:09.000Z"/>
    <x v="1"/>
    <x v="105"/>
    <s v="19:00:09"/>
    <x v="1"/>
    <s v=""/>
    <s v=""/>
    <n v="107"/>
    <n v="40"/>
    <n v="109"/>
    <n v="256"/>
    <s v="High engagement"/>
    <b v="1"/>
    <b v="0"/>
    <b v="1"/>
    <x v="1"/>
  </r>
  <r>
    <s v="https://twitter.com/VW/status/655097859881111552"/>
    <s v="Volkswagen"/>
    <s v="@VW"/>
    <x v="1052"/>
    <s v="2015-10-16T19:07:55.000Z"/>
    <x v="1"/>
    <x v="105"/>
    <s v="19:07:55"/>
    <x v="1"/>
    <s v="@_chelseaquinn_"/>
    <s v=""/>
    <n v="0"/>
    <n v="2"/>
    <n v="1"/>
    <n v="3"/>
    <s v="Low engagement"/>
    <b v="0"/>
    <b v="0"/>
    <b v="0"/>
    <x v="0"/>
  </r>
  <r>
    <s v="https://twitter.com/VW/status/655098715128991745"/>
    <s v="Volkswagen"/>
    <s v="@VW"/>
    <x v="1053"/>
    <s v="2015-10-16T19:11:19.000Z"/>
    <x v="1"/>
    <x v="105"/>
    <s v="19:11:19"/>
    <x v="1"/>
    <s v="@santos_wallace"/>
    <s v=""/>
    <n v="1"/>
    <n v="0"/>
    <n v="1"/>
    <n v="2"/>
    <s v="Low engagement"/>
    <b v="0"/>
    <b v="0"/>
    <b v="0"/>
    <x v="0"/>
  </r>
  <r>
    <s v="https://twitter.com/VW/status/655098713342279680"/>
    <s v="Volkswagen"/>
    <s v="@VW"/>
    <x v="1054"/>
    <s v="2015-10-16T19:11:19.000Z"/>
    <x v="1"/>
    <x v="105"/>
    <s v="19:11:19"/>
    <x v="1"/>
    <s v=""/>
    <s v=""/>
    <n v="0"/>
    <n v="0"/>
    <n v="1"/>
    <n v="1"/>
    <s v="Low engagement"/>
    <b v="0"/>
    <b v="0"/>
    <b v="0"/>
    <x v="0"/>
  </r>
  <r>
    <s v="https://twitter.com/VW/status/655113392294772736"/>
    <s v="Volkswagen"/>
    <s v="@VW"/>
    <x v="1055"/>
    <s v="2015-10-16T20:09:38.000Z"/>
    <x v="1"/>
    <x v="105"/>
    <s v="20:09:38"/>
    <x v="1"/>
    <s v="@JeanneTPA"/>
    <s v=""/>
    <n v="0"/>
    <n v="0"/>
    <n v="1"/>
    <n v="1"/>
    <s v="Low engagement"/>
    <b v="0"/>
    <b v="0"/>
    <b v="0"/>
    <x v="0"/>
  </r>
  <r>
    <s v="https://twitter.com/VW/status/655117805524619264"/>
    <s v="Volkswagen"/>
    <s v="@VW"/>
    <x v="1056"/>
    <s v="2015-10-16T20:27:10.000Z"/>
    <x v="1"/>
    <x v="105"/>
    <s v="20:27:10"/>
    <x v="1"/>
    <s v="@Dav_Phill"/>
    <s v=""/>
    <n v="0"/>
    <n v="0"/>
    <n v="1"/>
    <n v="1"/>
    <s v="Low engagement"/>
    <b v="0"/>
    <b v="0"/>
    <b v="0"/>
    <x v="0"/>
  </r>
  <r>
    <s v="https://twitter.com/VW/status/655131699970375680"/>
    <s v="Volkswagen"/>
    <s v="@VW"/>
    <x v="1057"/>
    <s v="2015-10-16T21:22:23.000Z"/>
    <x v="1"/>
    <x v="105"/>
    <s v="21:22:23"/>
    <x v="1"/>
    <s v=""/>
    <s v=""/>
    <n v="0"/>
    <n v="2"/>
    <n v="2"/>
    <n v="4"/>
    <s v="Low engagement"/>
    <b v="0"/>
    <b v="0"/>
    <b v="0"/>
    <x v="0"/>
  </r>
  <r>
    <s v="https://twitter.com/VW/status/656102132207194112"/>
    <s v="Volkswagen"/>
    <s v="@VW"/>
    <x v="1058"/>
    <s v="2015-10-19T13:38:32.000Z"/>
    <x v="1"/>
    <x v="106"/>
    <s v="13:38:32"/>
    <x v="0"/>
    <s v="@LL_Kane"/>
    <s v=""/>
    <n v="0"/>
    <n v="0"/>
    <n v="1"/>
    <n v="1"/>
    <s v="Low engagement"/>
    <b v="0"/>
    <b v="0"/>
    <b v="0"/>
    <x v="0"/>
  </r>
  <r>
    <s v="https://twitter.com/VW/status/656127428390088705"/>
    <s v="Volkswagen"/>
    <s v="@VW"/>
    <x v="1059"/>
    <s v="2015-10-19T15:19:03.000Z"/>
    <x v="1"/>
    <x v="106"/>
    <s v="15:19:03"/>
    <x v="3"/>
    <s v="@jacquetta74"/>
    <s v=""/>
    <n v="0"/>
    <n v="0"/>
    <n v="1"/>
    <n v="1"/>
    <s v="Low engagement"/>
    <b v="0"/>
    <b v="0"/>
    <b v="0"/>
    <x v="0"/>
  </r>
  <r>
    <s v="https://twitter.com/VW/status/656154375530778624"/>
    <s v="Volkswagen"/>
    <s v="@VW"/>
    <x v="1060"/>
    <s v="2015-10-19T17:06:08.000Z"/>
    <x v="1"/>
    <x v="106"/>
    <s v="17:06:08"/>
    <x v="3"/>
    <s v="@QiaoLiu89"/>
    <s v=""/>
    <n v="0"/>
    <n v="0"/>
    <n v="0"/>
    <n v="0"/>
    <s v="No engagement"/>
    <b v="0"/>
    <b v="0"/>
    <b v="0"/>
    <x v="0"/>
  </r>
  <r>
    <s v="https://twitter.com/VW/status/656154373928587264"/>
    <s v="Volkswagen"/>
    <s v="@VW"/>
    <x v="1061"/>
    <s v="2015-10-19T17:06:08.000Z"/>
    <x v="1"/>
    <x v="106"/>
    <s v="17:06:08"/>
    <x v="3"/>
    <s v="@mp1s"/>
    <s v=""/>
    <n v="0"/>
    <n v="0"/>
    <n v="0"/>
    <n v="0"/>
    <s v="No engagement"/>
    <b v="0"/>
    <b v="0"/>
    <b v="0"/>
    <x v="0"/>
  </r>
  <r>
    <s v="https://twitter.com/VW/status/656171081326202880"/>
    <s v="Volkswagen"/>
    <s v="@VW"/>
    <x v="1062"/>
    <s v="2015-10-19T18:12:31.000Z"/>
    <x v="1"/>
    <x v="106"/>
    <s v="18:12:31"/>
    <x v="1"/>
    <s v="@DDelRio2013"/>
    <s v=""/>
    <n v="0"/>
    <n v="6"/>
    <n v="0"/>
    <n v="6"/>
    <s v="Moderate engagement"/>
    <b v="0"/>
    <b v="0"/>
    <b v="1"/>
    <x v="3"/>
  </r>
  <r>
    <s v="https://twitter.com/VW/status/656178060920664064"/>
    <s v="Volkswagen"/>
    <s v="@VW"/>
    <x v="1063"/>
    <s v="2015-10-19T18:40:15.000Z"/>
    <x v="1"/>
    <x v="106"/>
    <s v="18:40:15"/>
    <x v="1"/>
    <s v="@jdhensleyi"/>
    <s v=""/>
    <n v="0"/>
    <n v="0"/>
    <n v="0"/>
    <n v="0"/>
    <s v="No engagement"/>
    <b v="0"/>
    <b v="0"/>
    <b v="1"/>
    <x v="3"/>
  </r>
  <r>
    <s v="https://twitter.com/VW/status/656183306707296256"/>
    <s v="Volkswagen"/>
    <s v="@VW"/>
    <x v="1064"/>
    <s v="2015-10-19T19:01:06.000Z"/>
    <x v="1"/>
    <x v="106"/>
    <s v="19:01:06"/>
    <x v="1"/>
    <s v="@Dan_teraeterna"/>
    <s v=""/>
    <n v="0"/>
    <n v="0"/>
    <n v="0"/>
    <n v="0"/>
    <s v="No engagement"/>
    <b v="0"/>
    <b v="0"/>
    <b v="0"/>
    <x v="0"/>
  </r>
  <r>
    <s v="https://twitter.com/VW/status/656188521993011200"/>
    <s v="Volkswagen"/>
    <s v="@VW"/>
    <x v="1065"/>
    <s v="2015-10-19T19:21:49.000Z"/>
    <x v="1"/>
    <x v="106"/>
    <s v="19:21:49"/>
    <x v="1"/>
    <s v="@AngeliqueKenney"/>
    <s v=""/>
    <n v="1"/>
    <n v="0"/>
    <n v="0"/>
    <n v="1"/>
    <s v="Low engagement"/>
    <b v="0"/>
    <b v="0"/>
    <b v="0"/>
    <x v="0"/>
  </r>
  <r>
    <s v="https://twitter.com/VW/status/656192855380111361"/>
    <s v="Volkswagen"/>
    <s v="@VW"/>
    <x v="1066"/>
    <s v="2015-10-19T19:39:02.000Z"/>
    <x v="1"/>
    <x v="106"/>
    <s v="19:39:02"/>
    <x v="1"/>
    <s v=""/>
    <s v=""/>
    <n v="0"/>
    <n v="0"/>
    <n v="0"/>
    <n v="0"/>
    <s v="No engagement"/>
    <b v="0"/>
    <b v="0"/>
    <b v="0"/>
    <x v="0"/>
  </r>
  <r>
    <s v="https://twitter.com/VW/status/656192858169315328"/>
    <s v="Volkswagen"/>
    <s v="@VW"/>
    <x v="1067"/>
    <s v="2015-10-19T19:39:03.000Z"/>
    <x v="1"/>
    <x v="106"/>
    <s v="19:39:03"/>
    <x v="1"/>
    <s v=""/>
    <s v=""/>
    <n v="0"/>
    <n v="0"/>
    <n v="0"/>
    <n v="0"/>
    <s v="No engagement"/>
    <b v="0"/>
    <b v="0"/>
    <b v="1"/>
    <x v="3"/>
  </r>
  <r>
    <s v="https://twitter.com/VW/status/656197175068594177"/>
    <s v="Volkswagen"/>
    <s v="@VW"/>
    <x v="1068"/>
    <s v="2015-10-19T19:56:12.000Z"/>
    <x v="1"/>
    <x v="106"/>
    <s v="19:56:12"/>
    <x v="1"/>
    <s v="@MsCuppyKate"/>
    <s v=""/>
    <n v="1"/>
    <n v="0"/>
    <n v="0"/>
    <n v="1"/>
    <s v="Low engagement"/>
    <b v="0"/>
    <b v="0"/>
    <b v="0"/>
    <x v="0"/>
  </r>
  <r>
    <s v="https://twitter.com/VW/status/656197172963119104"/>
    <s v="Volkswagen"/>
    <s v="@VW"/>
    <x v="1069"/>
    <s v="2015-10-19T19:56:12.000Z"/>
    <x v="1"/>
    <x v="106"/>
    <s v="19:56:12"/>
    <x v="1"/>
    <s v="@pisatchos"/>
    <s v=""/>
    <n v="0"/>
    <n v="0"/>
    <n v="0"/>
    <n v="0"/>
    <s v="No engagement"/>
    <b v="0"/>
    <b v="0"/>
    <b v="0"/>
    <x v="0"/>
  </r>
  <r>
    <s v="https://twitter.com/VW/status/656202279595339776"/>
    <s v="Volkswagen"/>
    <s v="@VW"/>
    <x v="1070"/>
    <s v="2015-10-19T20:16:29.000Z"/>
    <x v="1"/>
    <x v="106"/>
    <s v="20:16:29"/>
    <x v="1"/>
    <s v="@Bumpyknight"/>
    <s v=""/>
    <n v="0"/>
    <n v="0"/>
    <n v="0"/>
    <n v="0"/>
    <s v="No engagement"/>
    <b v="0"/>
    <b v="0"/>
    <b v="0"/>
    <x v="0"/>
  </r>
  <r>
    <s v="https://twitter.com/VW/status/656202283714121728"/>
    <s v="Volkswagen"/>
    <s v="@VW"/>
    <x v="1071"/>
    <s v="2015-10-19T20:16:30.000Z"/>
    <x v="1"/>
    <x v="106"/>
    <s v="20:16:30"/>
    <x v="1"/>
    <s v="@mikemattone"/>
    <s v=""/>
    <n v="0"/>
    <n v="0"/>
    <n v="1"/>
    <n v="1"/>
    <s v="Low engagement"/>
    <b v="0"/>
    <b v="0"/>
    <b v="0"/>
    <x v="0"/>
  </r>
  <r>
    <s v="https://twitter.com/VW/status/656202282292285440"/>
    <s v="Volkswagen"/>
    <s v="@VW"/>
    <x v="1072"/>
    <s v="2015-10-19T20:16:30.000Z"/>
    <x v="1"/>
    <x v="106"/>
    <s v="20:16:30"/>
    <x v="1"/>
    <s v="@mikemattone"/>
    <s v=""/>
    <n v="0"/>
    <n v="0"/>
    <n v="1"/>
    <n v="1"/>
    <s v="Low engagement"/>
    <b v="0"/>
    <b v="0"/>
    <b v="0"/>
    <x v="0"/>
  </r>
  <r>
    <s v="https://twitter.com/VW/status/656202281084301312"/>
    <s v="Volkswagen"/>
    <s v="@VW"/>
    <x v="1073"/>
    <s v="2015-10-19T20:16:30.000Z"/>
    <x v="1"/>
    <x v="106"/>
    <s v="20:16:30"/>
    <x v="1"/>
    <s v="@Bumpyknight"/>
    <s v=""/>
    <n v="1"/>
    <n v="0"/>
    <n v="2"/>
    <n v="3"/>
    <s v="Low engagement"/>
    <b v="0"/>
    <b v="0"/>
    <b v="0"/>
    <x v="0"/>
  </r>
  <r>
    <s v="https://twitter.com/VW/status/656465934287114240"/>
    <s v="Volkswagen"/>
    <s v="@VW"/>
    <x v="1074"/>
    <s v="2015-10-20T13:44:09.000Z"/>
    <x v="1"/>
    <x v="107"/>
    <s v="13:44:09"/>
    <x v="0"/>
    <s v=""/>
    <s v=""/>
    <n v="0"/>
    <n v="0"/>
    <n v="0"/>
    <n v="0"/>
    <s v="No engagement"/>
    <b v="0"/>
    <b v="0"/>
    <b v="0"/>
    <x v="0"/>
  </r>
  <r>
    <s v="https://twitter.com/VW/status/656465937172795392"/>
    <s v="Volkswagen"/>
    <s v="@VW"/>
    <x v="1075"/>
    <s v="2015-10-20T13:44:10.000Z"/>
    <x v="1"/>
    <x v="107"/>
    <s v="13:44:10"/>
    <x v="0"/>
    <s v="@ErgoSleuth"/>
    <s v=""/>
    <n v="0"/>
    <n v="0"/>
    <n v="0"/>
    <n v="0"/>
    <s v="No engagement"/>
    <b v="0"/>
    <b v="0"/>
    <b v="0"/>
    <x v="0"/>
  </r>
  <r>
    <s v="https://twitter.com/VW/status/656465939039260672"/>
    <s v="Volkswagen"/>
    <s v="@VW"/>
    <x v="1076"/>
    <s v="2015-10-20T13:44:11.000Z"/>
    <x v="1"/>
    <x v="107"/>
    <s v="13:44:11"/>
    <x v="0"/>
    <s v="@ErgoSleuth"/>
    <s v=""/>
    <n v="0"/>
    <n v="0"/>
    <n v="0"/>
    <n v="0"/>
    <s v="No engagement"/>
    <b v="0"/>
    <b v="0"/>
    <b v="0"/>
    <x v="0"/>
  </r>
  <r>
    <s v="https://twitter.com/VW/status/656467657307238400"/>
    <s v="Volkswagen"/>
    <s v="@VW"/>
    <x v="1077"/>
    <s v="2015-10-20T13:51:00.000Z"/>
    <x v="1"/>
    <x v="107"/>
    <s v="13:51:00"/>
    <x v="0"/>
    <s v="@ergosmac"/>
    <s v=""/>
    <n v="0"/>
    <n v="1"/>
    <n v="0"/>
    <n v="1"/>
    <s v="Low engagement"/>
    <b v="0"/>
    <b v="0"/>
    <b v="0"/>
    <x v="0"/>
  </r>
  <r>
    <s v="https://twitter.com/VW/status/656467655218479106"/>
    <s v="Volkswagen"/>
    <s v="@VW"/>
    <x v="1078"/>
    <s v="2015-10-20T13:51:00.000Z"/>
    <x v="1"/>
    <x v="107"/>
    <s v="13:51:00"/>
    <x v="0"/>
    <s v="@ergosmac"/>
    <s v=""/>
    <n v="0"/>
    <n v="0"/>
    <n v="0"/>
    <n v="0"/>
    <s v="No engagement"/>
    <b v="0"/>
    <b v="0"/>
    <b v="0"/>
    <x v="0"/>
  </r>
  <r>
    <s v="https://twitter.com/VW/status/656469369355026432"/>
    <s v="Volkswagen"/>
    <s v="@VW"/>
    <x v="1079"/>
    <s v="2015-10-20T13:57:48.000Z"/>
    <x v="1"/>
    <x v="107"/>
    <s v="13:57:48"/>
    <x v="0"/>
    <s v="@TheRealJZT"/>
    <s v=""/>
    <n v="0"/>
    <n v="0"/>
    <n v="0"/>
    <n v="0"/>
    <s v="No engagement"/>
    <b v="0"/>
    <b v="0"/>
    <b v="0"/>
    <x v="0"/>
  </r>
  <r>
    <s v="https://twitter.com/VW/status/656471141477847041"/>
    <s v="Volkswagen"/>
    <s v="@VW"/>
    <x v="1080"/>
    <s v="2015-10-20T14:04:51.000Z"/>
    <x v="1"/>
    <x v="107"/>
    <s v="14:04:51"/>
    <x v="3"/>
    <s v="@RodvanGulos"/>
    <s v=""/>
    <n v="0"/>
    <n v="0"/>
    <n v="0"/>
    <n v="0"/>
    <s v="No engagement"/>
    <b v="0"/>
    <b v="0"/>
    <b v="0"/>
    <x v="0"/>
  </r>
  <r>
    <s v="https://twitter.com/VW/status/656475663340187648"/>
    <s v="Volkswagen"/>
    <s v="@VW"/>
    <x v="1081"/>
    <s v="2015-10-20T14:22:49.000Z"/>
    <x v="1"/>
    <x v="107"/>
    <s v="14:22:49"/>
    <x v="3"/>
    <s v="@DavidBThomas"/>
    <s v=""/>
    <n v="0"/>
    <n v="1"/>
    <n v="0"/>
    <n v="1"/>
    <s v="Low engagement"/>
    <b v="0"/>
    <b v="0"/>
    <b v="0"/>
    <x v="0"/>
  </r>
  <r>
    <s v="https://twitter.com/VW/status/656477384913227776"/>
    <s v="Volkswagen"/>
    <s v="@VW"/>
    <x v="1082"/>
    <s v="2015-10-20T14:29:39.000Z"/>
    <x v="1"/>
    <x v="107"/>
    <s v="14:29:39"/>
    <x v="3"/>
    <s v=""/>
    <s v=""/>
    <n v="0"/>
    <n v="1"/>
    <n v="1"/>
    <n v="2"/>
    <s v="Low engagement"/>
    <b v="0"/>
    <b v="0"/>
    <b v="0"/>
    <x v="0"/>
  </r>
  <r>
    <s v="https://twitter.com/VW/status/656506848627978240"/>
    <s v="Volkswagen"/>
    <s v="@VW"/>
    <x v="1083"/>
    <s v="2015-10-20T16:26:44.000Z"/>
    <x v="1"/>
    <x v="107"/>
    <s v="16:26:44"/>
    <x v="3"/>
    <s v=""/>
    <s v=""/>
    <n v="0"/>
    <n v="0"/>
    <n v="1"/>
    <n v="1"/>
    <s v="Low engagement"/>
    <b v="0"/>
    <b v="0"/>
    <b v="1"/>
    <x v="3"/>
  </r>
  <r>
    <s v="https://twitter.com/VW/status/656558008470663168"/>
    <s v="Volkswagen"/>
    <s v="@VW"/>
    <x v="1084"/>
    <s v="2015-10-20T19:50:02.000Z"/>
    <x v="1"/>
    <x v="107"/>
    <s v="19:50:02"/>
    <x v="1"/>
    <s v=""/>
    <s v=""/>
    <n v="0"/>
    <n v="0"/>
    <n v="1"/>
    <n v="1"/>
    <s v="Low engagement"/>
    <b v="0"/>
    <b v="0"/>
    <b v="0"/>
    <x v="0"/>
  </r>
  <r>
    <s v="https://twitter.com/VW/status/656558013994545152"/>
    <s v="Volkswagen"/>
    <s v="@VW"/>
    <x v="1085"/>
    <s v="2015-10-20T19:50:03.000Z"/>
    <x v="1"/>
    <x v="107"/>
    <s v="19:50:03"/>
    <x v="1"/>
    <s v=""/>
    <s v=""/>
    <n v="0"/>
    <n v="1"/>
    <n v="0"/>
    <n v="1"/>
    <s v="Low engagement"/>
    <b v="0"/>
    <b v="0"/>
    <b v="1"/>
    <x v="3"/>
  </r>
  <r>
    <s v="https://twitter.com/VW/status/656558012149075968"/>
    <s v="Volkswagen"/>
    <s v="@VW"/>
    <x v="1086"/>
    <s v="2015-10-20T19:50:03.000Z"/>
    <x v="1"/>
    <x v="107"/>
    <s v="19:50:03"/>
    <x v="1"/>
    <s v="@timfelsky"/>
    <s v=""/>
    <n v="0"/>
    <n v="0"/>
    <n v="1"/>
    <n v="1"/>
    <s v="Low engagement"/>
    <b v="0"/>
    <b v="0"/>
    <b v="1"/>
    <x v="3"/>
  </r>
  <r>
    <s v="https://twitter.com/VW/status/656563132966416384"/>
    <s v="Volkswagen"/>
    <s v="@VW"/>
    <x v="1087"/>
    <s v="2015-10-20T20:10:23.000Z"/>
    <x v="1"/>
    <x v="107"/>
    <s v="20:10:23"/>
    <x v="1"/>
    <s v="@Blooongg24"/>
    <s v=""/>
    <n v="0"/>
    <n v="0"/>
    <n v="1"/>
    <n v="1"/>
    <s v="Low engagement"/>
    <b v="0"/>
    <b v="0"/>
    <b v="0"/>
    <x v="0"/>
  </r>
  <r>
    <s v="https://twitter.com/VW/status/656563131246743553"/>
    <s v="Volkswagen"/>
    <s v="@VW"/>
    <x v="1088"/>
    <s v="2015-10-20T20:10:23.000Z"/>
    <x v="1"/>
    <x v="107"/>
    <s v="20:10:23"/>
    <x v="1"/>
    <s v="@Blooongg24"/>
    <s v=""/>
    <n v="0"/>
    <n v="0"/>
    <n v="1"/>
    <n v="1"/>
    <s v="Low engagement"/>
    <b v="0"/>
    <b v="0"/>
    <b v="0"/>
    <x v="0"/>
  </r>
  <r>
    <s v="https://twitter.com/VW/status/656837533091786752"/>
    <s v="Volkswagen"/>
    <s v="@VW"/>
    <x v="1089"/>
    <s v="2015-10-21T14:20:45.000Z"/>
    <x v="1"/>
    <x v="108"/>
    <s v="14:20:45"/>
    <x v="3"/>
    <s v="@killawhalee_"/>
    <s v=""/>
    <n v="0"/>
    <n v="0"/>
    <n v="0"/>
    <n v="0"/>
    <s v="No engagement"/>
    <b v="0"/>
    <b v="0"/>
    <b v="0"/>
    <x v="0"/>
  </r>
  <r>
    <s v="https://twitter.com/VW/status/656837536266895360"/>
    <s v="Volkswagen"/>
    <s v="@VW"/>
    <x v="1090"/>
    <s v="2015-10-21T14:20:46.000Z"/>
    <x v="1"/>
    <x v="108"/>
    <s v="14:20:46"/>
    <x v="3"/>
    <s v=""/>
    <s v=""/>
    <n v="0"/>
    <n v="0"/>
    <n v="0"/>
    <n v="0"/>
    <s v="No engagement"/>
    <b v="0"/>
    <b v="0"/>
    <b v="0"/>
    <x v="0"/>
  </r>
  <r>
    <s v="https://twitter.com/VW/status/656837534794645504"/>
    <s v="Volkswagen"/>
    <s v="@VW"/>
    <x v="1091"/>
    <s v="2015-10-21T14:20:46.000Z"/>
    <x v="1"/>
    <x v="108"/>
    <s v="14:20:46"/>
    <x v="3"/>
    <s v="@killawhalee_"/>
    <s v=""/>
    <n v="0"/>
    <n v="0"/>
    <n v="0"/>
    <n v="0"/>
    <s v="No engagement"/>
    <b v="0"/>
    <b v="0"/>
    <b v="0"/>
    <x v="0"/>
  </r>
  <r>
    <s v="https://twitter.com/VW/status/656837539702018048"/>
    <s v="Volkswagen"/>
    <s v="@VW"/>
    <x v="1092"/>
    <s v="2015-10-21T14:20:47.000Z"/>
    <x v="1"/>
    <x v="108"/>
    <s v="14:20:47"/>
    <x v="3"/>
    <s v="@JGra90"/>
    <s v=""/>
    <n v="0"/>
    <n v="0"/>
    <n v="0"/>
    <n v="0"/>
    <s v="No engagement"/>
    <b v="0"/>
    <b v="0"/>
    <b v="1"/>
    <x v="3"/>
  </r>
  <r>
    <s v="https://twitter.com/VW/status/656837538020130816"/>
    <s v="Volkswagen"/>
    <s v="@VW"/>
    <x v="1093"/>
    <s v="2015-10-21T14:20:47.000Z"/>
    <x v="1"/>
    <x v="108"/>
    <s v="14:20:47"/>
    <x v="3"/>
    <s v="@JGra90"/>
    <s v=""/>
    <n v="0"/>
    <n v="0"/>
    <n v="0"/>
    <n v="0"/>
    <s v="No engagement"/>
    <b v="0"/>
    <b v="0"/>
    <b v="0"/>
    <x v="0"/>
  </r>
  <r>
    <s v="https://twitter.com/VW/status/656889071789207552"/>
    <s v="Volkswagen"/>
    <s v="@VW"/>
    <x v="1094"/>
    <s v="2015-10-21T17:45:33.000Z"/>
    <x v="1"/>
    <x v="108"/>
    <s v="17:45:33"/>
    <x v="3"/>
    <s v="@manzannna"/>
    <s v=""/>
    <n v="0"/>
    <n v="0"/>
    <n v="0"/>
    <n v="0"/>
    <s v="No engagement"/>
    <b v="0"/>
    <b v="0"/>
    <b v="0"/>
    <x v="0"/>
  </r>
  <r>
    <s v="https://twitter.com/VW/status/656889073529786368"/>
    <s v="Volkswagen"/>
    <s v="@VW"/>
    <x v="1095"/>
    <s v="2015-10-21T17:45:34.000Z"/>
    <x v="1"/>
    <x v="108"/>
    <s v="17:45:34"/>
    <x v="3"/>
    <s v="@manzannna"/>
    <s v=""/>
    <n v="0"/>
    <n v="0"/>
    <n v="0"/>
    <n v="0"/>
    <s v="No engagement"/>
    <b v="0"/>
    <b v="0"/>
    <b v="0"/>
    <x v="0"/>
  </r>
  <r>
    <s v="https://twitter.com/VW/status/656889081079590912"/>
    <s v="Volkswagen"/>
    <s v="@VW"/>
    <x v="1096"/>
    <s v="2015-10-21T17:45:35.000Z"/>
    <x v="1"/>
    <x v="108"/>
    <s v="17:45:35"/>
    <x v="3"/>
    <s v="@elias_nasserrr"/>
    <s v=""/>
    <n v="0"/>
    <n v="0"/>
    <n v="0"/>
    <n v="0"/>
    <s v="No engagement"/>
    <b v="0"/>
    <b v="0"/>
    <b v="0"/>
    <x v="0"/>
  </r>
  <r>
    <s v="https://twitter.com/VW/status/656889082765639681"/>
    <s v="Volkswagen"/>
    <s v="@VW"/>
    <x v="1097"/>
    <s v="2015-10-21T17:45:36.000Z"/>
    <x v="1"/>
    <x v="108"/>
    <s v="17:45:36"/>
    <x v="3"/>
    <s v="@elias_nasserrr"/>
    <s v=""/>
    <n v="0"/>
    <n v="0"/>
    <n v="0"/>
    <n v="0"/>
    <s v="No engagement"/>
    <b v="0"/>
    <b v="0"/>
    <b v="1"/>
    <x v="3"/>
  </r>
  <r>
    <s v="https://twitter.com/VW/status/656889947673071617"/>
    <s v="Volkswagen"/>
    <s v="@VW"/>
    <x v="1098"/>
    <s v="2015-10-21T17:49:02.000Z"/>
    <x v="1"/>
    <x v="108"/>
    <s v="17:49:02"/>
    <x v="3"/>
    <s v="@IsleinDixie"/>
    <s v=""/>
    <n v="1"/>
    <n v="0"/>
    <n v="1"/>
    <n v="2"/>
    <s v="Low engagement"/>
    <b v="0"/>
    <b v="0"/>
    <b v="0"/>
    <x v="0"/>
  </r>
  <r>
    <s v="https://twitter.com/VW/status/656889945819246592"/>
    <s v="Volkswagen"/>
    <s v="@VW"/>
    <x v="1099"/>
    <s v="2015-10-21T17:49:02.000Z"/>
    <x v="1"/>
    <x v="108"/>
    <s v="17:49:02"/>
    <x v="3"/>
    <s v="@blatzman"/>
    <s v=""/>
    <n v="0"/>
    <n v="0"/>
    <n v="0"/>
    <n v="0"/>
    <s v="No engagement"/>
    <b v="0"/>
    <b v="0"/>
    <b v="0"/>
    <x v="0"/>
  </r>
  <r>
    <s v="https://twitter.com/VW/status/656890829617795072"/>
    <s v="Volkswagen"/>
    <s v="@VW"/>
    <x v="1100"/>
    <s v="2015-10-21T17:52:32.000Z"/>
    <x v="1"/>
    <x v="108"/>
    <s v="17:52:32"/>
    <x v="3"/>
    <s v="@ChenaeKY28"/>
    <s v=""/>
    <n v="0"/>
    <n v="0"/>
    <n v="1"/>
    <n v="1"/>
    <s v="Low engagement"/>
    <b v="0"/>
    <b v="0"/>
    <b v="0"/>
    <x v="0"/>
  </r>
  <r>
    <s v="https://twitter.com/VW/status/656890831291314176"/>
    <s v="Volkswagen"/>
    <s v="@VW"/>
    <x v="1101"/>
    <s v="2015-10-21T17:52:33.000Z"/>
    <x v="1"/>
    <x v="108"/>
    <s v="17:52:33"/>
    <x v="3"/>
    <s v=""/>
    <s v=""/>
    <n v="0"/>
    <n v="0"/>
    <n v="1"/>
    <n v="1"/>
    <s v="Low engagement"/>
    <b v="0"/>
    <b v="0"/>
    <b v="0"/>
    <x v="0"/>
  </r>
  <r>
    <s v="https://twitter.com/VW/status/656891694537793537"/>
    <s v="Volkswagen"/>
    <s v="@VW"/>
    <x v="1102"/>
    <s v="2015-10-21T17:55:59.000Z"/>
    <x v="1"/>
    <x v="108"/>
    <s v="17:55:59"/>
    <x v="3"/>
    <s v="@harvardx"/>
    <s v=""/>
    <n v="0"/>
    <n v="0"/>
    <n v="1"/>
    <n v="1"/>
    <s v="Low engagement"/>
    <b v="0"/>
    <b v="0"/>
    <b v="0"/>
    <x v="0"/>
  </r>
  <r>
    <s v="https://twitter.com/VW/status/656895160542859264"/>
    <s v="Volkswagen"/>
    <s v="@VW"/>
    <x v="1103"/>
    <s v="2015-10-21T18:09:45.000Z"/>
    <x v="1"/>
    <x v="108"/>
    <s v="18:09:45"/>
    <x v="1"/>
    <s v="@BigMoStriker"/>
    <s v=""/>
    <n v="0"/>
    <n v="2"/>
    <n v="1"/>
    <n v="3"/>
    <s v="Low engagement"/>
    <b v="0"/>
    <b v="0"/>
    <b v="0"/>
    <x v="0"/>
  </r>
  <r>
    <s v="https://twitter.com/VW/status/656907996920832001"/>
    <s v="Volkswagen"/>
    <s v="@VW"/>
    <x v="1104"/>
    <s v="2015-10-21T19:00:45.000Z"/>
    <x v="1"/>
    <x v="108"/>
    <s v="19:00:45"/>
    <x v="1"/>
    <s v=""/>
    <s v=""/>
    <n v="0"/>
    <n v="0"/>
    <n v="1"/>
    <n v="1"/>
    <s v="Low engagement"/>
    <b v="0"/>
    <b v="0"/>
    <b v="0"/>
    <x v="0"/>
  </r>
  <r>
    <s v="https://twitter.com/VW/status/656909752803323904"/>
    <s v="Volkswagen"/>
    <s v="@VW"/>
    <x v="1105"/>
    <s v="2015-10-21T19:07:44.000Z"/>
    <x v="1"/>
    <x v="108"/>
    <s v="19:07:44"/>
    <x v="1"/>
    <s v=""/>
    <s v=""/>
    <n v="0"/>
    <n v="0"/>
    <n v="1"/>
    <n v="1"/>
    <s v="Low engagement"/>
    <b v="0"/>
    <b v="0"/>
    <b v="0"/>
    <x v="0"/>
  </r>
  <r>
    <s v="https://twitter.com/VW/status/656909756066459648"/>
    <s v="Volkswagen"/>
    <s v="@VW"/>
    <x v="1106"/>
    <s v="2015-10-21T19:07:45.000Z"/>
    <x v="1"/>
    <x v="108"/>
    <s v="19:07:45"/>
    <x v="1"/>
    <s v=""/>
    <s v=""/>
    <n v="0"/>
    <n v="0"/>
    <n v="0"/>
    <n v="0"/>
    <s v="No engagement"/>
    <b v="0"/>
    <b v="0"/>
    <b v="0"/>
    <x v="0"/>
  </r>
  <r>
    <s v="https://twitter.com/VW/status/656933946903519232"/>
    <s v="Volkswagen"/>
    <s v="@VW"/>
    <x v="1107"/>
    <s v="2015-10-21T20:43:52.000Z"/>
    <x v="1"/>
    <x v="108"/>
    <s v="20:43:52"/>
    <x v="1"/>
    <s v="@d24c_tiquicia"/>
    <s v=""/>
    <n v="0"/>
    <n v="0"/>
    <n v="1"/>
    <n v="1"/>
    <s v="Low engagement"/>
    <b v="0"/>
    <b v="0"/>
    <b v="0"/>
    <x v="0"/>
  </r>
  <r>
    <s v="https://twitter.com/VW/status/656948144932978688"/>
    <s v="Volkswagen"/>
    <s v="@VW"/>
    <x v="1108"/>
    <s v="2015-10-21T21:40:17.000Z"/>
    <x v="1"/>
    <x v="108"/>
    <s v="21:40:17"/>
    <x v="1"/>
    <s v="@Marchlover69"/>
    <s v=""/>
    <n v="0"/>
    <n v="0"/>
    <n v="2"/>
    <n v="2"/>
    <s v="Low engagement"/>
    <b v="0"/>
    <b v="0"/>
    <b v="0"/>
    <x v="0"/>
  </r>
  <r>
    <s v="https://twitter.com/VW/status/656948142651240448"/>
    <s v="Volkswagen"/>
    <s v="@VW"/>
    <x v="1109"/>
    <s v="2015-10-21T21:40:17.000Z"/>
    <x v="1"/>
    <x v="108"/>
    <s v="21:40:17"/>
    <x v="1"/>
    <s v=""/>
    <s v=""/>
    <n v="0"/>
    <n v="0"/>
    <n v="1"/>
    <n v="1"/>
    <s v="Low engagement"/>
    <b v="0"/>
    <b v="0"/>
    <b v="0"/>
    <x v="0"/>
  </r>
  <r>
    <s v="https://twitter.com/VW/status/656949872050880512"/>
    <s v="Volkswagen"/>
    <s v="@VW"/>
    <x v="1110"/>
    <s v="2015-10-21T21:47:09.000Z"/>
    <x v="1"/>
    <x v="108"/>
    <s v="21:47:09"/>
    <x v="1"/>
    <s v="@Marchlover69"/>
    <s v=""/>
    <n v="0"/>
    <n v="0"/>
    <n v="0"/>
    <n v="0"/>
    <s v="No engagement"/>
    <b v="0"/>
    <b v="0"/>
    <b v="0"/>
    <x v="0"/>
  </r>
  <r>
    <s v="https://twitter.com/VW/status/657195802805190657"/>
    <s v="Volkswagen"/>
    <s v="@VW"/>
    <x v="1111"/>
    <s v="2015-10-22T14:04:24.000Z"/>
    <x v="1"/>
    <x v="109"/>
    <s v="14:04:24"/>
    <x v="3"/>
    <s v="@IsleinDixie"/>
    <s v=""/>
    <n v="1"/>
    <n v="0"/>
    <n v="1"/>
    <n v="2"/>
    <s v="Low engagement"/>
    <b v="0"/>
    <b v="0"/>
    <b v="0"/>
    <x v="0"/>
  </r>
  <r>
    <s v="https://twitter.com/VW/status/657204592556445696"/>
    <s v="Volkswagen"/>
    <s v="@VW"/>
    <x v="1112"/>
    <s v="2015-10-22T14:39:19.000Z"/>
    <x v="1"/>
    <x v="109"/>
    <s v="14:39:19"/>
    <x v="3"/>
    <s v="@DDelRio2013"/>
    <s v=""/>
    <n v="0"/>
    <n v="0"/>
    <n v="1"/>
    <n v="1"/>
    <s v="Low engagement"/>
    <b v="0"/>
    <b v="0"/>
    <b v="0"/>
    <x v="0"/>
  </r>
  <r>
    <s v="https://twitter.com/VW/status/657208015775371264"/>
    <s v="Volkswagen"/>
    <s v="@VW"/>
    <x v="1113"/>
    <s v="2015-10-22T14:52:55.000Z"/>
    <x v="1"/>
    <x v="109"/>
    <s v="14:52:55"/>
    <x v="3"/>
    <s v="@AngeliqueKenney"/>
    <s v=""/>
    <n v="1"/>
    <n v="1"/>
    <n v="1"/>
    <n v="3"/>
    <s v="Low engagement"/>
    <b v="0"/>
    <b v="0"/>
    <b v="0"/>
    <x v="0"/>
  </r>
  <r>
    <s v="https://twitter.com/VW/status/657209728058068992"/>
    <s v="Volkswagen"/>
    <s v="@VW"/>
    <x v="1114"/>
    <s v="2015-10-22T14:59:44.000Z"/>
    <x v="1"/>
    <x v="109"/>
    <s v="14:59:44"/>
    <x v="3"/>
    <s v="@Lamar_037"/>
    <s v=""/>
    <n v="0"/>
    <n v="0"/>
    <n v="1"/>
    <n v="1"/>
    <s v="Low engagement"/>
    <b v="0"/>
    <b v="0"/>
    <b v="0"/>
    <x v="0"/>
  </r>
  <r>
    <s v="https://twitter.com/VW/status/657219206484627456"/>
    <s v="Volkswagen"/>
    <s v="@VW"/>
    <x v="1115"/>
    <s v="2015-10-22T15:37:24.000Z"/>
    <x v="1"/>
    <x v="109"/>
    <s v="15:37:24"/>
    <x v="3"/>
    <s v=""/>
    <s v=""/>
    <n v="0"/>
    <n v="0"/>
    <n v="1"/>
    <n v="1"/>
    <s v="Low engagement"/>
    <b v="0"/>
    <b v="0"/>
    <b v="1"/>
    <x v="3"/>
  </r>
  <r>
    <s v="https://twitter.com/VW/status/657222729699995648"/>
    <s v="Volkswagen"/>
    <s v="@VW"/>
    <x v="1116"/>
    <s v="2015-10-22T15:51:24.000Z"/>
    <x v="1"/>
    <x v="109"/>
    <s v="15:51:24"/>
    <x v="3"/>
    <s v="@aChunkyStory"/>
    <s v=""/>
    <n v="0"/>
    <n v="0"/>
    <n v="1"/>
    <n v="1"/>
    <s v="Low engagement"/>
    <b v="0"/>
    <b v="0"/>
    <b v="0"/>
    <x v="0"/>
  </r>
  <r>
    <s v="https://twitter.com/VW/status/657247227295825920"/>
    <s v="Volkswagen"/>
    <s v="@VW"/>
    <x v="1117"/>
    <s v="2015-10-22T17:28:44.000Z"/>
    <x v="1"/>
    <x v="109"/>
    <s v="17:28:44"/>
    <x v="3"/>
    <s v="@Beto_Gnzlz"/>
    <s v=""/>
    <n v="0"/>
    <n v="0"/>
    <n v="1"/>
    <n v="1"/>
    <s v="Low engagement"/>
    <b v="0"/>
    <b v="0"/>
    <b v="0"/>
    <x v="0"/>
  </r>
  <r>
    <s v="https://twitter.com/VW/status/657257147269386241"/>
    <s v="Volkswagen"/>
    <s v="@VW"/>
    <x v="1118"/>
    <s v="2015-10-22T18:08:09.000Z"/>
    <x v="1"/>
    <x v="109"/>
    <s v="18:08:09"/>
    <x v="1"/>
    <s v="@preibischs"/>
    <s v=""/>
    <n v="1"/>
    <n v="0"/>
    <n v="1"/>
    <n v="2"/>
    <s v="Low engagement"/>
    <b v="0"/>
    <b v="0"/>
    <b v="0"/>
    <x v="0"/>
  </r>
  <r>
    <s v="https://twitter.com/VW/status/657257149081387008"/>
    <s v="Volkswagen"/>
    <s v="@VW"/>
    <x v="1119"/>
    <s v="2015-10-22T18:08:10.000Z"/>
    <x v="1"/>
    <x v="109"/>
    <s v="18:08:10"/>
    <x v="1"/>
    <s v="@preibischs"/>
    <s v=""/>
    <n v="1"/>
    <n v="1"/>
    <n v="2"/>
    <n v="4"/>
    <s v="Low engagement"/>
    <b v="0"/>
    <b v="0"/>
    <b v="0"/>
    <x v="0"/>
  </r>
  <r>
    <s v="https://twitter.com/VW/status/657266570704453632"/>
    <s v="Volkswagen"/>
    <s v="@VW"/>
    <x v="1120"/>
    <s v="2015-10-22T18:45:36.000Z"/>
    <x v="1"/>
    <x v="109"/>
    <s v="18:45:36"/>
    <x v="1"/>
    <s v="@PaleRabbit"/>
    <s v=""/>
    <n v="2"/>
    <n v="0"/>
    <n v="1"/>
    <n v="3"/>
    <s v="Low engagement"/>
    <b v="0"/>
    <b v="0"/>
    <b v="0"/>
    <x v="0"/>
  </r>
  <r>
    <s v="https://twitter.com/VW/status/657266568984854528"/>
    <s v="Volkswagen"/>
    <s v="@VW"/>
    <x v="1121"/>
    <s v="2015-10-22T18:45:36.000Z"/>
    <x v="1"/>
    <x v="109"/>
    <s v="18:45:36"/>
    <x v="1"/>
    <s v="@AmeliaDeitz"/>
    <s v=""/>
    <n v="0"/>
    <n v="1"/>
    <n v="1"/>
    <n v="2"/>
    <s v="Low engagement"/>
    <b v="0"/>
    <b v="0"/>
    <b v="0"/>
    <x v="0"/>
  </r>
  <r>
    <s v="https://twitter.com/VW/status/657302079849914368"/>
    <s v="Volkswagen"/>
    <s v="@VW"/>
    <x v="1122"/>
    <s v="2015-10-22T21:06:42.000Z"/>
    <x v="1"/>
    <x v="109"/>
    <s v="21:06:42"/>
    <x v="1"/>
    <s v="@laurenxeli"/>
    <s v=""/>
    <n v="0"/>
    <n v="0"/>
    <n v="1"/>
    <n v="1"/>
    <s v="Low engagement"/>
    <b v="0"/>
    <b v="0"/>
    <b v="0"/>
    <x v="0"/>
  </r>
  <r>
    <s v="https://twitter.com/VW/status/657561182513926144"/>
    <s v="Volkswagen"/>
    <s v="@VW"/>
    <x v="1123"/>
    <s v="2015-10-23T14:16:17.000Z"/>
    <x v="1"/>
    <x v="110"/>
    <s v="14:16:17"/>
    <x v="3"/>
    <s v="@SaruskaCoraJ"/>
    <s v=""/>
    <n v="0"/>
    <n v="0"/>
    <n v="1"/>
    <n v="1"/>
    <s v="Low engagement"/>
    <b v="0"/>
    <b v="0"/>
    <b v="0"/>
    <x v="0"/>
  </r>
  <r>
    <s v="https://twitter.com/VW/status/657561185080881152"/>
    <s v="Volkswagen"/>
    <s v="@VW"/>
    <x v="1124"/>
    <s v="2015-10-23T14:16:18.000Z"/>
    <x v="1"/>
    <x v="110"/>
    <s v="14:16:18"/>
    <x v="3"/>
    <s v="@SaruskaCoraJ"/>
    <s v=""/>
    <n v="0"/>
    <n v="1"/>
    <n v="1"/>
    <n v="2"/>
    <s v="Low engagement"/>
    <b v="0"/>
    <b v="0"/>
    <b v="0"/>
    <x v="0"/>
  </r>
  <r>
    <s v="https://twitter.com/VW/status/657648534099853312"/>
    <s v="Volkswagen"/>
    <s v="@VW"/>
    <x v="1125"/>
    <s v="2015-10-23T20:03:23.000Z"/>
    <x v="1"/>
    <x v="110"/>
    <s v="20:03:23"/>
    <x v="1"/>
    <s v="@doinga55ina54"/>
    <s v=""/>
    <n v="0"/>
    <n v="0"/>
    <n v="0"/>
    <n v="0"/>
    <s v="No engagement"/>
    <b v="0"/>
    <b v="0"/>
    <b v="0"/>
    <x v="0"/>
  </r>
  <r>
    <s v="https://twitter.com/VW/status/657648535731474432"/>
    <s v="Volkswagen"/>
    <s v="@VW"/>
    <x v="1126"/>
    <s v="2015-10-23T20:03:24.000Z"/>
    <x v="1"/>
    <x v="110"/>
    <s v="20:03:24"/>
    <x v="1"/>
    <s v="@Christina_Coker"/>
    <s v=""/>
    <n v="1"/>
    <n v="0"/>
    <n v="1"/>
    <n v="2"/>
    <s v="Low engagement"/>
    <b v="0"/>
    <b v="0"/>
    <b v="0"/>
    <x v="0"/>
  </r>
  <r>
    <s v="https://twitter.com/VW/status/658687073071710208"/>
    <s v="Volkswagen"/>
    <s v="@VW"/>
    <x v="1127"/>
    <s v="2015-10-26T16:50:10.000Z"/>
    <x v="1"/>
    <x v="111"/>
    <s v="16:50:10"/>
    <x v="3"/>
    <s v="@realTimothyLeow"/>
    <s v=""/>
    <n v="0"/>
    <n v="0"/>
    <n v="1"/>
    <n v="1"/>
    <s v="Low engagement"/>
    <b v="0"/>
    <b v="0"/>
    <b v="0"/>
    <x v="0"/>
  </r>
  <r>
    <s v="https://twitter.com/VW/status/658687077496651778"/>
    <s v="Volkswagen"/>
    <s v="@VW"/>
    <x v="1128"/>
    <s v="2015-10-26T16:50:11.000Z"/>
    <x v="1"/>
    <x v="111"/>
    <s v="16:50:11"/>
    <x v="3"/>
    <s v="@BRCush34"/>
    <s v=""/>
    <n v="0"/>
    <n v="0"/>
    <n v="0"/>
    <n v="0"/>
    <s v="No engagement"/>
    <b v="0"/>
    <b v="0"/>
    <b v="0"/>
    <x v="0"/>
  </r>
  <r>
    <s v="https://twitter.com/VW/status/658687075009454080"/>
    <s v="Volkswagen"/>
    <s v="@VW"/>
    <x v="1129"/>
    <s v="2015-10-26T16:50:11.000Z"/>
    <x v="1"/>
    <x v="111"/>
    <s v="16:50:11"/>
    <x v="3"/>
    <s v="@BRCush34"/>
    <s v=""/>
    <n v="0"/>
    <n v="0"/>
    <n v="0"/>
    <n v="0"/>
    <s v="No engagement"/>
    <b v="0"/>
    <b v="0"/>
    <b v="0"/>
    <x v="0"/>
  </r>
  <r>
    <s v="https://twitter.com/VW/status/658688872738500608"/>
    <s v="Volkswagen"/>
    <s v="@VW"/>
    <x v="1130"/>
    <s v="2015-10-26T16:57:19.000Z"/>
    <x v="1"/>
    <x v="111"/>
    <s v="16:57:19"/>
    <x v="3"/>
    <s v="@lunarvessel"/>
    <s v=""/>
    <n v="0"/>
    <n v="0"/>
    <n v="1"/>
    <n v="1"/>
    <s v="Low engagement"/>
    <b v="0"/>
    <b v="0"/>
    <b v="0"/>
    <x v="0"/>
  </r>
  <r>
    <s v="https://twitter.com/VW/status/658688870813315073"/>
    <s v="Volkswagen"/>
    <s v="@VW"/>
    <x v="1131"/>
    <s v="2015-10-26T16:57:19.000Z"/>
    <x v="1"/>
    <x v="111"/>
    <s v="16:57:19"/>
    <x v="3"/>
    <s v="@lunarvessel"/>
    <s v=""/>
    <n v="0"/>
    <n v="0"/>
    <n v="1"/>
    <n v="1"/>
    <s v="Low engagement"/>
    <b v="0"/>
    <b v="0"/>
    <b v="0"/>
    <x v="0"/>
  </r>
  <r>
    <s v="https://twitter.com/VW/status/658770085918584833"/>
    <s v="Volkswagen"/>
    <s v="@VW"/>
    <x v="1132"/>
    <s v="2015-10-26T22:20:02.000Z"/>
    <x v="1"/>
    <x v="111"/>
    <s v="22:20:02"/>
    <x v="1"/>
    <s v=""/>
    <s v=""/>
    <n v="0"/>
    <n v="0"/>
    <n v="1"/>
    <n v="1"/>
    <s v="Low engagement"/>
    <b v="0"/>
    <b v="0"/>
    <b v="0"/>
    <x v="0"/>
  </r>
  <r>
    <s v="https://twitter.com/VW/status/658771702143254528"/>
    <s v="Volkswagen"/>
    <s v="@VW"/>
    <x v="1133"/>
    <s v="2015-10-26T22:26:27.000Z"/>
    <x v="1"/>
    <x v="111"/>
    <s v="22:26:27"/>
    <x v="1"/>
    <s v="@MillerMinis"/>
    <s v=""/>
    <n v="0"/>
    <n v="0"/>
    <n v="1"/>
    <n v="1"/>
    <s v="Low engagement"/>
    <b v="0"/>
    <b v="0"/>
    <b v="0"/>
    <x v="0"/>
  </r>
  <r>
    <s v="https://twitter.com/VW/status/658771704026542080"/>
    <s v="Volkswagen"/>
    <s v="@VW"/>
    <x v="1134"/>
    <s v="2015-10-26T22:26:28.000Z"/>
    <x v="1"/>
    <x v="111"/>
    <s v="22:26:28"/>
    <x v="1"/>
    <s v="@SoSmartLatina1"/>
    <s v=""/>
    <n v="0"/>
    <n v="0"/>
    <n v="1"/>
    <n v="1"/>
    <s v="Low engagement"/>
    <b v="0"/>
    <b v="0"/>
    <b v="0"/>
    <x v="0"/>
  </r>
  <r>
    <s v="https://twitter.com/VW/status/658771709810503680"/>
    <s v="Volkswagen"/>
    <s v="@VW"/>
    <x v="1135"/>
    <s v="2015-10-26T22:26:29.000Z"/>
    <x v="1"/>
    <x v="111"/>
    <s v="22:26:29"/>
    <x v="1"/>
    <s v="@ORBF73"/>
    <s v=""/>
    <n v="0"/>
    <n v="0"/>
    <n v="0"/>
    <n v="0"/>
    <s v="No engagement"/>
    <b v="0"/>
    <b v="0"/>
    <b v="0"/>
    <x v="0"/>
  </r>
  <r>
    <s v="https://twitter.com/VW/status/658771707600089088"/>
    <s v="Volkswagen"/>
    <s v="@VW"/>
    <x v="1136"/>
    <s v="2015-10-26T22:26:29.000Z"/>
    <x v="1"/>
    <x v="111"/>
    <s v="22:26:29"/>
    <x v="1"/>
    <s v="@ORBF73"/>
    <s v=""/>
    <n v="0"/>
    <n v="1"/>
    <n v="1"/>
    <n v="2"/>
    <s v="Low engagement"/>
    <b v="0"/>
    <b v="0"/>
    <b v="0"/>
    <x v="0"/>
  </r>
  <r>
    <s v="https://twitter.com/VW/status/659037109429252097"/>
    <s v="Volkswagen"/>
    <s v="@VW"/>
    <x v="1137"/>
    <s v="2015-10-27T16:01:05.000Z"/>
    <x v="1"/>
    <x v="112"/>
    <s v="16:01:05"/>
    <x v="3"/>
    <s v="@rejohnson1992"/>
    <s v=""/>
    <n v="1"/>
    <n v="0"/>
    <n v="1"/>
    <n v="2"/>
    <s v="Low engagement"/>
    <b v="0"/>
    <b v="0"/>
    <b v="0"/>
    <x v="0"/>
  </r>
  <r>
    <s v="https://twitter.com/VW/status/659037110888869888"/>
    <s v="Volkswagen"/>
    <s v="@VW"/>
    <x v="1138"/>
    <s v="2015-10-27T16:01:06.000Z"/>
    <x v="1"/>
    <x v="112"/>
    <s v="16:01:06"/>
    <x v="3"/>
    <s v="@rejohnson1992"/>
    <s v=""/>
    <n v="1"/>
    <n v="0"/>
    <n v="1"/>
    <n v="2"/>
    <s v="Low engagement"/>
    <b v="0"/>
    <b v="0"/>
    <b v="0"/>
    <x v="0"/>
  </r>
  <r>
    <s v="https://twitter.com/VW/status/659040522628038656"/>
    <s v="Volkswagen"/>
    <s v="@VW"/>
    <x v="1139"/>
    <s v="2015-10-27T16:14:39.000Z"/>
    <x v="1"/>
    <x v="112"/>
    <s v="16:14:39"/>
    <x v="3"/>
    <s v=""/>
    <s v=""/>
    <n v="0"/>
    <n v="0"/>
    <n v="0"/>
    <n v="0"/>
    <s v="No engagement"/>
    <b v="0"/>
    <b v="0"/>
    <b v="0"/>
    <x v="0"/>
  </r>
  <r>
    <s v="https://twitter.com/VW/status/659043107967643648"/>
    <s v="Volkswagen"/>
    <s v="@VW"/>
    <x v="1140"/>
    <s v="2015-10-27T16:24:56.000Z"/>
    <x v="1"/>
    <x v="112"/>
    <s v="16:24:56"/>
    <x v="3"/>
    <s v="@DrCherylTien"/>
    <s v=""/>
    <n v="0"/>
    <n v="0"/>
    <n v="0"/>
    <n v="0"/>
    <s v="No engagement"/>
    <b v="0"/>
    <b v="0"/>
    <b v="0"/>
    <x v="0"/>
  </r>
  <r>
    <s v="https://twitter.com/VW/status/659045774118940672"/>
    <s v="Volkswagen"/>
    <s v="@VW"/>
    <x v="1141"/>
    <s v="2015-10-27T16:35:31.000Z"/>
    <x v="1"/>
    <x v="112"/>
    <s v="16:35:31"/>
    <x v="3"/>
    <s v="@rebeccamg"/>
    <s v=""/>
    <n v="0"/>
    <n v="0"/>
    <n v="0"/>
    <n v="0"/>
    <s v="No engagement"/>
    <b v="0"/>
    <b v="0"/>
    <b v="0"/>
    <x v="0"/>
  </r>
  <r>
    <s v="https://twitter.com/VW/status/659048406837432320"/>
    <s v="Volkswagen"/>
    <s v="@VW"/>
    <x v="1142"/>
    <s v="2015-10-27T16:45:59.000Z"/>
    <x v="1"/>
    <x v="112"/>
    <s v="16:45:59"/>
    <x v="3"/>
    <s v="@AndiMunson"/>
    <s v=""/>
    <n v="0"/>
    <n v="0"/>
    <n v="0"/>
    <n v="0"/>
    <s v="No engagement"/>
    <b v="0"/>
    <b v="0"/>
    <b v="0"/>
    <x v="0"/>
  </r>
  <r>
    <s v="https://twitter.com/VW/status/659071988325986304"/>
    <s v="Volkswagen"/>
    <s v="@VW"/>
    <x v="1143"/>
    <s v="2015-10-27T18:19:41.000Z"/>
    <x v="1"/>
    <x v="112"/>
    <s v="18:19:41"/>
    <x v="1"/>
    <s v="@NewtZlee"/>
    <s v=""/>
    <n v="0"/>
    <n v="1"/>
    <n v="0"/>
    <n v="1"/>
    <s v="Low engagement"/>
    <b v="0"/>
    <b v="0"/>
    <b v="0"/>
    <x v="0"/>
  </r>
  <r>
    <s v="https://twitter.com/VW/status/659071990129561600"/>
    <s v="Volkswagen"/>
    <s v="@VW"/>
    <x v="1144"/>
    <s v="2015-10-27T18:19:42.000Z"/>
    <x v="1"/>
    <x v="112"/>
    <s v="18:19:42"/>
    <x v="1"/>
    <s v="@NewtZlee"/>
    <s v=""/>
    <n v="0"/>
    <n v="1"/>
    <n v="0"/>
    <n v="1"/>
    <s v="Low engagement"/>
    <b v="0"/>
    <b v="0"/>
    <b v="0"/>
    <x v="0"/>
  </r>
  <r>
    <s v="https://twitter.com/VW/status/659085939449315328"/>
    <s v="Volkswagen"/>
    <s v="@VW"/>
    <x v="1145"/>
    <s v="2015-10-27T19:15:07.000Z"/>
    <x v="1"/>
    <x v="112"/>
    <s v="19:15:07"/>
    <x v="1"/>
    <s v="@sallyano22"/>
    <s v=""/>
    <n v="0"/>
    <n v="5"/>
    <n v="0"/>
    <n v="5"/>
    <s v="Moderate engagement"/>
    <b v="0"/>
    <b v="0"/>
    <b v="0"/>
    <x v="0"/>
  </r>
  <r>
    <s v="https://twitter.com/VW/status/659085937561829376"/>
    <s v="Volkswagen"/>
    <s v="@VW"/>
    <x v="1146"/>
    <s v="2015-10-27T19:15:07.000Z"/>
    <x v="1"/>
    <x v="112"/>
    <s v="19:15:07"/>
    <x v="1"/>
    <s v="@chris_weis"/>
    <s v=""/>
    <n v="0"/>
    <n v="0"/>
    <n v="0"/>
    <n v="0"/>
    <s v="No engagement"/>
    <b v="0"/>
    <b v="0"/>
    <b v="0"/>
    <x v="0"/>
  </r>
  <r>
    <s v="https://twitter.com/VW/status/659085942595018752"/>
    <s v="Volkswagen"/>
    <s v="@VW"/>
    <x v="1147"/>
    <s v="2015-10-27T19:15:08.000Z"/>
    <x v="1"/>
    <x v="112"/>
    <s v="19:15:08"/>
    <x v="1"/>
    <s v="@11Silverado"/>
    <s v=""/>
    <n v="0"/>
    <n v="0"/>
    <n v="1"/>
    <n v="1"/>
    <s v="Low engagement"/>
    <b v="0"/>
    <b v="0"/>
    <b v="0"/>
    <x v="0"/>
  </r>
  <r>
    <s v="https://twitter.com/VW/status/659085940959260672"/>
    <s v="Volkswagen"/>
    <s v="@VW"/>
    <x v="1148"/>
    <s v="2015-10-27T19:15:08.000Z"/>
    <x v="1"/>
    <x v="112"/>
    <s v="19:15:08"/>
    <x v="1"/>
    <s v=""/>
    <s v=""/>
    <n v="0"/>
    <n v="0"/>
    <n v="0"/>
    <n v="0"/>
    <s v="No engagement"/>
    <b v="0"/>
    <b v="0"/>
    <b v="0"/>
    <x v="0"/>
  </r>
  <r>
    <s v="https://twitter.com/VW/status/659087767398256640"/>
    <s v="Volkswagen"/>
    <s v="@VW"/>
    <x v="1149"/>
    <s v="2015-10-27T19:22:23.000Z"/>
    <x v="1"/>
    <x v="112"/>
    <s v="19:22:23"/>
    <x v="1"/>
    <s v="@laurennotkelley"/>
    <s v=""/>
    <n v="0"/>
    <n v="0"/>
    <n v="0"/>
    <n v="0"/>
    <s v="No engagement"/>
    <b v="0"/>
    <b v="0"/>
    <b v="0"/>
    <x v="0"/>
  </r>
  <r>
    <s v="https://twitter.com/VW/status/659087765720580096"/>
    <s v="Volkswagen"/>
    <s v="@VW"/>
    <x v="1150"/>
    <s v="2015-10-27T19:22:23.000Z"/>
    <x v="1"/>
    <x v="112"/>
    <s v="19:22:23"/>
    <x v="1"/>
    <s v="@olivejuice2227"/>
    <s v=""/>
    <n v="0"/>
    <n v="0"/>
    <n v="1"/>
    <n v="1"/>
    <s v="Low engagement"/>
    <b v="0"/>
    <b v="0"/>
    <b v="0"/>
    <x v="0"/>
  </r>
  <r>
    <s v="https://twitter.com/VW/status/659087769088557056"/>
    <s v="Volkswagen"/>
    <s v="@VW"/>
    <x v="1151"/>
    <s v="2015-10-27T19:22:24.000Z"/>
    <x v="1"/>
    <x v="112"/>
    <s v="19:22:24"/>
    <x v="1"/>
    <s v="@laurennotkelley"/>
    <s v=""/>
    <n v="0"/>
    <n v="0"/>
    <n v="1"/>
    <n v="1"/>
    <s v="Low engagement"/>
    <b v="0"/>
    <b v="0"/>
    <b v="0"/>
    <x v="0"/>
  </r>
  <r>
    <s v="https://twitter.com/VW/status/659088604434591744"/>
    <s v="Volkswagen"/>
    <s v="@VW"/>
    <x v="1152"/>
    <s v="2015-10-27T19:25:43.000Z"/>
    <x v="1"/>
    <x v="112"/>
    <s v="19:25:43"/>
    <x v="1"/>
    <s v="@DJNeonBunny"/>
    <s v=""/>
    <n v="0"/>
    <n v="1"/>
    <n v="1"/>
    <n v="2"/>
    <s v="Low engagement"/>
    <b v="0"/>
    <b v="0"/>
    <b v="1"/>
    <x v="3"/>
  </r>
  <r>
    <s v="https://twitter.com/VW/status/659380264251076608"/>
    <s v="Volkswagen"/>
    <s v="@VW"/>
    <x v="1153"/>
    <s v="2015-10-28T14:44:40.000Z"/>
    <x v="1"/>
    <x v="113"/>
    <s v="14:44:40"/>
    <x v="3"/>
    <s v="@SoSmartLatina1"/>
    <s v=""/>
    <n v="0"/>
    <n v="0"/>
    <n v="0"/>
    <n v="0"/>
    <s v="No engagement"/>
    <b v="0"/>
    <b v="0"/>
    <b v="0"/>
    <x v="0"/>
  </r>
  <r>
    <s v="https://twitter.com/VW/status/659381172238094336"/>
    <s v="Volkswagen"/>
    <s v="@VW"/>
    <x v="1154"/>
    <s v="2015-10-28T14:48:16.000Z"/>
    <x v="1"/>
    <x v="113"/>
    <s v="14:48:16"/>
    <x v="3"/>
    <s v="@jeff_nieman"/>
    <s v=""/>
    <n v="0"/>
    <n v="0"/>
    <n v="1"/>
    <n v="1"/>
    <s v="Low engagement"/>
    <b v="0"/>
    <b v="0"/>
    <b v="0"/>
    <x v="0"/>
  </r>
  <r>
    <s v="https://twitter.com/VW/status/659388166269366272"/>
    <s v="Volkswagen"/>
    <s v="@VW"/>
    <x v="1155"/>
    <s v="2015-10-28T15:16:04.000Z"/>
    <x v="1"/>
    <x v="113"/>
    <s v="15:16:04"/>
    <x v="3"/>
    <s v="@ORBF73"/>
    <s v=""/>
    <n v="0"/>
    <n v="0"/>
    <n v="2"/>
    <n v="2"/>
    <s v="Low engagement"/>
    <b v="0"/>
    <b v="0"/>
    <b v="0"/>
    <x v="0"/>
  </r>
  <r>
    <s v="https://twitter.com/VW/status/659450530591318016"/>
    <s v="Volkswagen"/>
    <s v="@VW"/>
    <x v="1156"/>
    <s v="2015-10-28T19:23:53.000Z"/>
    <x v="1"/>
    <x v="113"/>
    <s v="19:23:53"/>
    <x v="1"/>
    <s v=""/>
    <s v=""/>
    <n v="168"/>
    <n v="39"/>
    <n v="136"/>
    <n v="343"/>
    <s v="High engagement"/>
    <b v="1"/>
    <b v="0"/>
    <b v="1"/>
    <x v="1"/>
  </r>
  <r>
    <s v="https://twitter.com/VW/status/659465346626142208"/>
    <s v="Volkswagen"/>
    <s v="@VW"/>
    <x v="1157"/>
    <s v="2015-10-28T20:22:45.000Z"/>
    <x v="1"/>
    <x v="113"/>
    <s v="20:22:45"/>
    <x v="1"/>
    <s v="@AyeeChristiancx"/>
    <s v=""/>
    <n v="0"/>
    <n v="1"/>
    <n v="1"/>
    <n v="2"/>
    <s v="Low engagement"/>
    <b v="0"/>
    <b v="0"/>
    <b v="0"/>
    <x v="0"/>
  </r>
  <r>
    <s v="https://twitter.com/VW/status/659733850398916608"/>
    <s v="Volkswagen"/>
    <s v="@VW"/>
    <x v="1158"/>
    <s v="2015-10-29T14:09:41.000Z"/>
    <x v="1"/>
    <x v="114"/>
    <s v="14:09:41"/>
    <x v="3"/>
    <s v=""/>
    <s v=""/>
    <n v="0"/>
    <n v="0"/>
    <n v="0"/>
    <n v="0"/>
    <s v="No engagement"/>
    <b v="0"/>
    <b v="0"/>
    <b v="0"/>
    <x v="0"/>
  </r>
  <r>
    <s v="https://twitter.com/VW/status/659733853884448769"/>
    <s v="Volkswagen"/>
    <s v="@VW"/>
    <x v="1159"/>
    <s v="2015-10-29T14:09:42.000Z"/>
    <x v="1"/>
    <x v="114"/>
    <s v="14:09:42"/>
    <x v="3"/>
    <s v="@kfishal"/>
    <s v=""/>
    <n v="0"/>
    <n v="1"/>
    <n v="1"/>
    <n v="2"/>
    <s v="Low engagement"/>
    <b v="0"/>
    <b v="0"/>
    <b v="1"/>
    <x v="3"/>
  </r>
  <r>
    <s v="https://twitter.com/VW/status/659733855574716416"/>
    <s v="Volkswagen"/>
    <s v="@VW"/>
    <x v="1160"/>
    <s v="2015-10-29T14:09:43.000Z"/>
    <x v="1"/>
    <x v="114"/>
    <s v="14:09:43"/>
    <x v="3"/>
    <s v="@ForeTammy"/>
    <s v=""/>
    <n v="0"/>
    <n v="0"/>
    <n v="1"/>
    <n v="1"/>
    <s v="Low engagement"/>
    <b v="0"/>
    <b v="0"/>
    <b v="0"/>
    <x v="0"/>
  </r>
  <r>
    <s v="https://twitter.com/VW/status/659781238253707264"/>
    <s v="Volkswagen"/>
    <s v="@VW"/>
    <x v="1161"/>
    <s v="2015-10-29T17:17:59.000Z"/>
    <x v="1"/>
    <x v="114"/>
    <s v="17:17:59"/>
    <x v="3"/>
    <s v="@tweetAMRAPALI"/>
    <s v=""/>
    <n v="0"/>
    <n v="0"/>
    <n v="1"/>
    <n v="1"/>
    <s v="Low engagement"/>
    <b v="0"/>
    <b v="0"/>
    <b v="0"/>
    <x v="0"/>
  </r>
  <r>
    <s v="https://twitter.com/VW/status/659781239994343424"/>
    <s v="Volkswagen"/>
    <s v="@VW"/>
    <x v="1162"/>
    <s v="2015-10-29T17:18:00.000Z"/>
    <x v="1"/>
    <x v="114"/>
    <s v="17:18:00"/>
    <x v="3"/>
    <s v="@tweetAMRAPALI"/>
    <s v=""/>
    <n v="0"/>
    <n v="0"/>
    <n v="1"/>
    <n v="1"/>
    <s v="Low engagement"/>
    <b v="0"/>
    <b v="0"/>
    <b v="0"/>
    <x v="0"/>
  </r>
  <r>
    <s v="https://twitter.com/VW/status/659792351443881984"/>
    <s v="Volkswagen"/>
    <s v="@VW"/>
    <x v="1163"/>
    <s v="2015-10-29T18:02:09.000Z"/>
    <x v="1"/>
    <x v="114"/>
    <s v="18:02:09"/>
    <x v="1"/>
    <s v="@OrvngeJulius"/>
    <s v=""/>
    <n v="0"/>
    <n v="0"/>
    <n v="1"/>
    <n v="1"/>
    <s v="Low engagement"/>
    <b v="0"/>
    <b v="0"/>
    <b v="0"/>
    <x v="0"/>
  </r>
  <r>
    <s v="https://twitter.com/VW/status/659792353238999040"/>
    <s v="Volkswagen"/>
    <s v="@VW"/>
    <x v="1164"/>
    <s v="2015-10-29T18:02:10.000Z"/>
    <x v="1"/>
    <x v="114"/>
    <s v="18:02:10"/>
    <x v="1"/>
    <s v="@OrvngeJulius"/>
    <s v=""/>
    <n v="0"/>
    <n v="0"/>
    <n v="1"/>
    <n v="1"/>
    <s v="Low engagement"/>
    <b v="0"/>
    <b v="0"/>
    <b v="0"/>
    <x v="0"/>
  </r>
  <r>
    <s v="https://twitter.com/VW/status/659810611748995072"/>
    <s v="Volkswagen"/>
    <s v="@VW"/>
    <x v="1165"/>
    <s v="2015-10-29T19:14:43.000Z"/>
    <x v="1"/>
    <x v="114"/>
    <s v="19:14:43"/>
    <x v="1"/>
    <s v=""/>
    <s v=""/>
    <n v="0"/>
    <n v="0"/>
    <n v="1"/>
    <n v="1"/>
    <s v="Low engagement"/>
    <b v="0"/>
    <b v="0"/>
    <b v="0"/>
    <x v="0"/>
  </r>
  <r>
    <s v="https://twitter.com/VW/status/660128613841309696"/>
    <s v="Volkswagen"/>
    <s v="@VW"/>
    <x v="1166"/>
    <s v="2015-10-30T16:18:20.000Z"/>
    <x v="1"/>
    <x v="115"/>
    <s v="16:18:20"/>
    <x v="3"/>
    <s v=""/>
    <s v=""/>
    <n v="0"/>
    <n v="0"/>
    <n v="1"/>
    <n v="1"/>
    <s v="Low engagement"/>
    <b v="0"/>
    <b v="0"/>
    <b v="0"/>
    <x v="0"/>
  </r>
  <r>
    <s v="https://twitter.com/VW/status/660128615418359808"/>
    <s v="Volkswagen"/>
    <s v="@VW"/>
    <x v="1167"/>
    <s v="2015-10-30T16:18:21.000Z"/>
    <x v="1"/>
    <x v="115"/>
    <s v="16:18:21"/>
    <x v="3"/>
    <s v=""/>
    <s v=""/>
    <n v="0"/>
    <n v="0"/>
    <n v="1"/>
    <n v="1"/>
    <s v="Low engagement"/>
    <b v="0"/>
    <b v="0"/>
    <b v="0"/>
    <x v="0"/>
  </r>
  <r>
    <s v="https://twitter.com/VW/status/660129488206868480"/>
    <s v="Volkswagen"/>
    <s v="@VW"/>
    <x v="1168"/>
    <s v="2015-10-30T16:21:49.000Z"/>
    <x v="1"/>
    <x v="115"/>
    <s v="16:21:49"/>
    <x v="3"/>
    <s v="@nickcatelli"/>
    <s v=""/>
    <n v="0"/>
    <n v="1"/>
    <n v="1"/>
    <n v="2"/>
    <s v="Low engagement"/>
    <b v="0"/>
    <b v="0"/>
    <b v="1"/>
    <x v="3"/>
  </r>
  <r>
    <s v="https://twitter.com/VW/status/660132237527027712"/>
    <s v="Volkswagen"/>
    <s v="@VW"/>
    <x v="1169"/>
    <s v="2015-10-30T16:32:44.000Z"/>
    <x v="1"/>
    <x v="115"/>
    <s v="16:32:44"/>
    <x v="3"/>
    <s v="@BirdsFlyHigh215"/>
    <s v=""/>
    <n v="0"/>
    <n v="0"/>
    <n v="0"/>
    <n v="0"/>
    <s v="No engagement"/>
    <b v="0"/>
    <b v="0"/>
    <b v="0"/>
    <x v="0"/>
  </r>
  <r>
    <s v="https://twitter.com/VW/status/660132235928993792"/>
    <s v="Volkswagen"/>
    <s v="@VW"/>
    <x v="1170"/>
    <s v="2015-10-30T16:32:44.000Z"/>
    <x v="1"/>
    <x v="115"/>
    <s v="16:32:44"/>
    <x v="3"/>
    <s v="@BirdsFlyHigh215"/>
    <s v=""/>
    <n v="0"/>
    <n v="0"/>
    <n v="1"/>
    <n v="1"/>
    <s v="Low engagement"/>
    <b v="0"/>
    <b v="0"/>
    <b v="0"/>
    <x v="0"/>
  </r>
  <r>
    <s v="https://twitter.com/VW/status/660132240588824576"/>
    <s v="Volkswagen"/>
    <s v="@VW"/>
    <x v="1171"/>
    <s v="2015-10-30T16:32:45.000Z"/>
    <x v="1"/>
    <x v="115"/>
    <s v="16:32:45"/>
    <x v="3"/>
    <s v="@danpolis"/>
    <s v=""/>
    <n v="0"/>
    <n v="0"/>
    <n v="1"/>
    <n v="1"/>
    <s v="Low engagement"/>
    <b v="0"/>
    <b v="0"/>
    <b v="0"/>
    <x v="0"/>
  </r>
  <r>
    <s v="https://twitter.com/VW/status/660132239196356608"/>
    <s v="Volkswagen"/>
    <s v="@VW"/>
    <x v="1172"/>
    <s v="2015-10-30T16:32:45.000Z"/>
    <x v="1"/>
    <x v="115"/>
    <s v="16:32:45"/>
    <x v="3"/>
    <s v=""/>
    <s v=""/>
    <n v="0"/>
    <n v="0"/>
    <n v="1"/>
    <n v="1"/>
    <s v="Low engagement"/>
    <b v="0"/>
    <b v="0"/>
    <b v="0"/>
    <x v="0"/>
  </r>
  <r>
    <s v="https://twitter.com/VW/status/660153992438087680"/>
    <s v="Volkswagen"/>
    <s v="@VW"/>
    <x v="1173"/>
    <s v="2015-10-30T17:59:11.000Z"/>
    <x v="1"/>
    <x v="115"/>
    <s v="17:59:11"/>
    <x v="3"/>
    <s v=""/>
    <s v=""/>
    <n v="1"/>
    <n v="0"/>
    <n v="1"/>
    <n v="2"/>
    <s v="Low engagement"/>
    <b v="0"/>
    <b v="0"/>
    <b v="0"/>
    <x v="0"/>
  </r>
  <r>
    <s v="https://twitter.com/VW/status/660154820020404224"/>
    <s v="Volkswagen"/>
    <s v="@VW"/>
    <x v="1174"/>
    <s v="2015-10-30T18:02:28.000Z"/>
    <x v="1"/>
    <x v="115"/>
    <s v="18:02:28"/>
    <x v="1"/>
    <s v=""/>
    <s v=""/>
    <n v="0"/>
    <n v="0"/>
    <n v="1"/>
    <n v="1"/>
    <s v="Low engagement"/>
    <b v="0"/>
    <b v="0"/>
    <b v="0"/>
    <x v="0"/>
  </r>
  <r>
    <s v="https://twitter.com/VW/status/660154818414010368"/>
    <s v="Volkswagen"/>
    <s v="@VW"/>
    <x v="1175"/>
    <s v="2015-10-30T18:02:28.000Z"/>
    <x v="1"/>
    <x v="115"/>
    <s v="18:02:28"/>
    <x v="1"/>
    <s v=""/>
    <s v=""/>
    <n v="0"/>
    <n v="0"/>
    <n v="1"/>
    <n v="1"/>
    <s v="Low engagement"/>
    <b v="0"/>
    <b v="0"/>
    <b v="0"/>
    <x v="0"/>
  </r>
  <r>
    <s v="https://twitter.com/VW/status/660154821693960193"/>
    <s v="Volkswagen"/>
    <s v="@VW"/>
    <x v="1176"/>
    <s v="2015-10-30T18:02:29.000Z"/>
    <x v="1"/>
    <x v="115"/>
    <s v="18:02:29"/>
    <x v="1"/>
    <s v=""/>
    <s v=""/>
    <n v="0"/>
    <n v="0"/>
    <n v="0"/>
    <n v="0"/>
    <s v="No engagement"/>
    <b v="0"/>
    <b v="0"/>
    <b v="0"/>
    <x v="0"/>
  </r>
  <r>
    <s v="https://twitter.com/VW/status/660155696609013760"/>
    <s v="Volkswagen"/>
    <s v="@VW"/>
    <x v="1177"/>
    <s v="2015-10-30T18:05:57.000Z"/>
    <x v="1"/>
    <x v="115"/>
    <s v="18:05:57"/>
    <x v="1"/>
    <s v="@fady_elsayed"/>
    <s v=""/>
    <n v="0"/>
    <n v="0"/>
    <n v="1"/>
    <n v="1"/>
    <s v="Low engagement"/>
    <b v="0"/>
    <b v="0"/>
    <b v="0"/>
    <x v="0"/>
  </r>
  <r>
    <s v="https://twitter.com/VW/status/660157565771255810"/>
    <s v="Volkswagen"/>
    <s v="@VW"/>
    <x v="1178"/>
    <s v="2015-10-30T18:13:23.000Z"/>
    <x v="1"/>
    <x v="115"/>
    <s v="18:13:23"/>
    <x v="1"/>
    <s v="@fady_elsayed"/>
    <s v=""/>
    <n v="0"/>
    <n v="0"/>
    <n v="0"/>
    <n v="0"/>
    <s v="No engagement"/>
    <b v="0"/>
    <b v="0"/>
    <b v="1"/>
    <x v="3"/>
  </r>
  <r>
    <s v="https://twitter.com/VW/status/660160116059037696"/>
    <s v="Volkswagen"/>
    <s v="@VW"/>
    <x v="1179"/>
    <s v="2015-10-30T18:23:31.000Z"/>
    <x v="1"/>
    <x v="115"/>
    <s v="18:23:31"/>
    <x v="1"/>
    <s v=""/>
    <s v=""/>
    <n v="0"/>
    <n v="0"/>
    <n v="1"/>
    <n v="1"/>
    <s v="Low engagement"/>
    <b v="0"/>
    <b v="0"/>
    <b v="1"/>
    <x v="3"/>
  </r>
  <r>
    <s v="https://twitter.com/VW/status/660160114440048640"/>
    <s v="Volkswagen"/>
    <s v="@VW"/>
    <x v="1180"/>
    <s v="2015-10-30T18:23:31.000Z"/>
    <x v="1"/>
    <x v="115"/>
    <s v="18:23:31"/>
    <x v="1"/>
    <s v=""/>
    <s v=""/>
    <n v="0"/>
    <n v="0"/>
    <n v="0"/>
    <n v="0"/>
    <s v="No engagement"/>
    <b v="0"/>
    <b v="0"/>
    <b v="0"/>
    <x v="0"/>
  </r>
  <r>
    <s v="https://twitter.com/VW/status/660168875149950977"/>
    <s v="Volkswagen"/>
    <s v="@VW"/>
    <x v="1181"/>
    <s v="2015-10-30T18:58:19.000Z"/>
    <x v="1"/>
    <x v="115"/>
    <s v="18:58:19"/>
    <x v="1"/>
    <s v=""/>
    <s v=""/>
    <n v="0"/>
    <n v="0"/>
    <n v="0"/>
    <n v="0"/>
    <s v="No engagement"/>
    <b v="0"/>
    <b v="0"/>
    <b v="0"/>
    <x v="0"/>
  </r>
  <r>
    <s v="https://twitter.com/VW/status/660168873413513216"/>
    <s v="Volkswagen"/>
    <s v="@VW"/>
    <x v="1182"/>
    <s v="2015-10-30T18:58:19.000Z"/>
    <x v="1"/>
    <x v="115"/>
    <s v="18:58:19"/>
    <x v="1"/>
    <s v=""/>
    <s v=""/>
    <n v="0"/>
    <n v="0"/>
    <n v="0"/>
    <n v="0"/>
    <s v="No engagement"/>
    <b v="0"/>
    <b v="0"/>
    <b v="0"/>
    <x v="0"/>
  </r>
  <r>
    <s v="https://twitter.com/VW/status/660168879130341376"/>
    <s v="Volkswagen"/>
    <s v="@VW"/>
    <x v="1183"/>
    <s v="2015-10-30T18:58:20.000Z"/>
    <x v="1"/>
    <x v="115"/>
    <s v="18:58:20"/>
    <x v="1"/>
    <s v="@Rosa_Yanez831"/>
    <s v=""/>
    <n v="0"/>
    <n v="0"/>
    <n v="1"/>
    <n v="1"/>
    <s v="Low engagement"/>
    <b v="0"/>
    <b v="0"/>
    <b v="0"/>
    <x v="0"/>
  </r>
  <r>
    <s v="https://twitter.com/VW/status/660168877326774272"/>
    <s v="Volkswagen"/>
    <s v="@VW"/>
    <x v="1184"/>
    <s v="2015-10-30T18:58:20.000Z"/>
    <x v="1"/>
    <x v="115"/>
    <s v="18:58:20"/>
    <x v="1"/>
    <s v="@Rosa_Yanez831"/>
    <s v=""/>
    <n v="0"/>
    <n v="0"/>
    <n v="1"/>
    <n v="1"/>
    <s v="Low engagement"/>
    <b v="0"/>
    <b v="0"/>
    <b v="0"/>
    <x v="0"/>
  </r>
  <r>
    <s v="https://twitter.com/VW/status/660173992163078145"/>
    <s v="Volkswagen"/>
    <s v="@VW"/>
    <x v="1185"/>
    <s v="2015-10-30T19:18:39.000Z"/>
    <x v="1"/>
    <x v="115"/>
    <s v="19:18:39"/>
    <x v="1"/>
    <s v="@josephazam"/>
    <s v=""/>
    <n v="1"/>
    <n v="0"/>
    <n v="1"/>
    <n v="2"/>
    <s v="Low engagement"/>
    <b v="0"/>
    <b v="0"/>
    <b v="0"/>
    <x v="0"/>
  </r>
  <r>
    <s v="https://twitter.com/VW/status/660173993933058048"/>
    <s v="Volkswagen"/>
    <s v="@VW"/>
    <x v="1186"/>
    <s v="2015-10-30T19:18:40.000Z"/>
    <x v="1"/>
    <x v="115"/>
    <s v="19:18:40"/>
    <x v="1"/>
    <s v="@josephazam"/>
    <s v=""/>
    <n v="1"/>
    <n v="0"/>
    <n v="0"/>
    <n v="1"/>
    <s v="Low engagement"/>
    <b v="0"/>
    <b v="0"/>
    <b v="0"/>
    <x v="0"/>
  </r>
  <r>
    <s v="https://twitter.com/VW/status/660185314124664832"/>
    <s v="Volkswagen"/>
    <s v="@VW"/>
    <x v="1187"/>
    <s v="2015-10-30T20:03:39.000Z"/>
    <x v="1"/>
    <x v="115"/>
    <s v="20:03:39"/>
    <x v="1"/>
    <s v="@Jon_NoHF"/>
    <s v=""/>
    <n v="0"/>
    <n v="0"/>
    <n v="1"/>
    <n v="1"/>
    <s v="Low engagement"/>
    <b v="0"/>
    <b v="0"/>
    <b v="0"/>
    <x v="0"/>
  </r>
  <r>
    <s v="https://twitter.com/VW/status/660921181835411456"/>
    <s v="Volkswagen"/>
    <s v="@VW"/>
    <x v="1188"/>
    <s v="2015-11-01T20:47:43.000Z"/>
    <x v="1"/>
    <x v="116"/>
    <s v="20:47:43"/>
    <x v="1"/>
    <s v="@SAFTDIVA"/>
    <s v=""/>
    <n v="0"/>
    <n v="0"/>
    <n v="0"/>
    <n v="0"/>
    <s v="No engagement"/>
    <b v="0"/>
    <b v="0"/>
    <b v="0"/>
    <x v="0"/>
  </r>
  <r>
    <s v="https://twitter.com/VW/status/661212636114120704"/>
    <s v="Volkswagen"/>
    <s v="@VW"/>
    <x v="1189"/>
    <s v="2015-11-02T16:05:51.000Z"/>
    <x v="1"/>
    <x v="117"/>
    <s v="16:05:51"/>
    <x v="3"/>
    <s v=""/>
    <s v=""/>
    <n v="0"/>
    <n v="0"/>
    <n v="1"/>
    <n v="1"/>
    <s v="Low engagement"/>
    <b v="0"/>
    <b v="0"/>
    <b v="1"/>
    <x v="3"/>
  </r>
  <r>
    <s v="https://twitter.com/VW/status/661212632968376320"/>
    <s v="Volkswagen"/>
    <s v="@VW"/>
    <x v="1190"/>
    <s v="2015-11-02T16:05:51.000Z"/>
    <x v="1"/>
    <x v="117"/>
    <s v="16:05:51"/>
    <x v="3"/>
    <s v=""/>
    <s v=""/>
    <n v="0"/>
    <n v="0"/>
    <n v="1"/>
    <n v="1"/>
    <s v="Low engagement"/>
    <b v="0"/>
    <b v="0"/>
    <b v="0"/>
    <x v="0"/>
  </r>
  <r>
    <s v="https://twitter.com/VW/status/661229215103107073"/>
    <s v="Volkswagen"/>
    <s v="@VW"/>
    <x v="1191"/>
    <s v="2015-11-02T17:11:44.000Z"/>
    <x v="1"/>
    <x v="117"/>
    <s v="17:11:44"/>
    <x v="3"/>
    <s v="@Bryllooo"/>
    <s v=""/>
    <n v="0"/>
    <n v="0"/>
    <n v="1"/>
    <n v="1"/>
    <s v="Low engagement"/>
    <b v="0"/>
    <b v="0"/>
    <b v="0"/>
    <x v="0"/>
  </r>
  <r>
    <s v="https://twitter.com/VW/status/661229213563785216"/>
    <s v="Volkswagen"/>
    <s v="@VW"/>
    <x v="1192"/>
    <s v="2015-11-02T17:11:44.000Z"/>
    <x v="1"/>
    <x v="117"/>
    <s v="17:11:44"/>
    <x v="3"/>
    <s v="@Bryllooo"/>
    <s v=""/>
    <n v="0"/>
    <n v="0"/>
    <n v="1"/>
    <n v="1"/>
    <s v="Low engagement"/>
    <b v="0"/>
    <b v="0"/>
    <b v="0"/>
    <x v="0"/>
  </r>
  <r>
    <s v="https://twitter.com/VW/status/661253887043592192"/>
    <s v="Volkswagen"/>
    <s v="@VW"/>
    <x v="1193"/>
    <s v="2015-11-02T18:49:46.000Z"/>
    <x v="1"/>
    <x v="117"/>
    <s v="18:49:46"/>
    <x v="1"/>
    <s v="@ginno875"/>
    <s v=""/>
    <n v="0"/>
    <n v="0"/>
    <n v="0"/>
    <n v="0"/>
    <s v="No engagement"/>
    <b v="0"/>
    <b v="0"/>
    <b v="0"/>
    <x v="0"/>
  </r>
  <r>
    <s v="https://twitter.com/VW/status/661253885852413952"/>
    <s v="Volkswagen"/>
    <s v="@VW"/>
    <x v="1194"/>
    <s v="2015-11-02T18:49:46.000Z"/>
    <x v="1"/>
    <x v="117"/>
    <s v="18:49:46"/>
    <x v="1"/>
    <s v="@Skiptink"/>
    <s v=""/>
    <n v="0"/>
    <n v="0"/>
    <n v="0"/>
    <n v="0"/>
    <s v="No engagement"/>
    <b v="0"/>
    <b v="0"/>
    <b v="0"/>
    <x v="0"/>
  </r>
  <r>
    <s v="https://twitter.com/VW/status/661253884275372032"/>
    <s v="Volkswagen"/>
    <s v="@VW"/>
    <x v="1195"/>
    <s v="2015-11-02T18:49:46.000Z"/>
    <x v="1"/>
    <x v="117"/>
    <s v="18:49:46"/>
    <x v="1"/>
    <s v="@Skiptink"/>
    <s v=""/>
    <n v="0"/>
    <n v="0"/>
    <n v="1"/>
    <n v="1"/>
    <s v="Low engagement"/>
    <b v="0"/>
    <b v="0"/>
    <b v="0"/>
    <x v="0"/>
  </r>
  <r>
    <s v="https://twitter.com/VW/status/661253888989753344"/>
    <s v="Volkswagen"/>
    <s v="@VW"/>
    <x v="1196"/>
    <s v="2015-11-02T18:49:47.000Z"/>
    <x v="1"/>
    <x v="117"/>
    <s v="18:49:47"/>
    <x v="1"/>
    <s v="@ginno875"/>
    <s v=""/>
    <n v="0"/>
    <n v="0"/>
    <n v="1"/>
    <n v="1"/>
    <s v="Low engagement"/>
    <b v="0"/>
    <b v="0"/>
    <b v="0"/>
    <x v="0"/>
  </r>
  <r>
    <s v="https://twitter.com/VW/status/661256517237145600"/>
    <s v="Volkswagen"/>
    <s v="@VW"/>
    <x v="1197"/>
    <s v="2015-11-02T19:00:13.000Z"/>
    <x v="1"/>
    <x v="117"/>
    <s v="19:00:13"/>
    <x v="1"/>
    <s v="@lordbrs"/>
    <s v=""/>
    <n v="0"/>
    <n v="0"/>
    <n v="1"/>
    <n v="1"/>
    <s v="Low engagement"/>
    <b v="0"/>
    <b v="0"/>
    <b v="0"/>
    <x v="0"/>
  </r>
  <r>
    <s v="https://twitter.com/VW/status/661271557482778624"/>
    <s v="Volkswagen"/>
    <s v="@VW"/>
    <x v="1198"/>
    <s v="2015-11-02T19:59:59.000Z"/>
    <x v="1"/>
    <x v="117"/>
    <s v="19:59:59"/>
    <x v="1"/>
    <s v="@StregaHorn"/>
    <s v=""/>
    <n v="0"/>
    <n v="0"/>
    <n v="1"/>
    <n v="1"/>
    <s v="Low engagement"/>
    <b v="0"/>
    <b v="0"/>
    <b v="0"/>
    <x v="0"/>
  </r>
  <r>
    <s v="https://twitter.com/VW/status/661271562327224320"/>
    <s v="Volkswagen"/>
    <s v="@VW"/>
    <x v="1199"/>
    <s v="2015-11-02T20:00:00.000Z"/>
    <x v="1"/>
    <x v="117"/>
    <s v="20:00:00"/>
    <x v="1"/>
    <s v="@StregaHorn"/>
    <s v=""/>
    <n v="0"/>
    <n v="0"/>
    <n v="0"/>
    <n v="0"/>
    <s v="No engagement"/>
    <b v="0"/>
    <b v="0"/>
    <b v="0"/>
    <x v="0"/>
  </r>
  <r>
    <s v="https://twitter.com/VW/status/661271560808894464"/>
    <s v="Volkswagen"/>
    <s v="@VW"/>
    <x v="1200"/>
    <s v="2015-11-02T20:00:00.000Z"/>
    <x v="1"/>
    <x v="117"/>
    <s v="20:00:00"/>
    <x v="1"/>
    <s v="@Tloutreach"/>
    <s v=""/>
    <n v="0"/>
    <n v="0"/>
    <n v="1"/>
    <n v="1"/>
    <s v="Low engagement"/>
    <b v="0"/>
    <b v="0"/>
    <b v="0"/>
    <x v="0"/>
  </r>
  <r>
    <s v="https://twitter.com/VW/status/661271559114362880"/>
    <s v="Volkswagen"/>
    <s v="@VW"/>
    <x v="1201"/>
    <s v="2015-11-02T20:00:00.000Z"/>
    <x v="1"/>
    <x v="117"/>
    <s v="20:00:00"/>
    <x v="1"/>
    <s v="@Tloutreach"/>
    <s v=""/>
    <n v="0"/>
    <n v="0"/>
    <n v="0"/>
    <n v="0"/>
    <s v="No engagement"/>
    <b v="0"/>
    <b v="0"/>
    <b v="0"/>
    <x v="0"/>
  </r>
  <r>
    <s v="https://twitter.com/VW/status/661271565074460673"/>
    <s v="Volkswagen"/>
    <s v="@VW"/>
    <x v="1202"/>
    <s v="2015-11-02T20:00:01.000Z"/>
    <x v="1"/>
    <x v="117"/>
    <s v="20:00:01"/>
    <x v="1"/>
    <s v="@Tloutreach"/>
    <s v=""/>
    <n v="0"/>
    <n v="1"/>
    <n v="2"/>
    <n v="3"/>
    <s v="Low engagement"/>
    <b v="0"/>
    <b v="0"/>
    <b v="0"/>
    <x v="0"/>
  </r>
  <r>
    <s v="https://twitter.com/VW/status/661579889657511936"/>
    <s v="Volkswagen"/>
    <s v="@VW"/>
    <x v="1203"/>
    <s v="2015-11-03T16:25:11.000Z"/>
    <x v="1"/>
    <x v="118"/>
    <s v="16:25:11"/>
    <x v="3"/>
    <s v="@josephljenkins"/>
    <s v=""/>
    <n v="0"/>
    <n v="0"/>
    <n v="1"/>
    <n v="1"/>
    <s v="Low engagement"/>
    <b v="0"/>
    <b v="0"/>
    <b v="0"/>
    <x v="0"/>
  </r>
  <r>
    <s v="https://twitter.com/VW/status/661579887623303168"/>
    <s v="Volkswagen"/>
    <s v="@VW"/>
    <x v="1204"/>
    <s v="2015-11-03T16:25:11.000Z"/>
    <x v="1"/>
    <x v="118"/>
    <s v="16:25:11"/>
    <x v="3"/>
    <s v="@josephljenkins"/>
    <s v=""/>
    <n v="0"/>
    <n v="0"/>
    <n v="0"/>
    <n v="0"/>
    <s v="No engagement"/>
    <b v="0"/>
    <b v="0"/>
    <b v="0"/>
    <x v="0"/>
  </r>
  <r>
    <s v="https://twitter.com/VW/status/661582464461074433"/>
    <s v="Volkswagen"/>
    <s v="@VW"/>
    <x v="1205"/>
    <s v="2015-11-03T16:35:25.000Z"/>
    <x v="1"/>
    <x v="118"/>
    <s v="16:35:25"/>
    <x v="3"/>
    <s v=""/>
    <s v=""/>
    <n v="0"/>
    <n v="0"/>
    <n v="1"/>
    <n v="1"/>
    <s v="Low engagement"/>
    <b v="0"/>
    <b v="0"/>
    <b v="0"/>
    <x v="0"/>
  </r>
  <r>
    <s v="https://twitter.com/VW/status/661585111222108161"/>
    <s v="Volkswagen"/>
    <s v="@VW"/>
    <x v="1206"/>
    <s v="2015-11-03T16:45:56.000Z"/>
    <x v="1"/>
    <x v="118"/>
    <s v="16:45:56"/>
    <x v="3"/>
    <s v=""/>
    <s v=""/>
    <n v="0"/>
    <n v="0"/>
    <n v="1"/>
    <n v="1"/>
    <s v="Low engagement"/>
    <b v="0"/>
    <b v="0"/>
    <b v="0"/>
    <x v="0"/>
  </r>
  <r>
    <s v="https://twitter.com/VW/status/661587714869850112"/>
    <s v="Volkswagen"/>
    <s v="@VW"/>
    <x v="1207"/>
    <s v="2015-11-03T16:56:17.000Z"/>
    <x v="1"/>
    <x v="118"/>
    <s v="16:56:17"/>
    <x v="3"/>
    <s v="@stephen_shaffer"/>
    <s v=""/>
    <n v="1"/>
    <n v="0"/>
    <n v="1"/>
    <n v="2"/>
    <s v="Low engagement"/>
    <b v="0"/>
    <b v="0"/>
    <b v="0"/>
    <x v="0"/>
  </r>
  <r>
    <s v="https://twitter.com/VW/status/661589564641808386"/>
    <s v="Volkswagen"/>
    <s v="@VW"/>
    <x v="1208"/>
    <s v="2015-11-03T17:03:38.000Z"/>
    <x v="1"/>
    <x v="118"/>
    <s v="17:03:38"/>
    <x v="3"/>
    <s v="@benny275"/>
    <s v=""/>
    <n v="0"/>
    <n v="3"/>
    <n v="1"/>
    <n v="4"/>
    <s v="Low engagement"/>
    <b v="0"/>
    <b v="0"/>
    <b v="0"/>
    <x v="0"/>
  </r>
  <r>
    <s v="https://twitter.com/VW/status/661589562955710464"/>
    <s v="Volkswagen"/>
    <s v="@VW"/>
    <x v="1209"/>
    <s v="2015-11-03T17:03:38.000Z"/>
    <x v="1"/>
    <x v="118"/>
    <s v="17:03:38"/>
    <x v="3"/>
    <s v="@stephen_shaffer"/>
    <s v=""/>
    <n v="0"/>
    <n v="0"/>
    <n v="1"/>
    <n v="1"/>
    <s v="Low engagement"/>
    <b v="0"/>
    <b v="0"/>
    <b v="0"/>
    <x v="0"/>
  </r>
  <r>
    <s v="https://twitter.com/VW/status/661631587033853956"/>
    <s v="Volkswagen"/>
    <s v="@VW"/>
    <x v="1210"/>
    <s v="2015-11-03T19:50:37.000Z"/>
    <x v="1"/>
    <x v="118"/>
    <s v="19:50:37"/>
    <x v="1"/>
    <s v=""/>
    <s v=""/>
    <n v="0"/>
    <n v="0"/>
    <n v="1"/>
    <n v="1"/>
    <s v="Low engagement"/>
    <b v="0"/>
    <b v="0"/>
    <b v="0"/>
    <x v="0"/>
  </r>
  <r>
    <s v="https://twitter.com/VW/status/661634118925463552"/>
    <s v="Volkswagen"/>
    <s v="@VW"/>
    <x v="1211"/>
    <s v="2015-11-03T20:00:41.000Z"/>
    <x v="1"/>
    <x v="118"/>
    <s v="20:00:41"/>
    <x v="1"/>
    <s v=""/>
    <s v=""/>
    <n v="0"/>
    <n v="0"/>
    <n v="1"/>
    <n v="1"/>
    <s v="Low engagement"/>
    <b v="0"/>
    <b v="0"/>
    <b v="0"/>
    <x v="0"/>
  </r>
  <r>
    <s v="https://twitter.com/VW/status/661653668924534784"/>
    <s v="Volkswagen"/>
    <s v="@VW"/>
    <x v="1212"/>
    <s v="2015-11-03T21:18:22.000Z"/>
    <x v="1"/>
    <x v="118"/>
    <s v="21:18:22"/>
    <x v="1"/>
    <s v="@Toxicbill"/>
    <s v=""/>
    <n v="0"/>
    <n v="0"/>
    <n v="1"/>
    <n v="1"/>
    <s v="Low engagement"/>
    <b v="0"/>
    <b v="0"/>
    <b v="0"/>
    <x v="0"/>
  </r>
  <r>
    <s v="https://twitter.com/VW/status/661661500545740800"/>
    <s v="Volkswagen"/>
    <s v="@VW"/>
    <x v="1213"/>
    <s v="2015-11-03T21:49:29.000Z"/>
    <x v="1"/>
    <x v="118"/>
    <s v="21:49:29"/>
    <x v="1"/>
    <s v=""/>
    <s v=""/>
    <n v="0"/>
    <n v="0"/>
    <n v="1"/>
    <n v="1"/>
    <s v="Low engagement"/>
    <b v="0"/>
    <b v="0"/>
    <b v="0"/>
    <x v="0"/>
  </r>
  <r>
    <s v="https://twitter.com/VW/status/661909323770007552"/>
    <s v="Volkswagen"/>
    <s v="@VW"/>
    <x v="1214"/>
    <s v="2015-11-04T14:14:15.000Z"/>
    <x v="1"/>
    <x v="119"/>
    <s v="14:14:15"/>
    <x v="3"/>
    <s v="@benny275"/>
    <s v=""/>
    <n v="0"/>
    <n v="1"/>
    <n v="1"/>
    <n v="2"/>
    <s v="Low engagement"/>
    <b v="0"/>
    <b v="0"/>
    <b v="0"/>
    <x v="0"/>
  </r>
  <r>
    <s v="https://twitter.com/VW/status/661964309358968832"/>
    <s v="Volkswagen"/>
    <s v="@VW"/>
    <x v="1215"/>
    <s v="2015-11-04T17:52:44.000Z"/>
    <x v="1"/>
    <x v="119"/>
    <s v="17:52:44"/>
    <x v="3"/>
    <s v="@marcellinit"/>
    <s v=""/>
    <n v="0"/>
    <n v="0"/>
    <n v="1"/>
    <n v="1"/>
    <s v="Low engagement"/>
    <b v="0"/>
    <b v="0"/>
    <b v="0"/>
    <x v="0"/>
  </r>
  <r>
    <s v="https://twitter.com/VW/status/661965176632053760"/>
    <s v="Volkswagen"/>
    <s v="@VW"/>
    <x v="1216"/>
    <s v="2015-11-04T17:56:11.000Z"/>
    <x v="1"/>
    <x v="119"/>
    <s v="17:56:11"/>
    <x v="3"/>
    <s v="@marcellinit"/>
    <s v=""/>
    <n v="0"/>
    <n v="2"/>
    <n v="0"/>
    <n v="2"/>
    <s v="Low engagement"/>
    <b v="0"/>
    <b v="0"/>
    <b v="0"/>
    <x v="0"/>
  </r>
  <r>
    <s v="https://twitter.com/VW/status/662022942990036992"/>
    <s v="Volkswagen"/>
    <s v="@VW"/>
    <x v="1217"/>
    <s v="2015-11-04T21:45:44.000Z"/>
    <x v="1"/>
    <x v="119"/>
    <s v="21:45:44"/>
    <x v="1"/>
    <s v="@TheRealJZT"/>
    <s v=""/>
    <n v="0"/>
    <n v="1"/>
    <n v="1"/>
    <n v="2"/>
    <s v="Low engagement"/>
    <b v="0"/>
    <b v="0"/>
    <b v="0"/>
    <x v="0"/>
  </r>
  <r>
    <s v="https://twitter.com/VW/status/662367169108316160"/>
    <s v="Volkswagen"/>
    <s v="@VW"/>
    <x v="1218"/>
    <s v="2015-11-05T20:33:33.000Z"/>
    <x v="1"/>
    <x v="120"/>
    <s v="20:33:33"/>
    <x v="1"/>
    <s v=""/>
    <s v=""/>
    <n v="0"/>
    <n v="0"/>
    <n v="1"/>
    <n v="1"/>
    <s v="Low engagement"/>
    <b v="0"/>
    <b v="0"/>
    <b v="0"/>
    <x v="0"/>
  </r>
  <r>
    <s v="https://twitter.com/VW/status/662367165945741313"/>
    <s v="Volkswagen"/>
    <s v="@VW"/>
    <x v="1219"/>
    <s v="2015-11-05T20:33:33.000Z"/>
    <x v="1"/>
    <x v="120"/>
    <s v="20:33:33"/>
    <x v="1"/>
    <s v=""/>
    <s v=""/>
    <n v="0"/>
    <n v="0"/>
    <n v="0"/>
    <n v="0"/>
    <s v="No engagement"/>
    <b v="0"/>
    <b v="0"/>
    <b v="0"/>
    <x v="0"/>
  </r>
  <r>
    <s v="https://twitter.com/VW/status/662367172266627072"/>
    <s v="Volkswagen"/>
    <s v="@VW"/>
    <x v="1220"/>
    <s v="2015-11-05T20:33:34.000Z"/>
    <x v="1"/>
    <x v="120"/>
    <s v="20:33:34"/>
    <x v="1"/>
    <s v="@Bryllooo"/>
    <s v=""/>
    <n v="0"/>
    <n v="0"/>
    <n v="1"/>
    <n v="1"/>
    <s v="Low engagement"/>
    <b v="0"/>
    <b v="0"/>
    <b v="0"/>
    <x v="0"/>
  </r>
  <r>
    <s v="https://twitter.com/VW/status/662369891102552065"/>
    <s v="Volkswagen"/>
    <s v="@VW"/>
    <x v="1221"/>
    <s v="2015-11-05T20:44:22.000Z"/>
    <x v="1"/>
    <x v="120"/>
    <s v="20:44:22"/>
    <x v="1"/>
    <s v="@Bryllooo"/>
    <s v=""/>
    <n v="0"/>
    <n v="0"/>
    <n v="1"/>
    <n v="1"/>
    <s v="Low engagement"/>
    <b v="0"/>
    <b v="0"/>
    <b v="0"/>
    <x v="0"/>
  </r>
  <r>
    <s v="https://twitter.com/VW/status/662369892411162625"/>
    <s v="Volkswagen"/>
    <s v="@VW"/>
    <x v="1222"/>
    <s v="2015-11-05T20:44:23.000Z"/>
    <x v="1"/>
    <x v="120"/>
    <s v="20:44:23"/>
    <x v="1"/>
    <s v=""/>
    <s v=""/>
    <n v="0"/>
    <n v="0"/>
    <n v="1"/>
    <n v="1"/>
    <s v="Low engagement"/>
    <b v="0"/>
    <b v="0"/>
    <b v="0"/>
    <x v="0"/>
  </r>
  <r>
    <s v="https://twitter.com/VW/status/662643345424912384"/>
    <s v="Volkswagen"/>
    <s v="@VW"/>
    <x v="1223"/>
    <s v="2015-11-06T14:50:59.000Z"/>
    <x v="1"/>
    <x v="121"/>
    <s v="14:50:59"/>
    <x v="3"/>
    <s v="@ZootsAlures"/>
    <s v=""/>
    <n v="0"/>
    <n v="0"/>
    <n v="1"/>
    <n v="1"/>
    <s v="Low engagement"/>
    <b v="0"/>
    <b v="0"/>
    <b v="0"/>
    <x v="0"/>
  </r>
  <r>
    <s v="https://twitter.com/VW/status/662645964507738112"/>
    <s v="Volkswagen"/>
    <s v="@VW"/>
    <x v="1224"/>
    <s v="2015-11-06T15:01:23.000Z"/>
    <x v="1"/>
    <x v="121"/>
    <s v="15:01:23"/>
    <x v="3"/>
    <s v="@m3zm0r1z0r"/>
    <s v=""/>
    <n v="0"/>
    <n v="0"/>
    <n v="1"/>
    <n v="1"/>
    <s v="Low engagement"/>
    <b v="0"/>
    <b v="0"/>
    <b v="0"/>
    <x v="0"/>
  </r>
  <r>
    <s v="https://twitter.com/VW/status/662647716376215552"/>
    <s v="Volkswagen"/>
    <s v="@VW"/>
    <x v="1225"/>
    <s v="2015-11-06T15:08:21.000Z"/>
    <x v="1"/>
    <x v="121"/>
    <s v="15:08:21"/>
    <x v="3"/>
    <s v="@m3zm0r1z0r"/>
    <s v=""/>
    <n v="0"/>
    <n v="0"/>
    <n v="1"/>
    <n v="1"/>
    <s v="Low engagement"/>
    <b v="0"/>
    <b v="0"/>
    <b v="0"/>
    <x v="0"/>
  </r>
  <r>
    <s v="https://twitter.com/VW/status/662647720612499456"/>
    <s v="Volkswagen"/>
    <s v="@VW"/>
    <x v="1226"/>
    <s v="2015-11-06T15:08:22.000Z"/>
    <x v="1"/>
    <x v="121"/>
    <s v="15:08:22"/>
    <x v="3"/>
    <s v="@Johnny_switzz"/>
    <s v=""/>
    <n v="0"/>
    <n v="0"/>
    <n v="1"/>
    <n v="1"/>
    <s v="Low engagement"/>
    <b v="0"/>
    <b v="0"/>
    <b v="0"/>
    <x v="0"/>
  </r>
  <r>
    <s v="https://twitter.com/VW/status/662647718255263744"/>
    <s v="Volkswagen"/>
    <s v="@VW"/>
    <x v="1227"/>
    <s v="2015-11-06T15:08:22.000Z"/>
    <x v="1"/>
    <x v="121"/>
    <s v="15:08:22"/>
    <x v="3"/>
    <s v="@Johnny_switzz"/>
    <s v=""/>
    <n v="0"/>
    <n v="0"/>
    <n v="1"/>
    <n v="1"/>
    <s v="Low engagement"/>
    <b v="0"/>
    <b v="0"/>
    <b v="0"/>
    <x v="0"/>
  </r>
  <r>
    <s v="https://twitter.com/VW/status/662702570582880257"/>
    <s v="Volkswagen"/>
    <s v="@VW"/>
    <x v="1228"/>
    <s v="2015-11-06T18:46:19.000Z"/>
    <x v="1"/>
    <x v="121"/>
    <s v="18:46:19"/>
    <x v="1"/>
    <s v="@Prokthabo"/>
    <s v=""/>
    <n v="0"/>
    <n v="0"/>
    <n v="1"/>
    <n v="1"/>
    <s v="Low engagement"/>
    <b v="0"/>
    <b v="0"/>
    <b v="0"/>
    <x v="0"/>
  </r>
  <r>
    <s v="https://twitter.com/VW/status/662706147523059712"/>
    <s v="Volkswagen"/>
    <s v="@VW"/>
    <x v="1229"/>
    <s v="2015-11-06T19:00:32.000Z"/>
    <x v="1"/>
    <x v="121"/>
    <s v="19:00:32"/>
    <x v="1"/>
    <s v="@Jocelyn7Castro"/>
    <s v=""/>
    <n v="0"/>
    <n v="0"/>
    <n v="1"/>
    <n v="1"/>
    <s v="Low engagement"/>
    <b v="0"/>
    <b v="0"/>
    <b v="0"/>
    <x v="0"/>
  </r>
  <r>
    <s v="https://twitter.com/VW/status/663720373553266689"/>
    <s v="Volkswagen"/>
    <s v="@VW"/>
    <x v="1230"/>
    <s v="2015-11-09T14:10:43.000Z"/>
    <x v="1"/>
    <x v="122"/>
    <s v="14:10:43"/>
    <x v="3"/>
    <s v="@DeepakF4i"/>
    <s v=""/>
    <n v="0"/>
    <n v="2"/>
    <n v="2"/>
    <n v="4"/>
    <s v="Low engagement"/>
    <b v="0"/>
    <b v="0"/>
    <b v="0"/>
    <x v="0"/>
  </r>
  <r>
    <s v="https://twitter.com/VW/status/663750596143398912"/>
    <s v="Volkswagen"/>
    <s v="@VW"/>
    <x v="1231"/>
    <s v="2015-11-09T16:10:48.000Z"/>
    <x v="1"/>
    <x v="122"/>
    <s v="16:10:48"/>
    <x v="3"/>
    <s v=""/>
    <s v=""/>
    <n v="0"/>
    <n v="0"/>
    <n v="1"/>
    <n v="1"/>
    <s v="Low engagement"/>
    <b v="0"/>
    <b v="0"/>
    <b v="0"/>
    <x v="0"/>
  </r>
  <r>
    <s v="https://twitter.com/VW/status/663787645697286144"/>
    <s v="Volkswagen"/>
    <s v="@VW"/>
    <x v="1232"/>
    <s v="2015-11-09T18:38:01.000Z"/>
    <x v="1"/>
    <x v="122"/>
    <s v="18:38:01"/>
    <x v="1"/>
    <s v="@Kiki_Talks"/>
    <s v=""/>
    <n v="0"/>
    <n v="1"/>
    <n v="1"/>
    <n v="2"/>
    <s v="Low engagement"/>
    <b v="0"/>
    <b v="0"/>
    <b v="0"/>
    <x v="0"/>
  </r>
  <r>
    <s v="https://twitter.com/VW/status/663841323288387584"/>
    <s v="Volkswagen"/>
    <s v="@VW"/>
    <x v="1233"/>
    <s v="2015-11-09T22:11:19.000Z"/>
    <x v="1"/>
    <x v="122"/>
    <s v="22:11:19"/>
    <x v="1"/>
    <s v="@olhandley"/>
    <s v=""/>
    <n v="0"/>
    <n v="0"/>
    <n v="2"/>
    <n v="2"/>
    <s v="Low engagement"/>
    <b v="0"/>
    <b v="0"/>
    <b v="0"/>
    <x v="0"/>
  </r>
  <r>
    <s v="https://twitter.com/VW/status/663841320780206080"/>
    <s v="Volkswagen"/>
    <s v="@VW"/>
    <x v="1234"/>
    <s v="2015-11-09T22:11:19.000Z"/>
    <x v="1"/>
    <x v="122"/>
    <s v="22:11:19"/>
    <x v="1"/>
    <s v="@olhandley"/>
    <s v=""/>
    <n v="0"/>
    <n v="0"/>
    <n v="1"/>
    <n v="1"/>
    <s v="Low engagement"/>
    <b v="0"/>
    <b v="0"/>
    <b v="0"/>
    <x v="0"/>
  </r>
  <r>
    <s v="https://twitter.com/VW/status/664145568554291200"/>
    <s v="Volkswagen"/>
    <s v="@VW"/>
    <x v="1235"/>
    <s v="2015-11-10T18:20:17.000Z"/>
    <x v="1"/>
    <x v="123"/>
    <s v="18:20:17"/>
    <x v="1"/>
    <s v=""/>
    <s v=""/>
    <n v="0"/>
    <n v="0"/>
    <n v="1"/>
    <n v="1"/>
    <s v="Low engagement"/>
    <b v="0"/>
    <b v="0"/>
    <b v="0"/>
    <x v="0"/>
  </r>
  <r>
    <s v="https://twitter.com/VW/status/664145573121912832"/>
    <s v="Volkswagen"/>
    <s v="@VW"/>
    <x v="1236"/>
    <s v="2015-11-10T18:20:18.000Z"/>
    <x v="1"/>
    <x v="123"/>
    <s v="18:20:18"/>
    <x v="1"/>
    <s v=""/>
    <s v=""/>
    <n v="0"/>
    <n v="0"/>
    <n v="0"/>
    <n v="0"/>
    <s v="No engagement"/>
    <b v="0"/>
    <b v="0"/>
    <b v="0"/>
    <x v="0"/>
  </r>
  <r>
    <s v="https://twitter.com/VW/status/664145571695882240"/>
    <s v="Volkswagen"/>
    <s v="@VW"/>
    <x v="1237"/>
    <s v="2015-11-10T18:20:18.000Z"/>
    <x v="1"/>
    <x v="123"/>
    <s v="18:20:18"/>
    <x v="1"/>
    <s v=""/>
    <s v=""/>
    <n v="0"/>
    <n v="0"/>
    <n v="1"/>
    <n v="1"/>
    <s v="Low engagement"/>
    <b v="0"/>
    <b v="0"/>
    <b v="0"/>
    <x v="0"/>
  </r>
  <r>
    <s v="https://twitter.com/VW/status/664208727977783296"/>
    <s v="Volkswagen"/>
    <s v="@VW"/>
    <x v="1238"/>
    <s v="2015-11-10T22:31:15.000Z"/>
    <x v="1"/>
    <x v="123"/>
    <s v="22:31:15"/>
    <x v="1"/>
    <s v="@Eeiiick"/>
    <s v=""/>
    <n v="0"/>
    <n v="0"/>
    <n v="1"/>
    <n v="1"/>
    <s v="Low engagement"/>
    <b v="0"/>
    <b v="0"/>
    <b v="0"/>
    <x v="0"/>
  </r>
  <r>
    <s v="https://twitter.com/VW/status/664213094617354240"/>
    <s v="Volkswagen"/>
    <s v="@VW"/>
    <x v="1239"/>
    <s v="2015-11-10T22:48:36.000Z"/>
    <x v="1"/>
    <x v="123"/>
    <s v="22:48:36"/>
    <x v="1"/>
    <s v=""/>
    <s v=""/>
    <n v="0"/>
    <n v="0"/>
    <n v="0"/>
    <n v="0"/>
    <s v="No engagement"/>
    <b v="0"/>
    <b v="0"/>
    <b v="0"/>
    <x v="0"/>
  </r>
  <r>
    <s v="https://twitter.com/VW/status/664213096324468736"/>
    <s v="Volkswagen"/>
    <s v="@VW"/>
    <x v="1240"/>
    <s v="2015-11-10T22:48:37.000Z"/>
    <x v="1"/>
    <x v="123"/>
    <s v="22:48:37"/>
    <x v="1"/>
    <s v=""/>
    <s v=""/>
    <n v="0"/>
    <n v="0"/>
    <n v="0"/>
    <n v="0"/>
    <s v="No engagement"/>
    <b v="0"/>
    <b v="0"/>
    <b v="0"/>
    <x v="0"/>
  </r>
  <r>
    <s v="https://twitter.com/VW/status/664478349352275970"/>
    <s v="Volkswagen"/>
    <s v="@VW"/>
    <x v="1241"/>
    <s v="2015-11-11T16:22:38.000Z"/>
    <x v="1"/>
    <x v="124"/>
    <s v="16:22:38"/>
    <x v="3"/>
    <s v="@NotShootJoeC"/>
    <s v=""/>
    <n v="1"/>
    <n v="0"/>
    <n v="1"/>
    <n v="2"/>
    <s v="Low engagement"/>
    <b v="0"/>
    <b v="0"/>
    <b v="0"/>
    <x v="0"/>
  </r>
  <r>
    <s v="https://twitter.com/VW/status/664478347754278913"/>
    <s v="Volkswagen"/>
    <s v="@VW"/>
    <x v="1242"/>
    <s v="2015-11-11T16:22:38.000Z"/>
    <x v="1"/>
    <x v="124"/>
    <s v="16:22:38"/>
    <x v="3"/>
    <s v="@tls_46"/>
    <s v=""/>
    <n v="0"/>
    <n v="0"/>
    <n v="1"/>
    <n v="1"/>
    <s v="Low engagement"/>
    <b v="0"/>
    <b v="0"/>
    <b v="0"/>
    <x v="0"/>
  </r>
  <r>
    <s v="https://twitter.com/VW/status/664478354117033984"/>
    <s v="Volkswagen"/>
    <s v="@VW"/>
    <x v="1243"/>
    <s v="2015-11-11T16:22:39.000Z"/>
    <x v="1"/>
    <x v="124"/>
    <s v="16:22:39"/>
    <x v="3"/>
    <s v=""/>
    <s v=""/>
    <n v="0"/>
    <n v="0"/>
    <n v="1"/>
    <n v="1"/>
    <s v="Low engagement"/>
    <b v="0"/>
    <b v="0"/>
    <b v="0"/>
    <x v="0"/>
  </r>
  <r>
    <s v="https://twitter.com/VW/status/664478358311297024"/>
    <s v="Volkswagen"/>
    <s v="@VW"/>
    <x v="1244"/>
    <s v="2015-11-11T16:22:40.000Z"/>
    <x v="1"/>
    <x v="124"/>
    <s v="16:22:40"/>
    <x v="3"/>
    <s v="@Kiki_Talks"/>
    <s v=""/>
    <n v="0"/>
    <n v="0"/>
    <n v="1"/>
    <n v="1"/>
    <s v="Low engagement"/>
    <b v="0"/>
    <b v="0"/>
    <b v="0"/>
    <x v="0"/>
  </r>
  <r>
    <s v="https://twitter.com/VW/status/664478357178855424"/>
    <s v="Volkswagen"/>
    <s v="@VW"/>
    <x v="1245"/>
    <s v="2015-11-11T16:22:40.000Z"/>
    <x v="1"/>
    <x v="124"/>
    <s v="16:22:40"/>
    <x v="3"/>
    <s v=""/>
    <s v=""/>
    <n v="0"/>
    <n v="0"/>
    <n v="0"/>
    <n v="0"/>
    <s v="No engagement"/>
    <b v="0"/>
    <b v="0"/>
    <b v="0"/>
    <x v="0"/>
  </r>
  <r>
    <s v="https://twitter.com/VW/status/664478355622727680"/>
    <s v="Volkswagen"/>
    <s v="@VW"/>
    <x v="1246"/>
    <s v="2015-11-11T16:22:40.000Z"/>
    <x v="1"/>
    <x v="124"/>
    <s v="16:22:40"/>
    <x v="3"/>
    <s v=""/>
    <s v=""/>
    <n v="0"/>
    <n v="0"/>
    <n v="1"/>
    <n v="1"/>
    <s v="Low engagement"/>
    <b v="0"/>
    <b v="0"/>
    <b v="0"/>
    <x v="0"/>
  </r>
  <r>
    <s v="https://twitter.com/VW/status/664481038798745600"/>
    <s v="Volkswagen"/>
    <s v="@VW"/>
    <x v="1247"/>
    <s v="2015-11-11T16:33:19.000Z"/>
    <x v="1"/>
    <x v="124"/>
    <s v="16:33:19"/>
    <x v="3"/>
    <s v="@sarahryvre"/>
    <s v=""/>
    <n v="0"/>
    <n v="0"/>
    <n v="1"/>
    <n v="1"/>
    <s v="Low engagement"/>
    <b v="0"/>
    <b v="0"/>
    <b v="0"/>
    <x v="0"/>
  </r>
  <r>
    <s v="https://twitter.com/VW/status/664481037016133632"/>
    <s v="Volkswagen"/>
    <s v="@VW"/>
    <x v="1248"/>
    <s v="2015-11-11T16:33:19.000Z"/>
    <x v="1"/>
    <x v="124"/>
    <s v="16:33:19"/>
    <x v="3"/>
    <s v="@sarahryvre"/>
    <s v=""/>
    <n v="0"/>
    <n v="1"/>
    <n v="1"/>
    <n v="2"/>
    <s v="Low engagement"/>
    <b v="0"/>
    <b v="0"/>
    <b v="0"/>
    <x v="0"/>
  </r>
  <r>
    <s v="https://twitter.com/VW/status/664524103559196672"/>
    <s v="Volkswagen"/>
    <s v="@VW"/>
    <x v="1249"/>
    <s v="2015-11-11T19:24:27.000Z"/>
    <x v="1"/>
    <x v="124"/>
    <s v="19:24:27"/>
    <x v="1"/>
    <s v="@EctoFlapjack"/>
    <s v=""/>
    <n v="0"/>
    <n v="0"/>
    <n v="1"/>
    <n v="1"/>
    <s v="Low engagement"/>
    <b v="0"/>
    <b v="0"/>
    <b v="0"/>
    <x v="0"/>
  </r>
  <r>
    <s v="https://twitter.com/VW/status/664529324347789312"/>
    <s v="Volkswagen"/>
    <s v="@VW"/>
    <x v="1250"/>
    <s v="2015-11-11T19:45:11.000Z"/>
    <x v="1"/>
    <x v="124"/>
    <s v="19:45:11"/>
    <x v="1"/>
    <s v="@Sour_Oneism"/>
    <s v=""/>
    <n v="0"/>
    <n v="0"/>
    <n v="1"/>
    <n v="1"/>
    <s v="Low engagement"/>
    <b v="0"/>
    <b v="0"/>
    <b v="0"/>
    <x v="0"/>
  </r>
  <r>
    <s v="https://twitter.com/VW/status/664529322896568320"/>
    <s v="Volkswagen"/>
    <s v="@VW"/>
    <x v="1251"/>
    <s v="2015-11-11T19:45:11.000Z"/>
    <x v="1"/>
    <x v="124"/>
    <s v="19:45:11"/>
    <x v="1"/>
    <s v="@Sour_Oneism"/>
    <s v=""/>
    <n v="0"/>
    <n v="0"/>
    <n v="1"/>
    <n v="1"/>
    <s v="Low engagement"/>
    <b v="0"/>
    <b v="0"/>
    <b v="0"/>
    <x v="0"/>
  </r>
  <r>
    <s v="https://twitter.com/VW/status/664529321462108160"/>
    <s v="Volkswagen"/>
    <s v="@VW"/>
    <x v="1252"/>
    <s v="2015-11-11T19:45:11.000Z"/>
    <x v="1"/>
    <x v="124"/>
    <s v="19:45:11"/>
    <x v="1"/>
    <s v="@rodtif"/>
    <s v=""/>
    <n v="1"/>
    <n v="0"/>
    <n v="2"/>
    <n v="3"/>
    <s v="Low engagement"/>
    <b v="0"/>
    <b v="0"/>
    <b v="0"/>
    <x v="0"/>
  </r>
  <r>
    <s v="https://twitter.com/VW/status/664530233337380864"/>
    <s v="Volkswagen"/>
    <s v="@VW"/>
    <x v="1253"/>
    <s v="2015-11-11T19:48:48.000Z"/>
    <x v="1"/>
    <x v="124"/>
    <s v="19:48:48"/>
    <x v="1"/>
    <s v=""/>
    <s v=""/>
    <n v="0"/>
    <n v="0"/>
    <n v="1"/>
    <n v="1"/>
    <s v="Low engagement"/>
    <b v="0"/>
    <b v="0"/>
    <b v="0"/>
    <x v="0"/>
  </r>
  <r>
    <s v="https://twitter.com/VW/status/664530231403806720"/>
    <s v="Volkswagen"/>
    <s v="@VW"/>
    <x v="1254"/>
    <s v="2015-11-11T19:48:48.000Z"/>
    <x v="1"/>
    <x v="124"/>
    <s v="19:48:48"/>
    <x v="1"/>
    <s v=""/>
    <s v=""/>
    <n v="0"/>
    <n v="0"/>
    <n v="1"/>
    <n v="1"/>
    <s v="Low engagement"/>
    <b v="0"/>
    <b v="0"/>
    <b v="0"/>
    <x v="0"/>
  </r>
  <r>
    <s v="https://twitter.com/VW/status/664844735148769281"/>
    <s v="Volkswagen"/>
    <s v="@VW"/>
    <x v="1255"/>
    <s v="2015-11-12T16:38:31.000Z"/>
    <x v="1"/>
    <x v="125"/>
    <s v="16:38:31"/>
    <x v="3"/>
    <s v="@opsmommy"/>
    <s v=""/>
    <n v="0"/>
    <n v="0"/>
    <n v="0"/>
    <n v="0"/>
    <s v="No engagement"/>
    <b v="0"/>
    <b v="0"/>
    <b v="0"/>
    <x v="0"/>
  </r>
  <r>
    <s v="https://twitter.com/VW/status/664907234854375425"/>
    <s v="Volkswagen"/>
    <s v="@VW"/>
    <x v="1256"/>
    <s v="2015-11-12T20:46:52.000Z"/>
    <x v="1"/>
    <x v="125"/>
    <s v="20:46:52"/>
    <x v="1"/>
    <s v="@theekanes"/>
    <s v=""/>
    <n v="0"/>
    <n v="0"/>
    <n v="1"/>
    <n v="1"/>
    <s v="Low engagement"/>
    <b v="0"/>
    <b v="0"/>
    <b v="0"/>
    <x v="0"/>
  </r>
  <r>
    <s v="https://twitter.com/VW/status/664907232039952384"/>
    <s v="Volkswagen"/>
    <s v="@VW"/>
    <x v="1257"/>
    <s v="2015-11-12T20:46:52.000Z"/>
    <x v="1"/>
    <x v="125"/>
    <s v="20:46:52"/>
    <x v="1"/>
    <s v="@theekanes"/>
    <s v=""/>
    <n v="0"/>
    <n v="0"/>
    <n v="0"/>
    <n v="0"/>
    <s v="No engagement"/>
    <b v="0"/>
    <b v="0"/>
    <b v="0"/>
    <x v="0"/>
  </r>
  <r>
    <s v="https://twitter.com/VW/status/664907239304499200"/>
    <s v="Volkswagen"/>
    <s v="@VW"/>
    <x v="1258"/>
    <s v="2015-11-12T20:46:53.000Z"/>
    <x v="1"/>
    <x v="125"/>
    <s v="20:46:53"/>
    <x v="1"/>
    <s v=""/>
    <s v=""/>
    <n v="0"/>
    <n v="0"/>
    <n v="1"/>
    <n v="1"/>
    <s v="Low engagement"/>
    <b v="0"/>
    <b v="0"/>
    <b v="0"/>
    <x v="0"/>
  </r>
  <r>
    <s v="https://twitter.com/VW/status/664907240982245377"/>
    <s v="Volkswagen"/>
    <s v="@VW"/>
    <x v="1259"/>
    <s v="2015-11-12T20:46:54.000Z"/>
    <x v="1"/>
    <x v="125"/>
    <s v="20:46:54"/>
    <x v="1"/>
    <s v=""/>
    <s v=""/>
    <n v="0"/>
    <n v="0"/>
    <n v="1"/>
    <n v="1"/>
    <s v="Low engagement"/>
    <b v="0"/>
    <b v="0"/>
    <b v="0"/>
    <x v="0"/>
  </r>
  <r>
    <s v="https://twitter.com/VW/status/664927573139304448"/>
    <s v="Volkswagen"/>
    <s v="@VW"/>
    <x v="1260"/>
    <s v="2015-11-12T22:07:41.000Z"/>
    <x v="1"/>
    <x v="125"/>
    <s v="22:07:41"/>
    <x v="1"/>
    <s v=""/>
    <s v=""/>
    <n v="0"/>
    <n v="0"/>
    <n v="1"/>
    <n v="1"/>
    <s v="Low engagement"/>
    <b v="0"/>
    <b v="0"/>
    <b v="0"/>
    <x v="0"/>
  </r>
  <r>
    <s v="https://twitter.com/VW/status/664927575009918976"/>
    <s v="Volkswagen"/>
    <s v="@VW"/>
    <x v="1261"/>
    <s v="2015-11-12T22:07:42.000Z"/>
    <x v="1"/>
    <x v="125"/>
    <s v="22:07:42"/>
    <x v="1"/>
    <s v=""/>
    <s v=""/>
    <n v="0"/>
    <n v="0"/>
    <n v="2"/>
    <n v="2"/>
    <s v="Low engagement"/>
    <b v="0"/>
    <b v="0"/>
    <b v="0"/>
    <x v="0"/>
  </r>
  <r>
    <s v="https://twitter.com/VW/status/665219361859198976"/>
    <s v="Volkswagen"/>
    <s v="@VW"/>
    <x v="1262"/>
    <s v="2015-11-13T17:27:09.000Z"/>
    <x v="1"/>
    <x v="126"/>
    <s v="17:27:09"/>
    <x v="3"/>
    <s v="@BastardChef"/>
    <s v=""/>
    <n v="1"/>
    <n v="0"/>
    <n v="0"/>
    <n v="1"/>
    <s v="Low engagement"/>
    <b v="0"/>
    <b v="0"/>
    <b v="0"/>
    <x v="0"/>
  </r>
  <r>
    <s v="https://twitter.com/VW/status/665219363692085248"/>
    <s v="Volkswagen"/>
    <s v="@VW"/>
    <x v="1263"/>
    <s v="2015-11-13T17:27:10.000Z"/>
    <x v="1"/>
    <x v="126"/>
    <s v="17:27:10"/>
    <x v="3"/>
    <s v="@BastardChef"/>
    <s v=""/>
    <n v="0"/>
    <n v="1"/>
    <n v="0"/>
    <n v="1"/>
    <s v="Low engagement"/>
    <b v="0"/>
    <b v="0"/>
    <b v="0"/>
    <x v="0"/>
  </r>
  <r>
    <s v="https://twitter.com/VW/status/666309458344079360"/>
    <s v="Volkswagen"/>
    <s v="@VW"/>
    <x v="1264"/>
    <s v="2015-11-16T17:38:48.000Z"/>
    <x v="1"/>
    <x v="127"/>
    <s v="17:38:48"/>
    <x v="3"/>
    <s v=""/>
    <s v=""/>
    <n v="0"/>
    <n v="0"/>
    <n v="0"/>
    <n v="0"/>
    <s v="No engagement"/>
    <b v="0"/>
    <b v="0"/>
    <b v="1"/>
    <x v="3"/>
  </r>
  <r>
    <s v="https://twitter.com/VW/status/666309455223517184"/>
    <s v="Volkswagen"/>
    <s v="@VW"/>
    <x v="1265"/>
    <s v="2015-11-16T17:38:48.000Z"/>
    <x v="1"/>
    <x v="127"/>
    <s v="17:38:48"/>
    <x v="3"/>
    <s v=""/>
    <s v=""/>
    <n v="0"/>
    <n v="0"/>
    <n v="0"/>
    <n v="0"/>
    <s v="No engagement"/>
    <b v="0"/>
    <b v="0"/>
    <b v="0"/>
    <x v="0"/>
  </r>
  <r>
    <s v="https://twitter.com/VW/status/666309461061951489"/>
    <s v="Volkswagen"/>
    <s v="@VW"/>
    <x v="1266"/>
    <s v="2015-11-16T17:38:49.000Z"/>
    <x v="1"/>
    <x v="127"/>
    <s v="17:38:49"/>
    <x v="3"/>
    <s v="@akohser"/>
    <s v=""/>
    <n v="0"/>
    <n v="1"/>
    <n v="1"/>
    <n v="2"/>
    <s v="Low engagement"/>
    <b v="0"/>
    <b v="0"/>
    <b v="0"/>
    <x v="0"/>
  </r>
  <r>
    <s v="https://twitter.com/VW/status/666309459598159873"/>
    <s v="Volkswagen"/>
    <s v="@VW"/>
    <x v="1267"/>
    <s v="2015-11-16T17:38:49.000Z"/>
    <x v="1"/>
    <x v="127"/>
    <s v="17:38:49"/>
    <x v="3"/>
    <s v="@JakePirri22"/>
    <s v=""/>
    <n v="0"/>
    <n v="0"/>
    <n v="0"/>
    <n v="0"/>
    <s v="No engagement"/>
    <b v="0"/>
    <b v="0"/>
    <b v="0"/>
    <x v="0"/>
  </r>
  <r>
    <s v="https://twitter.com/VW/status/666321276219211776"/>
    <s v="Volkswagen"/>
    <s v="@VW"/>
    <x v="1268"/>
    <s v="2015-11-16T18:25:46.000Z"/>
    <x v="1"/>
    <x v="127"/>
    <s v="18:25:46"/>
    <x v="1"/>
    <s v=""/>
    <s v=""/>
    <n v="0"/>
    <n v="0"/>
    <n v="0"/>
    <n v="0"/>
    <s v="No engagement"/>
    <b v="0"/>
    <b v="0"/>
    <b v="0"/>
    <x v="0"/>
  </r>
  <r>
    <s v="https://twitter.com/VW/status/666321274629525504"/>
    <s v="Volkswagen"/>
    <s v="@VW"/>
    <x v="1269"/>
    <s v="2015-11-16T18:25:46.000Z"/>
    <x v="1"/>
    <x v="127"/>
    <s v="18:25:46"/>
    <x v="1"/>
    <s v="@scubafranky"/>
    <s v=""/>
    <n v="0"/>
    <n v="0"/>
    <n v="1"/>
    <n v="1"/>
    <s v="Low engagement"/>
    <b v="0"/>
    <b v="0"/>
    <b v="0"/>
    <x v="0"/>
  </r>
  <r>
    <s v="https://twitter.com/VW/status/666321278299541504"/>
    <s v="Volkswagen"/>
    <s v="@VW"/>
    <x v="1270"/>
    <s v="2015-11-16T18:25:47.000Z"/>
    <x v="1"/>
    <x v="127"/>
    <s v="18:25:47"/>
    <x v="1"/>
    <s v=""/>
    <s v=""/>
    <n v="0"/>
    <n v="0"/>
    <n v="1"/>
    <n v="1"/>
    <s v="Low engagement"/>
    <b v="0"/>
    <b v="0"/>
    <b v="0"/>
    <x v="0"/>
  </r>
  <r>
    <s v="https://twitter.com/VW/status/666330996921401344"/>
    <s v="Volkswagen"/>
    <s v="@VW"/>
    <x v="1271"/>
    <s v="2015-11-16T19:04:24.000Z"/>
    <x v="1"/>
    <x v="127"/>
    <s v="19:04:24"/>
    <x v="1"/>
    <s v=""/>
    <s v=""/>
    <n v="1"/>
    <n v="0"/>
    <n v="1"/>
    <n v="2"/>
    <s v="Low engagement"/>
    <b v="0"/>
    <b v="0"/>
    <b v="0"/>
    <x v="0"/>
  </r>
  <r>
    <s v="https://twitter.com/VW/status/666332711414423553"/>
    <s v="Volkswagen"/>
    <s v="@VW"/>
    <x v="1272"/>
    <s v="2015-11-16T19:11:12.000Z"/>
    <x v="1"/>
    <x v="127"/>
    <s v="19:11:12"/>
    <x v="1"/>
    <s v="@gagansaggar"/>
    <s v=""/>
    <n v="0"/>
    <n v="0"/>
    <n v="1"/>
    <n v="1"/>
    <s v="Low engagement"/>
    <b v="0"/>
    <b v="0"/>
    <b v="0"/>
    <x v="0"/>
  </r>
  <r>
    <s v="https://twitter.com/VW/status/666332712953753600"/>
    <s v="Volkswagen"/>
    <s v="@VW"/>
    <x v="1273"/>
    <s v="2015-11-16T19:11:13.000Z"/>
    <x v="1"/>
    <x v="127"/>
    <s v="19:11:13"/>
    <x v="1"/>
    <s v="@gagansaggar"/>
    <s v=""/>
    <n v="0"/>
    <n v="0"/>
    <n v="0"/>
    <n v="0"/>
    <s v="No engagement"/>
    <b v="0"/>
    <b v="0"/>
    <b v="0"/>
    <x v="0"/>
  </r>
  <r>
    <s v="https://twitter.com/VW/status/666664617607852032"/>
    <s v="Volkswagen"/>
    <s v="@VW"/>
    <x v="1274"/>
    <s v="2015-11-17T17:10:05.000Z"/>
    <x v="1"/>
    <x v="128"/>
    <s v="17:10:05"/>
    <x v="3"/>
    <s v=""/>
    <s v=""/>
    <n v="73"/>
    <n v="44"/>
    <n v="66"/>
    <n v="183"/>
    <s v="High engagement"/>
    <b v="1"/>
    <b v="0"/>
    <b v="1"/>
    <x v="1"/>
  </r>
  <r>
    <s v="https://twitter.com/VW/status/666699222498959361"/>
    <s v="Volkswagen"/>
    <s v="@VW"/>
    <x v="1275"/>
    <s v="2015-11-17T19:27:35.000Z"/>
    <x v="1"/>
    <x v="128"/>
    <s v="19:27:35"/>
    <x v="1"/>
    <s v="@TechRecruit4U"/>
    <s v=""/>
    <n v="0"/>
    <n v="0"/>
    <n v="0"/>
    <n v="0"/>
    <s v="No engagement"/>
    <b v="0"/>
    <b v="0"/>
    <b v="0"/>
    <x v="0"/>
  </r>
  <r>
    <s v="https://twitter.com/VW/status/666699226152210432"/>
    <s v="Volkswagen"/>
    <s v="@VW"/>
    <x v="1276"/>
    <s v="2015-11-17T19:27:36.000Z"/>
    <x v="1"/>
    <x v="128"/>
    <s v="19:27:36"/>
    <x v="1"/>
    <s v="@MarkCox100"/>
    <s v=""/>
    <n v="0"/>
    <n v="2"/>
    <n v="1"/>
    <n v="3"/>
    <s v="Low engagement"/>
    <b v="0"/>
    <b v="0"/>
    <b v="0"/>
    <x v="0"/>
  </r>
  <r>
    <s v="https://twitter.com/VW/status/666699228408774656"/>
    <s v="Volkswagen"/>
    <s v="@VW"/>
    <x v="1277"/>
    <s v="2015-11-17T19:27:37.000Z"/>
    <x v="1"/>
    <x v="128"/>
    <s v="19:27:37"/>
    <x v="1"/>
    <s v="@TheBaconDiaries"/>
    <s v=""/>
    <n v="2"/>
    <n v="0"/>
    <n v="2"/>
    <n v="4"/>
    <s v="Low engagement"/>
    <b v="0"/>
    <b v="0"/>
    <b v="0"/>
    <x v="0"/>
  </r>
  <r>
    <s v="https://twitter.com/VW/status/666995929593966592"/>
    <s v="Volkswagen"/>
    <s v="@VW"/>
    <x v="1278"/>
    <s v="2015-11-18T15:06:36.000Z"/>
    <x v="1"/>
    <x v="129"/>
    <s v="15:06:36"/>
    <x v="3"/>
    <s v="@jamiedykes"/>
    <s v=""/>
    <n v="0"/>
    <n v="0"/>
    <n v="0"/>
    <n v="0"/>
    <s v="No engagement"/>
    <b v="0"/>
    <b v="0"/>
    <b v="0"/>
    <x v="0"/>
  </r>
  <r>
    <s v="https://twitter.com/VW/status/666995934392283136"/>
    <s v="Volkswagen"/>
    <s v="@VW"/>
    <x v="1279"/>
    <s v="2015-11-18T15:06:37.000Z"/>
    <x v="1"/>
    <x v="129"/>
    <s v="15:06:37"/>
    <x v="3"/>
    <s v="@teamDWA"/>
    <s v=""/>
    <n v="0"/>
    <n v="0"/>
    <n v="0"/>
    <n v="0"/>
    <s v="No engagement"/>
    <b v="0"/>
    <b v="0"/>
    <b v="0"/>
    <x v="0"/>
  </r>
  <r>
    <s v="https://twitter.com/VW/status/666995932592889856"/>
    <s v="Volkswagen"/>
    <s v="@VW"/>
    <x v="1280"/>
    <s v="2015-11-18T15:06:37.000Z"/>
    <x v="1"/>
    <x v="129"/>
    <s v="15:06:37"/>
    <x v="3"/>
    <s v="@jamiedykes"/>
    <s v=""/>
    <n v="0"/>
    <n v="0"/>
    <n v="0"/>
    <n v="0"/>
    <s v="No engagement"/>
    <b v="0"/>
    <b v="0"/>
    <b v="0"/>
    <x v="0"/>
  </r>
  <r>
    <s v="https://twitter.com/VW/status/666996822968156163"/>
    <s v="Volkswagen"/>
    <s v="@VW"/>
    <x v="1281"/>
    <s v="2015-11-18T15:10:09.000Z"/>
    <x v="1"/>
    <x v="129"/>
    <s v="15:10:09"/>
    <x v="3"/>
    <s v="@teamDWA"/>
    <s v=""/>
    <n v="1"/>
    <n v="0"/>
    <n v="1"/>
    <n v="2"/>
    <s v="Low engagement"/>
    <b v="0"/>
    <b v="0"/>
    <b v="0"/>
    <x v="0"/>
  </r>
  <r>
    <s v="https://twitter.com/VW/status/666996830027124736"/>
    <s v="Volkswagen"/>
    <s v="@VW"/>
    <x v="1282"/>
    <s v="2015-11-18T15:10:11.000Z"/>
    <x v="1"/>
    <x v="129"/>
    <s v="15:10:11"/>
    <x v="3"/>
    <s v="@robsanjr"/>
    <s v=""/>
    <n v="1"/>
    <n v="0"/>
    <n v="0"/>
    <n v="1"/>
    <s v="Low engagement"/>
    <b v="0"/>
    <b v="0"/>
    <b v="0"/>
    <x v="0"/>
  </r>
  <r>
    <s v="https://twitter.com/VW/status/667046414606667776"/>
    <s v="Volkswagen"/>
    <s v="@VW"/>
    <x v="1283"/>
    <s v="2015-11-18T18:27:13.000Z"/>
    <x v="1"/>
    <x v="129"/>
    <s v="18:27:13"/>
    <x v="1"/>
    <s v=""/>
    <s v=""/>
    <n v="0"/>
    <n v="0"/>
    <n v="1"/>
    <n v="1"/>
    <s v="Low engagement"/>
    <b v="0"/>
    <b v="0"/>
    <b v="1"/>
    <x v="3"/>
  </r>
  <r>
    <s v="https://twitter.com/VW/status/667057619559837696"/>
    <s v="Volkswagen"/>
    <s v="@VW"/>
    <x v="1284"/>
    <s v="2015-11-18T19:11:44.000Z"/>
    <x v="1"/>
    <x v="129"/>
    <s v="19:11:44"/>
    <x v="1"/>
    <s v="@slgoines1"/>
    <s v=""/>
    <n v="0"/>
    <n v="1"/>
    <n v="0"/>
    <n v="1"/>
    <s v="Low engagement"/>
    <b v="0"/>
    <b v="0"/>
    <b v="0"/>
    <x v="0"/>
  </r>
  <r>
    <s v="https://twitter.com/VW/status/667058432399138816"/>
    <s v="Volkswagen"/>
    <s v="@VW"/>
    <x v="1285"/>
    <s v="2015-11-18T19:14:58.000Z"/>
    <x v="1"/>
    <x v="129"/>
    <s v="19:14:58"/>
    <x v="1"/>
    <s v="@slgoines1"/>
    <s v=""/>
    <n v="0"/>
    <n v="0"/>
    <n v="0"/>
    <n v="0"/>
    <s v="No engagement"/>
    <b v="0"/>
    <b v="0"/>
    <b v="1"/>
    <x v="3"/>
  </r>
  <r>
    <s v="https://twitter.com/VW/status/667059311122616320"/>
    <s v="Volkswagen"/>
    <s v="@VW"/>
    <x v="1286"/>
    <s v="2015-11-18T19:18:27.000Z"/>
    <x v="1"/>
    <x v="129"/>
    <s v="19:18:27"/>
    <x v="1"/>
    <s v="@alexelgreatish"/>
    <s v=""/>
    <n v="0"/>
    <n v="0"/>
    <n v="0"/>
    <n v="0"/>
    <s v="No engagement"/>
    <b v="0"/>
    <b v="0"/>
    <b v="0"/>
    <x v="0"/>
  </r>
  <r>
    <s v="https://twitter.com/VW/status/667059313383346177"/>
    <s v="Volkswagen"/>
    <s v="@VW"/>
    <x v="1287"/>
    <s v="2015-11-18T19:18:28.000Z"/>
    <x v="1"/>
    <x v="129"/>
    <s v="19:18:28"/>
    <x v="1"/>
    <s v="@alexelgreatish"/>
    <s v=""/>
    <n v="0"/>
    <n v="0"/>
    <n v="0"/>
    <n v="0"/>
    <s v="No engagement"/>
    <b v="0"/>
    <b v="0"/>
    <b v="0"/>
    <x v="0"/>
  </r>
  <r>
    <s v="https://twitter.com/VW/status/667073455922135040"/>
    <s v="Volkswagen"/>
    <s v="@VW"/>
    <x v="1288"/>
    <s v="2015-11-18T20:14:40.000Z"/>
    <x v="1"/>
    <x v="129"/>
    <s v="20:14:40"/>
    <x v="1"/>
    <s v="@Bmillerpgh"/>
    <s v=""/>
    <n v="0"/>
    <n v="0"/>
    <n v="0"/>
    <n v="0"/>
    <s v="No engagement"/>
    <b v="0"/>
    <b v="0"/>
    <b v="1"/>
    <x v="3"/>
  </r>
  <r>
    <s v="https://twitter.com/VW/status/667075329412870144"/>
    <s v="Volkswagen"/>
    <s v="@VW"/>
    <x v="1289"/>
    <s v="2015-11-18T20:22:06.000Z"/>
    <x v="1"/>
    <x v="129"/>
    <s v="20:22:06"/>
    <x v="1"/>
    <s v="@Bmillerpgh"/>
    <s v=""/>
    <n v="0"/>
    <n v="0"/>
    <n v="0"/>
    <n v="0"/>
    <s v="No engagement"/>
    <b v="0"/>
    <b v="0"/>
    <b v="0"/>
    <x v="0"/>
  </r>
  <r>
    <s v="https://twitter.com/VW/status/667087803734355968"/>
    <s v="Volkswagen"/>
    <s v="@VW"/>
    <x v="1290"/>
    <s v="2015-11-18T21:11:40.000Z"/>
    <x v="1"/>
    <x v="129"/>
    <s v="21:11:40"/>
    <x v="1"/>
    <s v=""/>
    <s v=""/>
    <n v="0"/>
    <n v="0"/>
    <n v="1"/>
    <n v="1"/>
    <s v="Low engagement"/>
    <b v="0"/>
    <b v="0"/>
    <b v="0"/>
    <x v="0"/>
  </r>
  <r>
    <s v="https://twitter.com/VW/status/667088663600193536"/>
    <s v="Volkswagen"/>
    <s v="@VW"/>
    <x v="1291"/>
    <s v="2015-11-18T21:15:05.000Z"/>
    <x v="1"/>
    <x v="129"/>
    <s v="21:15:05"/>
    <x v="1"/>
    <s v=""/>
    <s v=""/>
    <n v="0"/>
    <n v="0"/>
    <n v="1"/>
    <n v="1"/>
    <s v="Low engagement"/>
    <b v="0"/>
    <b v="0"/>
    <b v="0"/>
    <x v="0"/>
  </r>
  <r>
    <s v="https://twitter.com/VW/status/667088666716606464"/>
    <s v="Volkswagen"/>
    <s v="@VW"/>
    <x v="1292"/>
    <s v="2015-11-18T21:15:06.000Z"/>
    <x v="1"/>
    <x v="129"/>
    <s v="21:15:06"/>
    <x v="1"/>
    <s v="@NickDelsignore"/>
    <s v=""/>
    <n v="1"/>
    <n v="0"/>
    <n v="3"/>
    <n v="4"/>
    <s v="Low engagement"/>
    <b v="0"/>
    <b v="0"/>
    <b v="0"/>
    <x v="0"/>
  </r>
  <r>
    <s v="https://twitter.com/VW/status/667088665001070592"/>
    <s v="Volkswagen"/>
    <s v="@VW"/>
    <x v="1293"/>
    <s v="2015-11-18T21:15:06.000Z"/>
    <x v="1"/>
    <x v="129"/>
    <s v="21:15:06"/>
    <x v="1"/>
    <s v="@NickDelsignore"/>
    <s v=""/>
    <n v="0"/>
    <n v="0"/>
    <n v="1"/>
    <n v="1"/>
    <s v="Low engagement"/>
    <b v="0"/>
    <b v="0"/>
    <b v="0"/>
    <x v="0"/>
  </r>
  <r>
    <s v="https://twitter.com/VW/status/667094954016047104"/>
    <s v="Volkswagen"/>
    <s v="@VW"/>
    <x v="1294"/>
    <s v="2015-11-18T21:40:05.000Z"/>
    <x v="1"/>
    <x v="129"/>
    <s v="21:40:05"/>
    <x v="1"/>
    <s v=""/>
    <s v=""/>
    <n v="1"/>
    <n v="0"/>
    <n v="1"/>
    <n v="2"/>
    <s v="Low engagement"/>
    <b v="0"/>
    <b v="0"/>
    <b v="0"/>
    <x v="0"/>
  </r>
  <r>
    <s v="https://twitter.com/VW/status/667095902755012608"/>
    <s v="Volkswagen"/>
    <s v="@VW"/>
    <x v="1295"/>
    <s v="2015-11-18T21:43:51.000Z"/>
    <x v="1"/>
    <x v="129"/>
    <s v="21:43:51"/>
    <x v="1"/>
    <s v="@Zeitgeist33"/>
    <s v=""/>
    <n v="0"/>
    <n v="0"/>
    <n v="1"/>
    <n v="1"/>
    <s v="Low engagement"/>
    <b v="0"/>
    <b v="0"/>
    <b v="0"/>
    <x v="0"/>
  </r>
  <r>
    <s v="https://twitter.com/VW/status/667095904663433216"/>
    <s v="Volkswagen"/>
    <s v="@VW"/>
    <x v="1296"/>
    <s v="2015-11-18T21:43:52.000Z"/>
    <x v="1"/>
    <x v="129"/>
    <s v="21:43:52"/>
    <x v="1"/>
    <s v="@Zeitgeist33"/>
    <s v=""/>
    <n v="1"/>
    <n v="0"/>
    <n v="0"/>
    <n v="1"/>
    <s v="Low engagement"/>
    <b v="0"/>
    <b v="0"/>
    <b v="0"/>
    <x v="0"/>
  </r>
  <r>
    <s v="https://twitter.com/VW/status/667105378560139264"/>
    <s v="Volkswagen"/>
    <s v="@VW"/>
    <x v="1297"/>
    <s v="2015-11-18T22:21:31.000Z"/>
    <x v="1"/>
    <x v="129"/>
    <s v="22:21:31"/>
    <x v="1"/>
    <s v=""/>
    <s v=""/>
    <n v="0"/>
    <n v="0"/>
    <n v="0"/>
    <n v="0"/>
    <s v="No engagement"/>
    <b v="0"/>
    <b v="0"/>
    <b v="0"/>
    <x v="0"/>
  </r>
  <r>
    <s v="https://twitter.com/VW/status/667109785007820800"/>
    <s v="Volkswagen"/>
    <s v="@VW"/>
    <x v="1298"/>
    <s v="2015-11-18T22:39:01.000Z"/>
    <x v="1"/>
    <x v="129"/>
    <s v="22:39:01"/>
    <x v="1"/>
    <s v="@JayPichardo"/>
    <s v=""/>
    <n v="1"/>
    <n v="1"/>
    <n v="1"/>
    <n v="3"/>
    <s v="Low engagement"/>
    <b v="0"/>
    <b v="0"/>
    <b v="0"/>
    <x v="0"/>
  </r>
  <r>
    <s v="https://twitter.com/VW/status/667109786995945472"/>
    <s v="Volkswagen"/>
    <s v="@VW"/>
    <x v="1299"/>
    <s v="2015-11-18T22:39:02.000Z"/>
    <x v="1"/>
    <x v="129"/>
    <s v="22:39:02"/>
    <x v="1"/>
    <s v="@JayPichardo"/>
    <s v=""/>
    <n v="0"/>
    <n v="0"/>
    <n v="1"/>
    <n v="1"/>
    <s v="Low engagement"/>
    <b v="0"/>
    <b v="0"/>
    <b v="1"/>
    <x v="3"/>
  </r>
  <r>
    <s v="https://twitter.com/VW/status/667469182183739392"/>
    <s v="Volkswagen"/>
    <s v="@VW"/>
    <x v="1300"/>
    <s v="2015-11-19T22:27:08.000Z"/>
    <x v="1"/>
    <x v="130"/>
    <s v="22:27:08"/>
    <x v="1"/>
    <s v="@ScreamnBanshee"/>
    <s v=""/>
    <n v="0"/>
    <n v="0"/>
    <n v="1"/>
    <n v="1"/>
    <s v="Low engagement"/>
    <b v="0"/>
    <b v="0"/>
    <b v="0"/>
    <x v="0"/>
  </r>
  <r>
    <s v="https://twitter.com/VW/status/667469187283972096"/>
    <s v="Volkswagen"/>
    <s v="@VW"/>
    <x v="1301"/>
    <s v="2015-11-19T22:27:09.000Z"/>
    <x v="1"/>
    <x v="130"/>
    <s v="22:27:09"/>
    <x v="1"/>
    <s v=""/>
    <s v=""/>
    <n v="1"/>
    <n v="0"/>
    <n v="1"/>
    <n v="2"/>
    <s v="Low engagement"/>
    <b v="0"/>
    <b v="0"/>
    <b v="0"/>
    <x v="0"/>
  </r>
  <r>
    <s v="https://twitter.com/VW/status/667469184608014337"/>
    <s v="Volkswagen"/>
    <s v="@VW"/>
    <x v="1302"/>
    <s v="2015-11-19T22:27:09.000Z"/>
    <x v="1"/>
    <x v="130"/>
    <s v="22:27:09"/>
    <x v="1"/>
    <s v="@ScreamnBanshee"/>
    <s v=""/>
    <n v="0"/>
    <n v="0"/>
    <n v="1"/>
    <n v="1"/>
    <s v="Low engagement"/>
    <b v="0"/>
    <b v="0"/>
    <b v="0"/>
    <x v="0"/>
  </r>
  <r>
    <s v="https://twitter.com/VW/status/667714394055282688"/>
    <s v="Volkswagen"/>
    <s v="@VW"/>
    <x v="1303"/>
    <s v="2015-11-20T14:41:31.000Z"/>
    <x v="1"/>
    <x v="131"/>
    <s v="14:41:31"/>
    <x v="3"/>
    <s v="@hauntedsunshine"/>
    <s v=""/>
    <n v="0"/>
    <n v="0"/>
    <n v="1"/>
    <n v="1"/>
    <s v="Low engagement"/>
    <b v="0"/>
    <b v="0"/>
    <b v="0"/>
    <x v="0"/>
  </r>
  <r>
    <s v="https://twitter.com/VW/status/667717964074893312"/>
    <s v="Volkswagen"/>
    <s v="@VW"/>
    <x v="1304"/>
    <s v="2015-11-20T14:55:42.000Z"/>
    <x v="1"/>
    <x v="131"/>
    <s v="14:55:42"/>
    <x v="3"/>
    <s v="@tmackd"/>
    <s v=""/>
    <n v="0"/>
    <n v="0"/>
    <n v="1"/>
    <n v="1"/>
    <s v="Low engagement"/>
    <b v="0"/>
    <b v="0"/>
    <b v="0"/>
    <x v="0"/>
  </r>
  <r>
    <s v="https://twitter.com/VW/status/667717965849038850"/>
    <s v="Volkswagen"/>
    <s v="@VW"/>
    <x v="1305"/>
    <s v="2015-11-20T14:55:43.000Z"/>
    <x v="1"/>
    <x v="131"/>
    <s v="14:55:43"/>
    <x v="3"/>
    <s v="@tmackd"/>
    <s v=""/>
    <n v="0"/>
    <n v="0"/>
    <n v="1"/>
    <n v="1"/>
    <s v="Low engagement"/>
    <b v="0"/>
    <b v="0"/>
    <b v="0"/>
    <x v="0"/>
  </r>
  <r>
    <s v="https://twitter.com/VW/status/667738235213230080"/>
    <s v="Volkswagen"/>
    <s v="@VW"/>
    <x v="1306"/>
    <s v="2015-11-20T16:16:15.000Z"/>
    <x v="1"/>
    <x v="131"/>
    <s v="16:16:15"/>
    <x v="3"/>
    <s v=""/>
    <s v=""/>
    <n v="0"/>
    <n v="0"/>
    <n v="0"/>
    <n v="0"/>
    <s v="No engagement"/>
    <b v="0"/>
    <b v="0"/>
    <b v="0"/>
    <x v="0"/>
  </r>
  <r>
    <s v="https://twitter.com/VW/status/667738237310373889"/>
    <s v="Volkswagen"/>
    <s v="@VW"/>
    <x v="1307"/>
    <s v="2015-11-20T16:16:16.000Z"/>
    <x v="1"/>
    <x v="131"/>
    <s v="16:16:16"/>
    <x v="3"/>
    <s v=""/>
    <s v=""/>
    <n v="2"/>
    <n v="0"/>
    <n v="2"/>
    <n v="4"/>
    <s v="Low engagement"/>
    <b v="0"/>
    <b v="0"/>
    <b v="0"/>
    <x v="0"/>
  </r>
  <r>
    <s v="https://twitter.com/VW/status/667740837401366529"/>
    <s v="Volkswagen"/>
    <s v="@VW"/>
    <x v="1308"/>
    <s v="2015-11-20T16:26:36.000Z"/>
    <x v="1"/>
    <x v="131"/>
    <s v="16:26:36"/>
    <x v="3"/>
    <s v="@Bmillerpgh"/>
    <s v=""/>
    <n v="0"/>
    <n v="0"/>
    <n v="1"/>
    <n v="1"/>
    <s v="Low engagement"/>
    <b v="0"/>
    <b v="0"/>
    <b v="0"/>
    <x v="0"/>
  </r>
  <r>
    <s v="https://twitter.com/VW/status/667780482659028992"/>
    <s v="Volkswagen"/>
    <s v="@VW"/>
    <x v="1309"/>
    <s v="2015-11-20T19:04:08.000Z"/>
    <x v="1"/>
    <x v="131"/>
    <s v="19:04:08"/>
    <x v="1"/>
    <s v="@akohser"/>
    <s v=""/>
    <n v="0"/>
    <n v="0"/>
    <n v="0"/>
    <n v="0"/>
    <s v="No engagement"/>
    <b v="0"/>
    <b v="0"/>
    <b v="0"/>
    <x v="0"/>
  </r>
  <r>
    <s v="https://twitter.com/VW/status/667780481115553792"/>
    <s v="Volkswagen"/>
    <s v="@VW"/>
    <x v="1310"/>
    <s v="2015-11-20T19:04:08.000Z"/>
    <x v="1"/>
    <x v="131"/>
    <s v="19:04:08"/>
    <x v="1"/>
    <s v="@akohser"/>
    <s v=""/>
    <n v="0"/>
    <n v="0"/>
    <n v="1"/>
    <n v="1"/>
    <s v="Low engagement"/>
    <b v="0"/>
    <b v="0"/>
    <b v="0"/>
    <x v="0"/>
  </r>
  <r>
    <s v="https://twitter.com/VW/status/667782181717061632"/>
    <s v="Volkswagen"/>
    <s v="@VW"/>
    <x v="1311"/>
    <s v="2015-11-20T19:10:53.000Z"/>
    <x v="1"/>
    <x v="131"/>
    <s v="19:10:53"/>
    <x v="1"/>
    <s v=""/>
    <s v=""/>
    <n v="0"/>
    <n v="0"/>
    <n v="0"/>
    <n v="0"/>
    <s v="No engagement"/>
    <b v="0"/>
    <b v="0"/>
    <b v="0"/>
    <x v="0"/>
  </r>
  <r>
    <s v="https://twitter.com/VW/status/667782184955043840"/>
    <s v="Volkswagen"/>
    <s v="@VW"/>
    <x v="1312"/>
    <s v="2015-11-20T19:10:54.000Z"/>
    <x v="1"/>
    <x v="131"/>
    <s v="19:10:54"/>
    <x v="1"/>
    <s v=""/>
    <s v=""/>
    <n v="0"/>
    <n v="0"/>
    <n v="1"/>
    <n v="1"/>
    <s v="Low engagement"/>
    <b v="0"/>
    <b v="0"/>
    <b v="0"/>
    <x v="0"/>
  </r>
  <r>
    <s v="https://twitter.com/VW/status/667782183558381568"/>
    <s v="Volkswagen"/>
    <s v="@VW"/>
    <x v="1313"/>
    <s v="2015-11-20T19:10:54.000Z"/>
    <x v="1"/>
    <x v="131"/>
    <s v="19:10:54"/>
    <x v="1"/>
    <s v=""/>
    <s v=""/>
    <n v="0"/>
    <n v="0"/>
    <n v="1"/>
    <n v="1"/>
    <s v="Low engagement"/>
    <b v="0"/>
    <b v="0"/>
    <b v="0"/>
    <x v="0"/>
  </r>
  <r>
    <s v="https://twitter.com/VW/status/667836363392204800"/>
    <s v="Volkswagen"/>
    <s v="@VW"/>
    <x v="1314"/>
    <s v="2015-11-20T22:46:11.000Z"/>
    <x v="1"/>
    <x v="131"/>
    <s v="22:46:11"/>
    <x v="1"/>
    <s v="@52isoblue"/>
    <s v=""/>
    <n v="1"/>
    <n v="0"/>
    <n v="0"/>
    <n v="1"/>
    <s v="Low engagement"/>
    <b v="0"/>
    <b v="0"/>
    <b v="0"/>
    <x v="0"/>
  </r>
  <r>
    <s v="https://twitter.com/VW/status/667837283026907136"/>
    <s v="Volkswagen"/>
    <s v="@VW"/>
    <x v="1315"/>
    <s v="2015-11-20T22:49:50.000Z"/>
    <x v="1"/>
    <x v="131"/>
    <s v="22:49:50"/>
    <x v="1"/>
    <s v="@thor0din50n"/>
    <s v=""/>
    <n v="0"/>
    <n v="0"/>
    <n v="0"/>
    <n v="0"/>
    <s v="No engagement"/>
    <b v="0"/>
    <b v="0"/>
    <b v="0"/>
    <x v="0"/>
  </r>
  <r>
    <s v="https://twitter.com/VW/status/667837281282101248"/>
    <s v="Volkswagen"/>
    <s v="@VW"/>
    <x v="1316"/>
    <s v="2015-11-20T22:49:50.000Z"/>
    <x v="1"/>
    <x v="131"/>
    <s v="22:49:50"/>
    <x v="1"/>
    <s v="@52isoblue"/>
    <s v=""/>
    <n v="1"/>
    <n v="0"/>
    <n v="1"/>
    <n v="2"/>
    <s v="Low engagement"/>
    <b v="0"/>
    <b v="0"/>
    <b v="1"/>
    <x v="3"/>
  </r>
  <r>
    <s v="https://twitter.com/VW/status/667837284599762944"/>
    <s v="Volkswagen"/>
    <s v="@VW"/>
    <x v="1317"/>
    <s v="2015-11-20T22:49:51.000Z"/>
    <x v="1"/>
    <x v="131"/>
    <s v="22:49:51"/>
    <x v="1"/>
    <s v="@thor0din50n"/>
    <s v=""/>
    <n v="0"/>
    <n v="0"/>
    <n v="0"/>
    <n v="0"/>
    <s v="No engagement"/>
    <b v="0"/>
    <b v="0"/>
    <b v="0"/>
    <x v="0"/>
  </r>
  <r>
    <s v="https://twitter.com/VW/status/667837290291466240"/>
    <s v="Volkswagen"/>
    <s v="@VW"/>
    <x v="1318"/>
    <s v="2015-11-20T22:49:52.000Z"/>
    <x v="1"/>
    <x v="131"/>
    <s v="22:49:52"/>
    <x v="1"/>
    <s v="@dmitry_h"/>
    <s v=""/>
    <n v="0"/>
    <n v="0"/>
    <n v="1"/>
    <n v="1"/>
    <s v="Low engagement"/>
    <b v="0"/>
    <b v="0"/>
    <b v="0"/>
    <x v="0"/>
  </r>
  <r>
    <s v="https://twitter.com/VW/status/667837288437542912"/>
    <s v="Volkswagen"/>
    <s v="@VW"/>
    <x v="1319"/>
    <s v="2015-11-20T22:49:52.000Z"/>
    <x v="1"/>
    <x v="131"/>
    <s v="22:49:52"/>
    <x v="1"/>
    <s v="@dmitry_h"/>
    <s v=""/>
    <n v="0"/>
    <n v="1"/>
    <n v="1"/>
    <n v="2"/>
    <s v="Low engagement"/>
    <b v="0"/>
    <b v="0"/>
    <b v="0"/>
    <x v="0"/>
  </r>
  <r>
    <s v="https://twitter.com/VW/status/667838154406129664"/>
    <s v="Volkswagen"/>
    <s v="@VW"/>
    <x v="1320"/>
    <s v="2015-11-20T22:53:18.000Z"/>
    <x v="1"/>
    <x v="131"/>
    <s v="22:53:18"/>
    <x v="1"/>
    <s v="@dmitry_h"/>
    <s v=""/>
    <n v="0"/>
    <n v="0"/>
    <n v="0"/>
    <n v="0"/>
    <s v="No engagement"/>
    <b v="0"/>
    <b v="0"/>
    <b v="0"/>
    <x v="0"/>
  </r>
  <r>
    <s v="https://twitter.com/VW/status/667846146430074880"/>
    <s v="Volkswagen"/>
    <s v="@VW"/>
    <x v="1321"/>
    <s v="2015-11-20T23:25:03.000Z"/>
    <x v="1"/>
    <x v="131"/>
    <s v="23:25:03"/>
    <x v="1"/>
    <s v="@EdwardjohnM"/>
    <s v=""/>
    <n v="0"/>
    <n v="0"/>
    <n v="1"/>
    <n v="1"/>
    <s v="Low engagement"/>
    <b v="0"/>
    <b v="0"/>
    <b v="0"/>
    <x v="0"/>
  </r>
  <r>
    <s v="https://twitter.com/VW/status/667846144714764289"/>
    <s v="Volkswagen"/>
    <s v="@VW"/>
    <x v="1322"/>
    <s v="2015-11-20T23:25:03.000Z"/>
    <x v="1"/>
    <x v="131"/>
    <s v="23:25:03"/>
    <x v="1"/>
    <s v="@bnekic"/>
    <s v=""/>
    <n v="0"/>
    <n v="0"/>
    <n v="0"/>
    <n v="0"/>
    <s v="No engagement"/>
    <b v="0"/>
    <b v="0"/>
    <b v="0"/>
    <x v="0"/>
  </r>
  <r>
    <s v="https://twitter.com/VW/status/667846148212690944"/>
    <s v="Volkswagen"/>
    <s v="@VW"/>
    <x v="1323"/>
    <s v="2015-11-20T23:25:04.000Z"/>
    <x v="1"/>
    <x v="131"/>
    <s v="23:25:04"/>
    <x v="1"/>
    <s v="@EdwardjohnM"/>
    <s v=""/>
    <n v="1"/>
    <n v="0"/>
    <n v="1"/>
    <n v="2"/>
    <s v="Low engagement"/>
    <b v="0"/>
    <b v="0"/>
    <b v="0"/>
    <x v="0"/>
  </r>
  <r>
    <s v="https://twitter.com/VW/status/668861853917777920"/>
    <s v="Volkswagen"/>
    <s v="@VW"/>
    <x v="1324"/>
    <s v="2015-11-23T18:41:07.000Z"/>
    <x v="1"/>
    <x v="132"/>
    <s v="18:41:07"/>
    <x v="1"/>
    <s v=""/>
    <s v=""/>
    <n v="0"/>
    <n v="1"/>
    <n v="1"/>
    <n v="2"/>
    <s v="Low engagement"/>
    <b v="0"/>
    <b v="0"/>
    <b v="0"/>
    <x v="0"/>
  </r>
  <r>
    <s v="https://twitter.com/VW/status/668861858762194944"/>
    <s v="Volkswagen"/>
    <s v="@VW"/>
    <x v="1325"/>
    <s v="2015-11-23T18:41:08.000Z"/>
    <x v="1"/>
    <x v="132"/>
    <s v="18:41:08"/>
    <x v="1"/>
    <s v="@ruizman1986"/>
    <s v=""/>
    <n v="1"/>
    <n v="1"/>
    <n v="1"/>
    <n v="3"/>
    <s v="Low engagement"/>
    <b v="0"/>
    <b v="0"/>
    <b v="0"/>
    <x v="0"/>
  </r>
  <r>
    <s v="https://twitter.com/VW/status/668862772579401728"/>
    <s v="Volkswagen"/>
    <s v="@VW"/>
    <x v="1326"/>
    <s v="2015-11-23T18:44:46.000Z"/>
    <x v="1"/>
    <x v="132"/>
    <s v="18:44:46"/>
    <x v="1"/>
    <s v="@ruizman1986"/>
    <s v=""/>
    <n v="0"/>
    <n v="1"/>
    <n v="1"/>
    <n v="2"/>
    <s v="Low engagement"/>
    <b v="0"/>
    <b v="0"/>
    <b v="0"/>
    <x v="0"/>
  </r>
  <r>
    <s v="https://twitter.com/VW/status/668864577229094912"/>
    <s v="Volkswagen"/>
    <s v="@VW"/>
    <x v="1327"/>
    <s v="2015-11-23T18:51:56.000Z"/>
    <x v="1"/>
    <x v="132"/>
    <s v="18:51:56"/>
    <x v="1"/>
    <s v="@driq12"/>
    <s v=""/>
    <n v="0"/>
    <n v="0"/>
    <n v="1"/>
    <n v="1"/>
    <s v="Low engagement"/>
    <b v="0"/>
    <b v="0"/>
    <b v="0"/>
    <x v="0"/>
  </r>
  <r>
    <s v="https://twitter.com/VW/status/668864575207399424"/>
    <s v="Volkswagen"/>
    <s v="@VW"/>
    <x v="1328"/>
    <s v="2015-11-23T18:51:56.000Z"/>
    <x v="1"/>
    <x v="132"/>
    <s v="18:51:56"/>
    <x v="1"/>
    <s v="@driq12"/>
    <s v=""/>
    <n v="1"/>
    <n v="0"/>
    <n v="1"/>
    <n v="2"/>
    <s v="Low engagement"/>
    <b v="0"/>
    <b v="0"/>
    <b v="0"/>
    <x v="0"/>
  </r>
  <r>
    <s v="https://twitter.com/VW/status/668879440655417344"/>
    <s v="Volkswagen"/>
    <s v="@VW"/>
    <x v="1329"/>
    <s v="2015-11-23T19:51:00.000Z"/>
    <x v="1"/>
    <x v="132"/>
    <s v="19:51:00"/>
    <x v="1"/>
    <s v="@jbnlbnbb3"/>
    <s v=""/>
    <n v="0"/>
    <n v="0"/>
    <n v="1"/>
    <n v="1"/>
    <s v="Low engagement"/>
    <b v="0"/>
    <b v="0"/>
    <b v="0"/>
    <x v="0"/>
  </r>
  <r>
    <s v="https://twitter.com/VW/status/668879438960984065"/>
    <s v="Volkswagen"/>
    <s v="@VW"/>
    <x v="1330"/>
    <s v="2015-11-23T19:51:00.000Z"/>
    <x v="1"/>
    <x v="132"/>
    <s v="19:51:00"/>
    <x v="1"/>
    <s v="@jbnlbnbb3"/>
    <s v=""/>
    <n v="0"/>
    <n v="0"/>
    <n v="1"/>
    <n v="1"/>
    <s v="Low engagement"/>
    <b v="0"/>
    <b v="0"/>
    <b v="0"/>
    <x v="0"/>
  </r>
  <r>
    <s v="https://twitter.com/VW/status/668889089769234432"/>
    <s v="Volkswagen"/>
    <s v="@VW"/>
    <x v="1331"/>
    <s v="2015-11-23T20:29:21.000Z"/>
    <x v="1"/>
    <x v="132"/>
    <s v="20:29:21"/>
    <x v="1"/>
    <s v="@sensualdad"/>
    <s v=""/>
    <n v="1"/>
    <n v="0"/>
    <n v="1"/>
    <n v="2"/>
    <s v="Low engagement"/>
    <b v="0"/>
    <b v="0"/>
    <b v="1"/>
    <x v="3"/>
  </r>
  <r>
    <s v="https://twitter.com/VW/status/668889983931973632"/>
    <s v="Volkswagen"/>
    <s v="@VW"/>
    <x v="1332"/>
    <s v="2015-11-23T20:32:54.000Z"/>
    <x v="1"/>
    <x v="132"/>
    <s v="20:32:54"/>
    <x v="1"/>
    <s v=""/>
    <s v=""/>
    <n v="0"/>
    <n v="0"/>
    <n v="1"/>
    <n v="1"/>
    <s v="Low engagement"/>
    <b v="0"/>
    <b v="0"/>
    <b v="0"/>
    <x v="0"/>
  </r>
  <r>
    <s v="https://twitter.com/VW/status/668900731030605825"/>
    <s v="Volkswagen"/>
    <s v="@VW"/>
    <x v="1333"/>
    <s v="2015-11-23T21:15:36.000Z"/>
    <x v="1"/>
    <x v="132"/>
    <s v="21:15:36"/>
    <x v="1"/>
    <s v="@AlexEee_"/>
    <s v=""/>
    <n v="0"/>
    <n v="0"/>
    <n v="1"/>
    <n v="1"/>
    <s v="Low engagement"/>
    <b v="0"/>
    <b v="0"/>
    <b v="1"/>
    <x v="3"/>
  </r>
  <r>
    <s v="https://twitter.com/VW/status/669200479717425152"/>
    <s v="Volkswagen"/>
    <s v="@VW"/>
    <x v="1333"/>
    <s v="2015-11-24T17:06:42.000Z"/>
    <x v="1"/>
    <x v="133"/>
    <s v="17:06:42"/>
    <x v="3"/>
    <s v="@AlexEee_"/>
    <s v=""/>
    <n v="0"/>
    <n v="0"/>
    <n v="1"/>
    <n v="1"/>
    <s v="Low engagement"/>
    <b v="0"/>
    <b v="0"/>
    <b v="1"/>
    <x v="3"/>
  </r>
  <r>
    <s v="https://twitter.com/VW/status/669200484989714432"/>
    <s v="Volkswagen"/>
    <s v="@VW"/>
    <x v="1334"/>
    <s v="2015-11-24T17:06:43.000Z"/>
    <x v="1"/>
    <x v="133"/>
    <s v="17:06:43"/>
    <x v="3"/>
    <s v="@alexiscbcs"/>
    <s v=""/>
    <n v="1"/>
    <n v="0"/>
    <n v="0"/>
    <n v="1"/>
    <s v="Low engagement"/>
    <b v="0"/>
    <b v="0"/>
    <b v="0"/>
    <x v="0"/>
  </r>
  <r>
    <s v="https://twitter.com/VW/status/669200483471364096"/>
    <s v="Volkswagen"/>
    <s v="@VW"/>
    <x v="1335"/>
    <s v="2015-11-24T17:06:43.000Z"/>
    <x v="1"/>
    <x v="133"/>
    <s v="17:06:43"/>
    <x v="3"/>
    <s v="@alexiscbcs"/>
    <s v=""/>
    <n v="1"/>
    <n v="0"/>
    <n v="1"/>
    <n v="2"/>
    <s v="Low engagement"/>
    <b v="0"/>
    <b v="0"/>
    <b v="0"/>
    <x v="0"/>
  </r>
  <r>
    <s v="https://twitter.com/VW/status/669203082408951808"/>
    <s v="Volkswagen"/>
    <s v="@VW"/>
    <x v="1336"/>
    <s v="2015-11-24T17:17:02.000Z"/>
    <x v="1"/>
    <x v="133"/>
    <s v="17:17:02"/>
    <x v="3"/>
    <s v="@DavisR_T"/>
    <s v=""/>
    <n v="0"/>
    <n v="0"/>
    <n v="1"/>
    <n v="1"/>
    <s v="Low engagement"/>
    <b v="0"/>
    <b v="0"/>
    <b v="0"/>
    <x v="0"/>
  </r>
  <r>
    <s v="https://twitter.com/VW/status/669203080882188288"/>
    <s v="Volkswagen"/>
    <s v="@VW"/>
    <x v="1337"/>
    <s v="2015-11-24T17:17:02.000Z"/>
    <x v="1"/>
    <x v="133"/>
    <s v="17:17:02"/>
    <x v="3"/>
    <s v="@DavisR_T"/>
    <s v=""/>
    <n v="0"/>
    <n v="0"/>
    <n v="0"/>
    <n v="0"/>
    <s v="No engagement"/>
    <b v="0"/>
    <b v="0"/>
    <b v="0"/>
    <x v="0"/>
  </r>
  <r>
    <s v="https://twitter.com/VW/status/669203087773462529"/>
    <s v="Volkswagen"/>
    <s v="@VW"/>
    <x v="1338"/>
    <s v="2015-11-24T17:17:03.000Z"/>
    <x v="1"/>
    <x v="133"/>
    <s v="17:17:03"/>
    <x v="3"/>
    <s v="@JustinSummerlin"/>
    <s v=""/>
    <n v="0"/>
    <n v="1"/>
    <n v="1"/>
    <n v="2"/>
    <s v="Low engagement"/>
    <b v="0"/>
    <b v="0"/>
    <b v="0"/>
    <x v="0"/>
  </r>
  <r>
    <s v="https://twitter.com/VW/status/669203086343192576"/>
    <s v="Volkswagen"/>
    <s v="@VW"/>
    <x v="1339"/>
    <s v="2015-11-24T17:17:03.000Z"/>
    <x v="1"/>
    <x v="133"/>
    <s v="17:17:03"/>
    <x v="3"/>
    <s v="@JustinSummerlin"/>
    <s v=""/>
    <n v="0"/>
    <n v="0"/>
    <n v="1"/>
    <n v="1"/>
    <s v="Low engagement"/>
    <b v="0"/>
    <b v="0"/>
    <b v="0"/>
    <x v="0"/>
  </r>
  <r>
    <s v="https://twitter.com/VW/status/669203083738505216"/>
    <s v="Volkswagen"/>
    <s v="@VW"/>
    <x v="1340"/>
    <s v="2015-11-24T17:17:03.000Z"/>
    <x v="1"/>
    <x v="133"/>
    <s v="17:17:03"/>
    <x v="3"/>
    <s v=""/>
    <s v=""/>
    <n v="0"/>
    <n v="0"/>
    <n v="1"/>
    <n v="1"/>
    <s v="Low engagement"/>
    <b v="0"/>
    <b v="0"/>
    <b v="0"/>
    <x v="0"/>
  </r>
  <r>
    <s v="https://twitter.com/VW/status/669203089111384066"/>
    <s v="Volkswagen"/>
    <s v="@VW"/>
    <x v="1341"/>
    <s v="2015-11-24T17:17:04.000Z"/>
    <x v="1"/>
    <x v="133"/>
    <s v="17:17:04"/>
    <x v="3"/>
    <s v=""/>
    <s v=""/>
    <n v="0"/>
    <n v="0"/>
    <n v="1"/>
    <n v="1"/>
    <s v="Low engagement"/>
    <b v="0"/>
    <b v="0"/>
    <b v="0"/>
    <x v="0"/>
  </r>
  <r>
    <s v="https://twitter.com/VW/status/669203962952704000"/>
    <s v="Volkswagen"/>
    <s v="@VW"/>
    <x v="1342"/>
    <s v="2015-11-24T17:20:32.000Z"/>
    <x v="1"/>
    <x v="133"/>
    <s v="17:20:32"/>
    <x v="3"/>
    <s v=""/>
    <s v=""/>
    <n v="0"/>
    <n v="0"/>
    <n v="1"/>
    <n v="1"/>
    <s v="Low engagement"/>
    <b v="0"/>
    <b v="0"/>
    <b v="0"/>
    <x v="0"/>
  </r>
  <r>
    <s v="https://twitter.com/VW/status/669203961723785217"/>
    <s v="Volkswagen"/>
    <s v="@VW"/>
    <x v="1343"/>
    <s v="2015-11-24T17:20:32.000Z"/>
    <x v="1"/>
    <x v="133"/>
    <s v="17:20:32"/>
    <x v="3"/>
    <s v="@ruizman1986"/>
    <s v=""/>
    <n v="0"/>
    <n v="1"/>
    <n v="0"/>
    <n v="1"/>
    <s v="Low engagement"/>
    <b v="0"/>
    <b v="0"/>
    <b v="0"/>
    <x v="0"/>
  </r>
  <r>
    <s v="https://twitter.com/VW/status/669211987805495296"/>
    <s v="Volkswagen"/>
    <s v="@VW"/>
    <x v="1344"/>
    <s v="2015-11-24T17:52:25.000Z"/>
    <x v="1"/>
    <x v="133"/>
    <s v="17:52:25"/>
    <x v="3"/>
    <s v="@nathanyoung96"/>
    <s v=""/>
    <n v="0"/>
    <n v="0"/>
    <n v="1"/>
    <n v="1"/>
    <s v="Low engagement"/>
    <b v="0"/>
    <b v="0"/>
    <b v="0"/>
    <x v="0"/>
  </r>
  <r>
    <s v="https://twitter.com/VW/status/669211989445505024"/>
    <s v="Volkswagen"/>
    <s v="@VW"/>
    <x v="1345"/>
    <s v="2015-11-24T17:52:26.000Z"/>
    <x v="1"/>
    <x v="133"/>
    <s v="17:52:26"/>
    <x v="3"/>
    <s v="@nathanyoung96"/>
    <s v=""/>
    <n v="0"/>
    <n v="1"/>
    <n v="2"/>
    <n v="3"/>
    <s v="Low engagement"/>
    <b v="0"/>
    <b v="0"/>
    <b v="0"/>
    <x v="0"/>
  </r>
  <r>
    <s v="https://twitter.com/VW/status/669217201832902656"/>
    <s v="Volkswagen"/>
    <s v="@VW"/>
    <x v="1346"/>
    <s v="2015-11-24T18:13:09.000Z"/>
    <x v="1"/>
    <x v="133"/>
    <s v="18:13:09"/>
    <x v="1"/>
    <s v=""/>
    <s v=""/>
    <n v="0"/>
    <n v="0"/>
    <n v="2"/>
    <n v="2"/>
    <s v="Low engagement"/>
    <b v="0"/>
    <b v="0"/>
    <b v="0"/>
    <x v="0"/>
  </r>
  <r>
    <s v="https://twitter.com/VW/status/669221714904002560"/>
    <s v="Volkswagen"/>
    <s v="@VW"/>
    <x v="1347"/>
    <s v="2015-11-24T18:31:05.000Z"/>
    <x v="1"/>
    <x v="133"/>
    <s v="18:31:05"/>
    <x v="1"/>
    <s v="@lukesand"/>
    <s v=""/>
    <n v="0"/>
    <n v="0"/>
    <n v="2"/>
    <n v="2"/>
    <s v="Low engagement"/>
    <b v="0"/>
    <b v="0"/>
    <b v="0"/>
    <x v="0"/>
  </r>
  <r>
    <s v="https://twitter.com/VW/status/669224472931491840"/>
    <s v="Volkswagen"/>
    <s v="@VW"/>
    <x v="1348"/>
    <s v="2015-11-24T18:42:02.000Z"/>
    <x v="1"/>
    <x v="133"/>
    <s v="18:42:02"/>
    <x v="1"/>
    <s v="@Lumbardh"/>
    <s v=""/>
    <n v="0"/>
    <n v="0"/>
    <n v="0"/>
    <n v="0"/>
    <s v="No engagement"/>
    <b v="0"/>
    <b v="0"/>
    <b v="0"/>
    <x v="0"/>
  </r>
  <r>
    <s v="https://twitter.com/VW/status/669224476400193536"/>
    <s v="Volkswagen"/>
    <s v="@VW"/>
    <x v="1349"/>
    <s v="2015-11-24T18:42:03.000Z"/>
    <x v="1"/>
    <x v="133"/>
    <s v="18:42:03"/>
    <x v="1"/>
    <s v="@Lumbardh"/>
    <s v=""/>
    <n v="0"/>
    <n v="0"/>
    <n v="2"/>
    <n v="2"/>
    <s v="Low engagement"/>
    <b v="0"/>
    <b v="0"/>
    <b v="0"/>
    <x v="0"/>
  </r>
  <r>
    <s v="https://twitter.com/VW/status/669291029149847552"/>
    <s v="Volkswagen"/>
    <s v="@VW"/>
    <x v="1350"/>
    <s v="2015-11-24T23:06:30.000Z"/>
    <x v="1"/>
    <x v="133"/>
    <s v="23:06:30"/>
    <x v="1"/>
    <s v="@Official_Ang"/>
    <s v=""/>
    <n v="1"/>
    <n v="1"/>
    <n v="0"/>
    <n v="2"/>
    <s v="Low engagement"/>
    <b v="0"/>
    <b v="0"/>
    <b v="0"/>
    <x v="0"/>
  </r>
  <r>
    <s v="https://twitter.com/VW/status/669291027228852225"/>
    <s v="Volkswagen"/>
    <s v="@VW"/>
    <x v="1351"/>
    <s v="2015-11-24T23:06:30.000Z"/>
    <x v="1"/>
    <x v="133"/>
    <s v="23:06:30"/>
    <x v="1"/>
    <s v="@Official_Ang"/>
    <s v=""/>
    <n v="1"/>
    <n v="0"/>
    <n v="2"/>
    <n v="3"/>
    <s v="Low engagement"/>
    <b v="0"/>
    <b v="0"/>
    <b v="0"/>
    <x v="0"/>
  </r>
  <r>
    <s v="https://twitter.com/VW/status/669608453879369728"/>
    <s v="Volkswagen"/>
    <s v="@VW"/>
    <x v="1352"/>
    <s v="2015-11-25T20:07:50.000Z"/>
    <x v="1"/>
    <x v="134"/>
    <s v="20:07:50"/>
    <x v="1"/>
    <s v=""/>
    <s v=""/>
    <n v="0"/>
    <n v="0"/>
    <n v="1"/>
    <n v="1"/>
    <s v="Low engagement"/>
    <b v="0"/>
    <b v="0"/>
    <b v="0"/>
    <x v="0"/>
  </r>
  <r>
    <s v="https://twitter.com/VW/status/669621587281244160"/>
    <s v="Volkswagen"/>
    <s v="@VW"/>
    <x v="1353"/>
    <s v="2015-11-25T21:00:02.000Z"/>
    <x v="1"/>
    <x v="134"/>
    <s v="21:00:02"/>
    <x v="1"/>
    <s v=""/>
    <s v=""/>
    <n v="0"/>
    <n v="0"/>
    <n v="1"/>
    <n v="1"/>
    <s v="Low engagement"/>
    <b v="0"/>
    <b v="0"/>
    <b v="0"/>
    <x v="0"/>
  </r>
  <r>
    <s v="https://twitter.com/VW/status/669625171372740609"/>
    <s v="Volkswagen"/>
    <s v="@VW"/>
    <x v="1354"/>
    <s v="2015-11-25T21:14:16.000Z"/>
    <x v="1"/>
    <x v="134"/>
    <s v="21:14:16"/>
    <x v="1"/>
    <s v=""/>
    <s v=""/>
    <n v="1"/>
    <n v="1"/>
    <n v="1"/>
    <n v="3"/>
    <s v="Low engagement"/>
    <b v="0"/>
    <b v="0"/>
    <b v="0"/>
    <x v="0"/>
  </r>
  <r>
    <s v="https://twitter.com/VW/status/669659286696390656"/>
    <s v="Volkswagen"/>
    <s v="@VW"/>
    <x v="1355"/>
    <s v="2015-11-25T23:29:50.000Z"/>
    <x v="1"/>
    <x v="134"/>
    <s v="23:29:50"/>
    <x v="1"/>
    <s v="@schwartz1375"/>
    <s v=""/>
    <n v="0"/>
    <n v="2"/>
    <n v="2"/>
    <n v="4"/>
    <s v="Low engagement"/>
    <b v="0"/>
    <b v="0"/>
    <b v="0"/>
    <x v="0"/>
  </r>
  <r>
    <s v="https://twitter.com/VW/status/670383284023484416"/>
    <s v="Volkswagen"/>
    <s v="@VW"/>
    <x v="1356"/>
    <s v="2015-11-27T23:26:44.000Z"/>
    <x v="1"/>
    <x v="135"/>
    <s v="23:26:44"/>
    <x v="1"/>
    <s v="@ChrisEJay"/>
    <s v=""/>
    <n v="0"/>
    <n v="0"/>
    <n v="1"/>
    <n v="1"/>
    <s v="Low engagement"/>
    <b v="0"/>
    <b v="0"/>
    <b v="0"/>
    <x v="0"/>
  </r>
  <r>
    <s v="https://twitter.com/VW/status/670383287508951040"/>
    <s v="Volkswagen"/>
    <s v="@VW"/>
    <x v="1357"/>
    <s v="2015-11-27T23:26:45.000Z"/>
    <x v="1"/>
    <x v="135"/>
    <s v="23:26:45"/>
    <x v="1"/>
    <s v="@Thseldo4me"/>
    <s v=""/>
    <n v="0"/>
    <n v="0"/>
    <n v="1"/>
    <n v="1"/>
    <s v="Low engagement"/>
    <b v="0"/>
    <b v="0"/>
    <b v="0"/>
    <x v="0"/>
  </r>
  <r>
    <s v="https://twitter.com/VW/status/670383291157995521"/>
    <s v="Volkswagen"/>
    <s v="@VW"/>
    <x v="1358"/>
    <s v="2015-11-27T23:26:46.000Z"/>
    <x v="1"/>
    <x v="135"/>
    <s v="23:26:46"/>
    <x v="1"/>
    <s v="@slowbikesociety"/>
    <s v=""/>
    <n v="0"/>
    <n v="1"/>
    <n v="1"/>
    <n v="2"/>
    <s v="Low engagement"/>
    <b v="0"/>
    <b v="0"/>
    <b v="0"/>
    <x v="0"/>
  </r>
  <r>
    <s v="https://twitter.com/VW/status/670383296770011136"/>
    <s v="Volkswagen"/>
    <s v="@VW"/>
    <x v="1359"/>
    <s v="2015-11-27T23:26:47.000Z"/>
    <x v="1"/>
    <x v="135"/>
    <s v="23:26:47"/>
    <x v="1"/>
    <s v="@joescialfa"/>
    <s v=""/>
    <n v="1"/>
    <n v="1"/>
    <n v="2"/>
    <n v="4"/>
    <s v="Low engagement"/>
    <b v="0"/>
    <b v="0"/>
    <b v="0"/>
    <x v="0"/>
  </r>
  <r>
    <s v="https://twitter.com/VW/status/670383295155167232"/>
    <s v="Volkswagen"/>
    <s v="@VW"/>
    <x v="1360"/>
    <s v="2015-11-27T23:26:47.000Z"/>
    <x v="1"/>
    <x v="135"/>
    <s v="23:26:47"/>
    <x v="1"/>
    <s v="@joescialfa"/>
    <s v=""/>
    <n v="0"/>
    <n v="1"/>
    <n v="1"/>
    <n v="2"/>
    <s v="Low engagement"/>
    <b v="0"/>
    <b v="0"/>
    <b v="0"/>
    <x v="0"/>
  </r>
  <r>
    <s v="https://twitter.com/VW/status/670384936759640065"/>
    <s v="Volkswagen"/>
    <s v="@VW"/>
    <x v="1361"/>
    <s v="2015-11-27T23:33:18.000Z"/>
    <x v="1"/>
    <x v="135"/>
    <s v="23:33:18"/>
    <x v="1"/>
    <s v="@BriexZee"/>
    <s v=""/>
    <n v="1"/>
    <n v="0"/>
    <n v="2"/>
    <n v="3"/>
    <s v="Low engagement"/>
    <b v="0"/>
    <b v="0"/>
    <b v="0"/>
    <x v="0"/>
  </r>
  <r>
    <s v="https://twitter.com/VW/status/671331869477093378"/>
    <s v="Volkswagen"/>
    <s v="@VW"/>
    <x v="1362"/>
    <s v="2015-11-30T14:16:05.000Z"/>
    <x v="1"/>
    <x v="136"/>
    <s v="14:16:05"/>
    <x v="3"/>
    <s v="@SneakerNursery"/>
    <s v=""/>
    <n v="0"/>
    <n v="0"/>
    <n v="1"/>
    <n v="1"/>
    <s v="Low engagement"/>
    <b v="0"/>
    <b v="0"/>
    <b v="1"/>
    <x v="3"/>
  </r>
  <r>
    <s v="https://twitter.com/VW/status/671372043984568320"/>
    <s v="Volkswagen"/>
    <s v="@VW"/>
    <x v="1363"/>
    <s v="2015-11-30T16:55:43.000Z"/>
    <x v="1"/>
    <x v="136"/>
    <s v="16:55:43"/>
    <x v="3"/>
    <s v="@ccopeland04"/>
    <s v=""/>
    <n v="0"/>
    <n v="0"/>
    <n v="0"/>
    <n v="0"/>
    <s v="No engagement"/>
    <b v="0"/>
    <b v="0"/>
    <b v="0"/>
    <x v="0"/>
  </r>
  <r>
    <s v="https://twitter.com/VW/status/671372042294312960"/>
    <s v="Volkswagen"/>
    <s v="@VW"/>
    <x v="1364"/>
    <s v="2015-11-30T16:55:43.000Z"/>
    <x v="1"/>
    <x v="136"/>
    <s v="16:55:43"/>
    <x v="3"/>
    <s v="@ccopeland04"/>
    <s v=""/>
    <n v="0"/>
    <n v="0"/>
    <n v="0"/>
    <n v="0"/>
    <s v="No engagement"/>
    <b v="0"/>
    <b v="0"/>
    <b v="0"/>
    <x v="0"/>
  </r>
  <r>
    <s v="https://twitter.com/VW/status/671374739491782659"/>
    <s v="Volkswagen"/>
    <s v="@VW"/>
    <x v="1365"/>
    <s v="2015-11-30T17:06:26.000Z"/>
    <x v="1"/>
    <x v="136"/>
    <s v="17:06:26"/>
    <x v="3"/>
    <s v="@Christi_Noe"/>
    <s v=""/>
    <n v="0"/>
    <n v="0"/>
    <n v="0"/>
    <n v="0"/>
    <s v="No engagement"/>
    <b v="0"/>
    <b v="0"/>
    <b v="0"/>
    <x v="0"/>
  </r>
  <r>
    <s v="https://twitter.com/VW/status/671377393378918400"/>
    <s v="Volkswagen"/>
    <s v="@VW"/>
    <x v="1366"/>
    <s v="2015-11-30T17:16:58.000Z"/>
    <x v="1"/>
    <x v="136"/>
    <s v="17:16:58"/>
    <x v="3"/>
    <s v="@Christi_Noe"/>
    <s v=""/>
    <n v="0"/>
    <n v="0"/>
    <n v="0"/>
    <n v="0"/>
    <s v="No engagement"/>
    <b v="0"/>
    <b v="0"/>
    <b v="0"/>
    <x v="0"/>
  </r>
  <r>
    <s v="https://twitter.com/VW/status/671377394876354560"/>
    <s v="Volkswagen"/>
    <s v="@VW"/>
    <x v="1367"/>
    <s v="2015-11-30T17:16:59.000Z"/>
    <x v="1"/>
    <x v="136"/>
    <s v="17:16:59"/>
    <x v="3"/>
    <s v="@drunkbysixx"/>
    <s v=""/>
    <n v="0"/>
    <n v="1"/>
    <n v="1"/>
    <n v="2"/>
    <s v="Low engagement"/>
    <b v="0"/>
    <b v="0"/>
    <b v="0"/>
    <x v="0"/>
  </r>
  <r>
    <s v="https://twitter.com/VW/status/671379275891666944"/>
    <s v="Volkswagen"/>
    <s v="@VW"/>
    <x v="1368"/>
    <s v="2015-11-30T17:24:27.000Z"/>
    <x v="1"/>
    <x v="136"/>
    <s v="17:24:27"/>
    <x v="3"/>
    <s v="@IamSuperFrankie"/>
    <s v=""/>
    <n v="0"/>
    <n v="0"/>
    <n v="0"/>
    <n v="0"/>
    <s v="No engagement"/>
    <b v="0"/>
    <b v="0"/>
    <b v="0"/>
    <x v="0"/>
  </r>
  <r>
    <s v="https://twitter.com/VW/status/671379274218102785"/>
    <s v="Volkswagen"/>
    <s v="@VW"/>
    <x v="1369"/>
    <s v="2015-11-30T17:24:27.000Z"/>
    <x v="1"/>
    <x v="136"/>
    <s v="17:24:27"/>
    <x v="3"/>
    <s v="@IamSuperFrankie"/>
    <s v=""/>
    <n v="0"/>
    <n v="0"/>
    <n v="1"/>
    <n v="1"/>
    <s v="Low engagement"/>
    <b v="0"/>
    <b v="0"/>
    <b v="0"/>
    <x v="0"/>
  </r>
  <r>
    <s v="https://twitter.com/VW/status/671381038568902656"/>
    <s v="Volkswagen"/>
    <s v="@VW"/>
    <x v="1370"/>
    <s v="2015-11-30T17:31:27.000Z"/>
    <x v="1"/>
    <x v="136"/>
    <s v="17:31:27"/>
    <x v="3"/>
    <s v=""/>
    <s v=""/>
    <n v="0"/>
    <n v="0"/>
    <n v="1"/>
    <n v="1"/>
    <s v="Low engagement"/>
    <b v="0"/>
    <b v="0"/>
    <b v="0"/>
    <x v="0"/>
  </r>
  <r>
    <s v="https://twitter.com/VW/status/671381037188976641"/>
    <s v="Volkswagen"/>
    <s v="@VW"/>
    <x v="1371"/>
    <s v="2015-11-30T17:31:27.000Z"/>
    <x v="1"/>
    <x v="136"/>
    <s v="17:31:27"/>
    <x v="3"/>
    <s v=""/>
    <s v=""/>
    <n v="0"/>
    <n v="0"/>
    <n v="0"/>
    <n v="0"/>
    <s v="No engagement"/>
    <b v="0"/>
    <b v="0"/>
    <b v="0"/>
    <x v="0"/>
  </r>
  <r>
    <s v="https://twitter.com/VW/status/671394252304216064"/>
    <s v="Volkswagen"/>
    <s v="@VW"/>
    <x v="1372"/>
    <s v="2015-11-30T18:23:58.000Z"/>
    <x v="1"/>
    <x v="136"/>
    <s v="18:23:58"/>
    <x v="1"/>
    <s v="@noname51881"/>
    <s v=""/>
    <n v="0"/>
    <n v="0"/>
    <n v="2"/>
    <n v="2"/>
    <s v="Low engagement"/>
    <b v="0"/>
    <b v="0"/>
    <b v="0"/>
    <x v="0"/>
  </r>
  <r>
    <s v="https://twitter.com/VW/status/671409083992305664"/>
    <s v="Volkswagen"/>
    <s v="@VW"/>
    <x v="1373"/>
    <s v="2015-11-30T19:22:54.000Z"/>
    <x v="1"/>
    <x v="136"/>
    <s v="19:22:54"/>
    <x v="1"/>
    <s v="@justmemonkey"/>
    <s v=""/>
    <n v="0"/>
    <n v="4"/>
    <n v="2"/>
    <n v="6"/>
    <s v="Moderate engagement"/>
    <b v="0"/>
    <b v="0"/>
    <b v="0"/>
    <x v="0"/>
  </r>
  <r>
    <s v="https://twitter.com/VW/status/671435560238497792"/>
    <s v="Volkswagen"/>
    <s v="@VW"/>
    <x v="1374"/>
    <s v="2015-11-30T21:08:06.000Z"/>
    <x v="1"/>
    <x v="136"/>
    <s v="21:08:06"/>
    <x v="1"/>
    <s v="@MandaJCollins"/>
    <s v=""/>
    <n v="0"/>
    <n v="0"/>
    <n v="1"/>
    <n v="1"/>
    <s v="Low engagement"/>
    <b v="0"/>
    <b v="0"/>
    <b v="0"/>
    <x v="0"/>
  </r>
  <r>
    <s v="https://twitter.com/VW/status/671725317564719104"/>
    <s v="Volkswagen"/>
    <s v="@VW"/>
    <x v="1375"/>
    <s v="2015-12-01T16:19:30.000Z"/>
    <x v="1"/>
    <x v="137"/>
    <s v="16:19:30"/>
    <x v="3"/>
    <s v="@ChenaeKY28"/>
    <s v=""/>
    <n v="0"/>
    <n v="0"/>
    <n v="1"/>
    <n v="1"/>
    <s v="Low engagement"/>
    <b v="0"/>
    <b v="0"/>
    <b v="0"/>
    <x v="0"/>
  </r>
  <r>
    <s v="https://twitter.com/VW/status/671726145897783296"/>
    <s v="Volkswagen"/>
    <s v="@VW"/>
    <x v="1376"/>
    <s v="2015-12-01T16:22:47.000Z"/>
    <x v="1"/>
    <x v="137"/>
    <s v="16:22:47"/>
    <x v="3"/>
    <s v="@TylerFriedrich_"/>
    <s v=""/>
    <n v="0"/>
    <n v="0"/>
    <n v="1"/>
    <n v="1"/>
    <s v="Low engagement"/>
    <b v="0"/>
    <b v="0"/>
    <b v="0"/>
    <x v="0"/>
  </r>
  <r>
    <s v="https://twitter.com/VW/status/671801185204985856"/>
    <s v="Volkswagen"/>
    <s v="@VW"/>
    <x v="1377"/>
    <s v="2015-12-01T21:20:58.000Z"/>
    <x v="1"/>
    <x v="137"/>
    <s v="21:20:58"/>
    <x v="1"/>
    <s v="@IanSweetser"/>
    <s v=""/>
    <n v="1"/>
    <n v="0"/>
    <n v="0"/>
    <n v="1"/>
    <s v="Low engagement"/>
    <b v="0"/>
    <b v="0"/>
    <b v="0"/>
    <x v="0"/>
  </r>
  <r>
    <s v="https://twitter.com/VW/status/671802016071454720"/>
    <s v="Volkswagen"/>
    <s v="@VW"/>
    <x v="1378"/>
    <s v="2015-12-01T21:24:16.000Z"/>
    <x v="1"/>
    <x v="137"/>
    <s v="21:24:16"/>
    <x v="1"/>
    <s v="@son_adam72"/>
    <s v=""/>
    <n v="0"/>
    <n v="1"/>
    <n v="1"/>
    <n v="2"/>
    <s v="Low engagement"/>
    <b v="0"/>
    <b v="0"/>
    <b v="0"/>
    <x v="0"/>
  </r>
  <r>
    <s v="https://twitter.com/VW/status/671802019972145152"/>
    <s v="Volkswagen"/>
    <s v="@VW"/>
    <x v="1379"/>
    <s v="2015-12-01T21:24:17.000Z"/>
    <x v="1"/>
    <x v="137"/>
    <s v="21:24:17"/>
    <x v="1"/>
    <s v=""/>
    <s v=""/>
    <n v="0"/>
    <n v="0"/>
    <n v="1"/>
    <n v="1"/>
    <s v="Low engagement"/>
    <b v="0"/>
    <b v="0"/>
    <b v="0"/>
    <x v="0"/>
  </r>
  <r>
    <s v="https://twitter.com/VW/status/671802017195528193"/>
    <s v="Volkswagen"/>
    <s v="@VW"/>
    <x v="1380"/>
    <s v="2015-12-01T21:24:17.000Z"/>
    <x v="1"/>
    <x v="137"/>
    <s v="21:24:17"/>
    <x v="1"/>
    <s v="@son_adam72"/>
    <s v=""/>
    <n v="0"/>
    <n v="0"/>
    <n v="1"/>
    <n v="1"/>
    <s v="Low engagement"/>
    <b v="0"/>
    <b v="0"/>
    <b v="0"/>
    <x v="0"/>
  </r>
  <r>
    <s v="https://twitter.com/VW/status/671802021536657408"/>
    <s v="Volkswagen"/>
    <s v="@VW"/>
    <x v="1381"/>
    <s v="2015-12-01T21:24:18.000Z"/>
    <x v="1"/>
    <x v="137"/>
    <s v="21:24:18"/>
    <x v="1"/>
    <s v=""/>
    <s v=""/>
    <n v="0"/>
    <n v="0"/>
    <n v="2"/>
    <n v="2"/>
    <s v="Low engagement"/>
    <b v="0"/>
    <b v="0"/>
    <b v="0"/>
    <x v="0"/>
  </r>
  <r>
    <s v="https://twitter.com/VW/status/671802911559573504"/>
    <s v="Volkswagen"/>
    <s v="@VW"/>
    <x v="1382"/>
    <s v="2015-12-01T21:27:50.000Z"/>
    <x v="1"/>
    <x v="137"/>
    <s v="21:27:50"/>
    <x v="1"/>
    <s v="@Santinelli"/>
    <s v=""/>
    <n v="0"/>
    <n v="0"/>
    <n v="2"/>
    <n v="2"/>
    <s v="Low engagement"/>
    <b v="0"/>
    <b v="0"/>
    <b v="0"/>
    <x v="0"/>
  </r>
  <r>
    <s v="https://twitter.com/VW/status/671804646734741504"/>
    <s v="Volkswagen"/>
    <s v="@VW"/>
    <x v="1383"/>
    <s v="2015-12-01T21:34:43.000Z"/>
    <x v="1"/>
    <x v="137"/>
    <s v="21:34:43"/>
    <x v="1"/>
    <s v="@loganthefrst"/>
    <s v=""/>
    <n v="0"/>
    <n v="0"/>
    <n v="2"/>
    <n v="2"/>
    <s v="Low engagement"/>
    <b v="0"/>
    <b v="0"/>
    <b v="0"/>
    <x v="0"/>
  </r>
  <r>
    <s v="https://twitter.com/VW/status/671804648156561408"/>
    <s v="Volkswagen"/>
    <s v="@VW"/>
    <x v="1384"/>
    <s v="2015-12-01T21:34:44.000Z"/>
    <x v="1"/>
    <x v="137"/>
    <s v="21:34:44"/>
    <x v="1"/>
    <s v="@loganthefrst"/>
    <s v=""/>
    <n v="0"/>
    <n v="0"/>
    <n v="2"/>
    <n v="2"/>
    <s v="Low engagement"/>
    <b v="0"/>
    <b v="0"/>
    <b v="1"/>
    <x v="3"/>
  </r>
  <r>
    <s v="https://twitter.com/VW/status/672102969999953921"/>
    <s v="Volkswagen"/>
    <s v="@VW"/>
    <x v="1385"/>
    <s v="2015-12-02T17:20:09.000Z"/>
    <x v="1"/>
    <x v="138"/>
    <s v="17:20:09"/>
    <x v="3"/>
    <s v="@Shawnvelopes"/>
    <s v=""/>
    <n v="0"/>
    <n v="0"/>
    <n v="2"/>
    <n v="2"/>
    <s v="Low engagement"/>
    <b v="0"/>
    <b v="0"/>
    <b v="0"/>
    <x v="0"/>
  </r>
  <r>
    <s v="https://twitter.com/VW/status/672102972969451520"/>
    <s v="Volkswagen"/>
    <s v="@VW"/>
    <x v="1386"/>
    <s v="2015-12-02T17:20:10.000Z"/>
    <x v="1"/>
    <x v="138"/>
    <s v="17:20:10"/>
    <x v="3"/>
    <s v=""/>
    <s v=""/>
    <n v="0"/>
    <n v="0"/>
    <n v="2"/>
    <n v="2"/>
    <s v="Low engagement"/>
    <b v="0"/>
    <b v="0"/>
    <b v="0"/>
    <x v="0"/>
  </r>
  <r>
    <s v="https://twitter.com/VW/status/672156516061872128"/>
    <s v="Volkswagen"/>
    <s v="@VW"/>
    <x v="1387"/>
    <s v="2015-12-02T20:52:56.000Z"/>
    <x v="1"/>
    <x v="138"/>
    <s v="20:52:56"/>
    <x v="1"/>
    <s v="@Shawnvelopes"/>
    <s v=""/>
    <n v="0"/>
    <n v="0"/>
    <n v="2"/>
    <n v="2"/>
    <s v="Low engagement"/>
    <b v="0"/>
    <b v="0"/>
    <b v="0"/>
    <x v="0"/>
  </r>
  <r>
    <s v="https://twitter.com/VW/status/672164560086827008"/>
    <s v="Volkswagen"/>
    <s v="@VW"/>
    <x v="1388"/>
    <s v="2015-12-02T21:24:53.000Z"/>
    <x v="1"/>
    <x v="138"/>
    <s v="21:24:53"/>
    <x v="1"/>
    <s v=""/>
    <s v=""/>
    <n v="0"/>
    <n v="0"/>
    <n v="2"/>
    <n v="2"/>
    <s v="Low engagement"/>
    <b v="0"/>
    <b v="0"/>
    <b v="0"/>
    <x v="0"/>
  </r>
  <r>
    <s v="https://twitter.com/VW/status/672168166756249600"/>
    <s v="Volkswagen"/>
    <s v="@VW"/>
    <x v="1389"/>
    <s v="2015-12-02T21:39:13.000Z"/>
    <x v="1"/>
    <x v="138"/>
    <s v="21:39:13"/>
    <x v="1"/>
    <s v="@Jenz_GolfR"/>
    <s v=""/>
    <n v="0"/>
    <n v="0"/>
    <n v="2"/>
    <n v="2"/>
    <s v="Low engagement"/>
    <b v="0"/>
    <b v="0"/>
    <b v="0"/>
    <x v="0"/>
  </r>
  <r>
    <s v="https://twitter.com/VW/status/672171754450653185"/>
    <s v="Volkswagen"/>
    <s v="@VW"/>
    <x v="1390"/>
    <s v="2015-12-02T21:53:29.000Z"/>
    <x v="1"/>
    <x v="138"/>
    <s v="21:53:29"/>
    <x v="1"/>
    <s v="@Jenz_GolfR"/>
    <s v=""/>
    <n v="0"/>
    <n v="0"/>
    <n v="2"/>
    <n v="2"/>
    <s v="Low engagement"/>
    <b v="0"/>
    <b v="0"/>
    <b v="0"/>
    <x v="0"/>
  </r>
  <r>
    <s v="https://twitter.com/VW/status/672470320905752576"/>
    <s v="Volkswagen"/>
    <s v="@VW"/>
    <x v="1391"/>
    <s v="2015-12-03T17:39:53.000Z"/>
    <x v="1"/>
    <x v="139"/>
    <s v="17:39:53"/>
    <x v="3"/>
    <s v=""/>
    <s v=""/>
    <n v="0"/>
    <n v="0"/>
    <n v="1"/>
    <n v="1"/>
    <s v="Low engagement"/>
    <b v="0"/>
    <b v="0"/>
    <b v="0"/>
    <x v="0"/>
  </r>
  <r>
    <s v="https://twitter.com/VW/status/672472119612051456"/>
    <s v="Volkswagen"/>
    <s v="@VW"/>
    <x v="1392"/>
    <s v="2015-12-03T17:47:01.000Z"/>
    <x v="1"/>
    <x v="139"/>
    <s v="17:47:01"/>
    <x v="3"/>
    <s v="@drty_130"/>
    <s v=""/>
    <n v="0"/>
    <n v="0"/>
    <n v="1"/>
    <n v="1"/>
    <s v="Low engagement"/>
    <b v="0"/>
    <b v="0"/>
    <b v="0"/>
    <x v="0"/>
  </r>
  <r>
    <s v="https://twitter.com/VW/status/672479945868730368"/>
    <s v="Volkswagen"/>
    <s v="@VW"/>
    <x v="1393"/>
    <s v="2015-12-03T18:18:07.000Z"/>
    <x v="1"/>
    <x v="139"/>
    <s v="18:18:07"/>
    <x v="1"/>
    <s v="@KnoetzeMartie"/>
    <s v=""/>
    <n v="0"/>
    <n v="0"/>
    <n v="1"/>
    <n v="1"/>
    <s v="Low engagement"/>
    <b v="0"/>
    <b v="0"/>
    <b v="0"/>
    <x v="0"/>
  </r>
  <r>
    <s v="https://twitter.com/VW/status/672479950377631744"/>
    <s v="Volkswagen"/>
    <s v="@VW"/>
    <x v="1394"/>
    <s v="2015-12-03T18:18:08.000Z"/>
    <x v="1"/>
    <x v="139"/>
    <s v="18:18:08"/>
    <x v="1"/>
    <s v="@MD71_"/>
    <s v=""/>
    <n v="0"/>
    <n v="0"/>
    <n v="2"/>
    <n v="2"/>
    <s v="Low engagement"/>
    <b v="0"/>
    <b v="0"/>
    <b v="0"/>
    <x v="0"/>
  </r>
  <r>
    <s v="https://twitter.com/VW/status/672479948771221504"/>
    <s v="Volkswagen"/>
    <s v="@VW"/>
    <x v="1395"/>
    <s v="2015-12-03T18:18:08.000Z"/>
    <x v="1"/>
    <x v="139"/>
    <s v="18:18:08"/>
    <x v="1"/>
    <s v="@MD71_"/>
    <s v=""/>
    <n v="1"/>
    <n v="0"/>
    <n v="2"/>
    <n v="3"/>
    <s v="Low engagement"/>
    <b v="0"/>
    <b v="0"/>
    <b v="0"/>
    <x v="0"/>
  </r>
  <r>
    <s v="https://twitter.com/VW/status/672479947475185664"/>
    <s v="Volkswagen"/>
    <s v="@VW"/>
    <x v="1396"/>
    <s v="2015-12-03T18:18:08.000Z"/>
    <x v="1"/>
    <x v="139"/>
    <s v="18:18:08"/>
    <x v="1"/>
    <s v="@KnoetzeMartie"/>
    <s v=""/>
    <n v="0"/>
    <n v="0"/>
    <n v="1"/>
    <n v="1"/>
    <s v="Low engagement"/>
    <b v="0"/>
    <b v="0"/>
    <b v="1"/>
    <x v="3"/>
  </r>
  <r>
    <s v="https://twitter.com/VW/status/672479954852954112"/>
    <s v="Volkswagen"/>
    <s v="@VW"/>
    <x v="1397"/>
    <s v="2015-12-03T18:18:09.000Z"/>
    <x v="1"/>
    <x v="139"/>
    <s v="18:18:09"/>
    <x v="1"/>
    <s v="@missjadelily"/>
    <s v=""/>
    <n v="1"/>
    <n v="0"/>
    <n v="2"/>
    <n v="3"/>
    <s v="Low engagement"/>
    <b v="0"/>
    <b v="0"/>
    <b v="0"/>
    <x v="0"/>
  </r>
  <r>
    <s v="https://twitter.com/VW/status/672544193818968064"/>
    <s v="Volkswagen"/>
    <s v="@VW"/>
    <x v="1398"/>
    <s v="2015-12-03T22:33:25.000Z"/>
    <x v="1"/>
    <x v="139"/>
    <s v="22:33:25"/>
    <x v="1"/>
    <s v="@Purl_Wise"/>
    <s v=""/>
    <n v="1"/>
    <n v="0"/>
    <n v="2"/>
    <n v="3"/>
    <s v="Low engagement"/>
    <b v="0"/>
    <b v="0"/>
    <b v="0"/>
    <x v="0"/>
  </r>
  <r>
    <s v="https://twitter.com/VW/status/672544192258707456"/>
    <s v="Volkswagen"/>
    <s v="@VW"/>
    <x v="1399"/>
    <s v="2015-12-03T22:33:25.000Z"/>
    <x v="1"/>
    <x v="139"/>
    <s v="22:33:25"/>
    <x v="1"/>
    <s v="@Purl_Wise"/>
    <s v=""/>
    <n v="1"/>
    <n v="0"/>
    <n v="2"/>
    <n v="3"/>
    <s v="Low engagement"/>
    <b v="0"/>
    <b v="0"/>
    <b v="0"/>
    <x v="0"/>
  </r>
  <r>
    <s v="https://twitter.com/VW/status/672546734141145088"/>
    <s v="Volkswagen"/>
    <s v="@VW"/>
    <x v="1400"/>
    <s v="2015-12-03T22:43:31.000Z"/>
    <x v="1"/>
    <x v="139"/>
    <s v="22:43:31"/>
    <x v="1"/>
    <s v="@vRoxz22"/>
    <s v=""/>
    <n v="0"/>
    <n v="0"/>
    <n v="2"/>
    <n v="2"/>
    <s v="Low engagement"/>
    <b v="0"/>
    <b v="0"/>
    <b v="0"/>
    <x v="0"/>
  </r>
  <r>
    <s v="https://twitter.com/VW/status/672809206160863232"/>
    <s v="Volkswagen"/>
    <s v="@VW"/>
    <x v="1401"/>
    <s v="2015-12-04T16:06:29.000Z"/>
    <x v="1"/>
    <x v="140"/>
    <s v="16:06:29"/>
    <x v="3"/>
    <s v="@rocket644"/>
    <s v=""/>
    <n v="0"/>
    <n v="0"/>
    <n v="1"/>
    <n v="1"/>
    <s v="Low engagement"/>
    <b v="0"/>
    <b v="0"/>
    <b v="0"/>
    <x v="0"/>
  </r>
  <r>
    <s v="https://twitter.com/VW/status/672816077089337344"/>
    <s v="Volkswagen"/>
    <s v="@VW"/>
    <x v="1402"/>
    <s v="2015-12-04T16:33:47.000Z"/>
    <x v="1"/>
    <x v="140"/>
    <s v="16:33:47"/>
    <x v="3"/>
    <s v=""/>
    <s v=""/>
    <n v="0"/>
    <n v="0"/>
    <n v="2"/>
    <n v="2"/>
    <s v="Low engagement"/>
    <b v="0"/>
    <b v="0"/>
    <b v="0"/>
    <x v="0"/>
  </r>
  <r>
    <s v="https://twitter.com/VW/status/672816079148683264"/>
    <s v="Volkswagen"/>
    <s v="@VW"/>
    <x v="1403"/>
    <s v="2015-12-04T16:33:48.000Z"/>
    <x v="1"/>
    <x v="140"/>
    <s v="16:33:48"/>
    <x v="3"/>
    <s v="@P0LARIS7"/>
    <s v=""/>
    <n v="1"/>
    <n v="1"/>
    <n v="2"/>
    <n v="4"/>
    <s v="Low engagement"/>
    <b v="0"/>
    <b v="0"/>
    <b v="0"/>
    <x v="0"/>
  </r>
  <r>
    <s v="https://twitter.com/VW/status/672817037345861632"/>
    <s v="Volkswagen"/>
    <s v="@VW"/>
    <x v="1404"/>
    <s v="2015-12-04T16:37:36.000Z"/>
    <x v="1"/>
    <x v="140"/>
    <s v="16:37:36"/>
    <x v="3"/>
    <s v="@JMGiuffreJr"/>
    <s v=""/>
    <n v="0"/>
    <n v="0"/>
    <n v="2"/>
    <n v="2"/>
    <s v="Low engagement"/>
    <b v="0"/>
    <b v="0"/>
    <b v="0"/>
    <x v="0"/>
  </r>
  <r>
    <s v="https://twitter.com/VW/status/672817035512909824"/>
    <s v="Volkswagen"/>
    <s v="@VW"/>
    <x v="1405"/>
    <s v="2015-12-04T16:37:36.000Z"/>
    <x v="1"/>
    <x v="140"/>
    <s v="16:37:36"/>
    <x v="3"/>
    <s v="@kentvancil"/>
    <s v=""/>
    <n v="1"/>
    <n v="0"/>
    <n v="2"/>
    <n v="3"/>
    <s v="Low engagement"/>
    <b v="0"/>
    <b v="0"/>
    <b v="0"/>
    <x v="0"/>
  </r>
  <r>
    <s v="https://twitter.com/VW/status/672817040776822785"/>
    <s v="Volkswagen"/>
    <s v="@VW"/>
    <x v="1406"/>
    <s v="2015-12-04T16:37:37.000Z"/>
    <x v="1"/>
    <x v="140"/>
    <s v="16:37:37"/>
    <x v="3"/>
    <s v="@JMGiuffreJr"/>
    <s v=""/>
    <n v="0"/>
    <n v="0"/>
    <n v="2"/>
    <n v="2"/>
    <s v="Low engagement"/>
    <b v="0"/>
    <b v="0"/>
    <b v="1"/>
    <x v="3"/>
  </r>
  <r>
    <s v="https://twitter.com/VW/status/672817823580721153"/>
    <s v="Volkswagen"/>
    <s v="@VW"/>
    <x v="1407"/>
    <s v="2015-12-04T16:40:44.000Z"/>
    <x v="1"/>
    <x v="140"/>
    <s v="16:40:44"/>
    <x v="3"/>
    <s v="@CarlSorvino"/>
    <s v=""/>
    <n v="0"/>
    <n v="1"/>
    <n v="2"/>
    <n v="3"/>
    <s v="Low engagement"/>
    <b v="0"/>
    <b v="0"/>
    <b v="1"/>
    <x v="3"/>
  </r>
  <r>
    <s v="https://twitter.com/VW/status/672821363850141696"/>
    <s v="Volkswagen"/>
    <s v="@VW"/>
    <x v="1408"/>
    <s v="2015-12-04T16:54:48.000Z"/>
    <x v="1"/>
    <x v="140"/>
    <s v="16:54:48"/>
    <x v="3"/>
    <s v="@chinesebatvirus"/>
    <s v=""/>
    <n v="0"/>
    <n v="0"/>
    <n v="2"/>
    <n v="2"/>
    <s v="Low engagement"/>
    <b v="0"/>
    <b v="0"/>
    <b v="0"/>
    <x v="0"/>
  </r>
  <r>
    <s v="https://twitter.com/VW/status/672854058378510336"/>
    <s v="Volkswagen"/>
    <s v="@VW"/>
    <x v="1409"/>
    <s v="2015-12-04T19:04:43.000Z"/>
    <x v="1"/>
    <x v="140"/>
    <s v="19:04:43"/>
    <x v="1"/>
    <s v=""/>
    <s v=""/>
    <n v="0"/>
    <n v="0"/>
    <n v="2"/>
    <n v="2"/>
    <s v="Low engagement"/>
    <b v="0"/>
    <b v="0"/>
    <b v="1"/>
    <x v="3"/>
  </r>
  <r>
    <s v="https://twitter.com/VW/status/672903066799071232"/>
    <s v="Volkswagen"/>
    <s v="@VW"/>
    <x v="1410"/>
    <s v="2015-12-04T22:19:27.000Z"/>
    <x v="1"/>
    <x v="140"/>
    <s v="22:19:27"/>
    <x v="1"/>
    <s v="@itsjustafatkid"/>
    <s v=""/>
    <n v="0"/>
    <n v="0"/>
    <n v="2"/>
    <n v="2"/>
    <s v="Low engagement"/>
    <b v="0"/>
    <b v="0"/>
    <b v="0"/>
    <x v="0"/>
  </r>
  <r>
    <s v="https://twitter.com/VW/status/672903064114696192"/>
    <s v="Volkswagen"/>
    <s v="@VW"/>
    <x v="1411"/>
    <s v="2015-12-04T22:19:27.000Z"/>
    <x v="1"/>
    <x v="140"/>
    <s v="22:19:27"/>
    <x v="1"/>
    <s v=""/>
    <s v=""/>
    <n v="0"/>
    <n v="0"/>
    <n v="2"/>
    <n v="2"/>
    <s v="Low engagement"/>
    <b v="0"/>
    <b v="0"/>
    <b v="0"/>
    <x v="0"/>
  </r>
  <r>
    <s v="https://twitter.com/VW/status/672903071656120321"/>
    <s v="Volkswagen"/>
    <s v="@VW"/>
    <x v="1412"/>
    <s v="2015-12-04T22:19:28.000Z"/>
    <x v="1"/>
    <x v="140"/>
    <s v="22:19:28"/>
    <x v="1"/>
    <s v="@idrownoceans"/>
    <s v=""/>
    <n v="2"/>
    <n v="0"/>
    <n v="3"/>
    <n v="5"/>
    <s v="Moderate engagement"/>
    <b v="0"/>
    <b v="0"/>
    <b v="0"/>
    <x v="0"/>
  </r>
  <r>
    <s v="https://twitter.com/VW/status/672903069517000705"/>
    <s v="Volkswagen"/>
    <s v="@VW"/>
    <x v="1413"/>
    <s v="2015-12-04T22:19:28.000Z"/>
    <x v="1"/>
    <x v="140"/>
    <s v="22:19:28"/>
    <x v="1"/>
    <s v="@idrownoceans"/>
    <s v=""/>
    <n v="0"/>
    <n v="0"/>
    <n v="2"/>
    <n v="2"/>
    <s v="Low engagement"/>
    <b v="0"/>
    <b v="0"/>
    <b v="0"/>
    <x v="0"/>
  </r>
  <r>
    <s v="https://twitter.com/VW/status/672903068233555968"/>
    <s v="Volkswagen"/>
    <s v="@VW"/>
    <x v="1414"/>
    <s v="2015-12-04T22:19:28.000Z"/>
    <x v="1"/>
    <x v="140"/>
    <s v="22:19:28"/>
    <x v="1"/>
    <s v="@itsjustafatkid"/>
    <s v=""/>
    <n v="0"/>
    <n v="0"/>
    <n v="2"/>
    <n v="2"/>
    <s v="Low engagement"/>
    <b v="0"/>
    <b v="0"/>
    <b v="0"/>
    <x v="0"/>
  </r>
  <r>
    <s v="https://twitter.com/VW/status/673899453313474560"/>
    <s v="Volkswagen"/>
    <s v="@VW"/>
    <x v="1415"/>
    <s v="2015-12-07T16:18:44.000Z"/>
    <x v="1"/>
    <x v="141"/>
    <s v="16:18:44"/>
    <x v="3"/>
    <s v=""/>
    <s v=""/>
    <n v="0"/>
    <n v="0"/>
    <n v="1"/>
    <n v="1"/>
    <s v="Low engagement"/>
    <b v="0"/>
    <b v="0"/>
    <b v="0"/>
    <x v="0"/>
  </r>
  <r>
    <s v="https://twitter.com/VW/status/673899451891625984"/>
    <s v="Volkswagen"/>
    <s v="@VW"/>
    <x v="1416"/>
    <s v="2015-12-07T16:18:44.000Z"/>
    <x v="1"/>
    <x v="141"/>
    <s v="16:18:44"/>
    <x v="3"/>
    <s v=""/>
    <s v=""/>
    <n v="0"/>
    <n v="0"/>
    <n v="1"/>
    <n v="1"/>
    <s v="Low engagement"/>
    <b v="0"/>
    <b v="0"/>
    <b v="0"/>
    <x v="0"/>
  </r>
  <r>
    <s v="https://twitter.com/VW/status/673901273767251968"/>
    <s v="Volkswagen"/>
    <s v="@VW"/>
    <x v="1417"/>
    <s v="2015-12-07T16:25:58.000Z"/>
    <x v="1"/>
    <x v="141"/>
    <s v="16:25:58"/>
    <x v="3"/>
    <s v="@son_adam72"/>
    <s v=""/>
    <n v="0"/>
    <n v="2"/>
    <n v="1"/>
    <n v="3"/>
    <s v="Low engagement"/>
    <b v="0"/>
    <b v="0"/>
    <b v="0"/>
    <x v="0"/>
  </r>
  <r>
    <s v="https://twitter.com/VW/status/673904031379513344"/>
    <s v="Volkswagen"/>
    <s v="@VW"/>
    <x v="1418"/>
    <s v="2015-12-07T16:36:56.000Z"/>
    <x v="1"/>
    <x v="141"/>
    <s v="16:36:56"/>
    <x v="3"/>
    <s v="@Bandonker"/>
    <s v=""/>
    <n v="0"/>
    <n v="0"/>
    <n v="2"/>
    <n v="2"/>
    <s v="Low engagement"/>
    <b v="0"/>
    <b v="0"/>
    <b v="0"/>
    <x v="0"/>
  </r>
  <r>
    <s v="https://twitter.com/VW/status/673929944276144129"/>
    <s v="Volkswagen"/>
    <s v="@VW"/>
    <x v="1419"/>
    <s v="2015-12-07T18:19:54.000Z"/>
    <x v="1"/>
    <x v="141"/>
    <s v="18:19:54"/>
    <x v="1"/>
    <s v=""/>
    <s v=""/>
    <n v="0"/>
    <n v="0"/>
    <n v="1"/>
    <n v="1"/>
    <s v="Low engagement"/>
    <b v="0"/>
    <b v="0"/>
    <b v="1"/>
    <x v="3"/>
  </r>
  <r>
    <s v="https://twitter.com/VW/status/673930824396374016"/>
    <s v="Volkswagen"/>
    <s v="@VW"/>
    <x v="1420"/>
    <s v="2015-12-07T18:23:24.000Z"/>
    <x v="1"/>
    <x v="141"/>
    <s v="18:23:24"/>
    <x v="1"/>
    <s v="@Marissy420"/>
    <s v=""/>
    <n v="1"/>
    <n v="1"/>
    <n v="1"/>
    <n v="3"/>
    <s v="Low engagement"/>
    <b v="0"/>
    <b v="0"/>
    <b v="0"/>
    <x v="0"/>
  </r>
  <r>
    <s v="https://twitter.com/VW/status/673932616710553600"/>
    <s v="Volkswagen"/>
    <s v="@VW"/>
    <x v="1421"/>
    <s v="2015-12-07T18:30:31.000Z"/>
    <x v="1"/>
    <x v="141"/>
    <s v="18:30:31"/>
    <x v="1"/>
    <s v="@Marissy420"/>
    <s v=""/>
    <n v="0"/>
    <n v="4"/>
    <n v="1"/>
    <n v="5"/>
    <s v="Moderate engagement"/>
    <b v="0"/>
    <b v="0"/>
    <b v="0"/>
    <x v="0"/>
  </r>
  <r>
    <s v="https://twitter.com/VW/status/673934443199918080"/>
    <s v="Volkswagen"/>
    <s v="@VW"/>
    <x v="1422"/>
    <s v="2015-12-07T18:37:47.000Z"/>
    <x v="1"/>
    <x v="141"/>
    <s v="18:37:47"/>
    <x v="1"/>
    <s v="@DouglasRayworth"/>
    <s v=""/>
    <n v="0"/>
    <n v="0"/>
    <n v="1"/>
    <n v="1"/>
    <s v="Low engagement"/>
    <b v="0"/>
    <b v="0"/>
    <b v="0"/>
    <x v="0"/>
  </r>
  <r>
    <s v="https://twitter.com/VW/status/673937084416004096"/>
    <s v="Volkswagen"/>
    <s v="@VW"/>
    <x v="1423"/>
    <s v="2015-12-07T18:48:16.000Z"/>
    <x v="1"/>
    <x v="141"/>
    <s v="18:48:16"/>
    <x v="1"/>
    <s v="@DouglasRayworth"/>
    <s v=""/>
    <n v="0"/>
    <n v="0"/>
    <n v="1"/>
    <n v="1"/>
    <s v="Low engagement"/>
    <b v="0"/>
    <b v="0"/>
    <b v="0"/>
    <x v="0"/>
  </r>
  <r>
    <s v="https://twitter.com/VW/status/673937085972148225"/>
    <s v="Volkswagen"/>
    <s v="@VW"/>
    <x v="1424"/>
    <s v="2015-12-07T18:48:17.000Z"/>
    <x v="1"/>
    <x v="141"/>
    <s v="18:48:17"/>
    <x v="1"/>
    <s v="@heldiehelder"/>
    <s v=""/>
    <n v="1"/>
    <n v="1"/>
    <n v="1"/>
    <n v="3"/>
    <s v="Low engagement"/>
    <b v="0"/>
    <b v="0"/>
    <b v="0"/>
    <x v="0"/>
  </r>
  <r>
    <s v="https://twitter.com/VW/status/673956155228491776"/>
    <s v="Volkswagen"/>
    <s v="@VW"/>
    <x v="1425"/>
    <s v="2015-12-07T20:04:03.000Z"/>
    <x v="1"/>
    <x v="141"/>
    <s v="20:04:03"/>
    <x v="1"/>
    <s v="@son_adam72"/>
    <s v=""/>
    <n v="0"/>
    <n v="0"/>
    <n v="1"/>
    <n v="1"/>
    <s v="Low engagement"/>
    <b v="0"/>
    <b v="0"/>
    <b v="0"/>
    <x v="0"/>
  </r>
  <r>
    <s v="https://twitter.com/VW/status/673967693385469952"/>
    <s v="Volkswagen"/>
    <s v="@VW"/>
    <x v="1426"/>
    <s v="2015-12-07T20:49:54.000Z"/>
    <x v="1"/>
    <x v="141"/>
    <s v="20:49:54"/>
    <x v="1"/>
    <s v="@sjschnick1"/>
    <s v=""/>
    <n v="0"/>
    <n v="0"/>
    <n v="2"/>
    <n v="2"/>
    <s v="Low engagement"/>
    <b v="0"/>
    <b v="0"/>
    <b v="0"/>
    <x v="0"/>
  </r>
  <r>
    <s v="https://twitter.com/VW/status/673978329507086336"/>
    <s v="Volkswagen"/>
    <s v="@VW"/>
    <x v="1427"/>
    <s v="2015-12-07T21:32:10.000Z"/>
    <x v="1"/>
    <x v="141"/>
    <s v="21:32:10"/>
    <x v="1"/>
    <s v="@MandaJCollins"/>
    <s v=""/>
    <n v="0"/>
    <n v="0"/>
    <n v="2"/>
    <n v="2"/>
    <s v="Low engagement"/>
    <b v="0"/>
    <b v="0"/>
    <b v="0"/>
    <x v="0"/>
  </r>
  <r>
    <s v="https://twitter.com/VW/status/673981874604085249"/>
    <s v="Volkswagen"/>
    <s v="@VW"/>
    <x v="1428"/>
    <s v="2015-12-07T21:46:15.000Z"/>
    <x v="1"/>
    <x v="141"/>
    <s v="21:46:15"/>
    <x v="1"/>
    <s v="@stulipper"/>
    <s v=""/>
    <n v="0"/>
    <n v="1"/>
    <n v="3"/>
    <n v="4"/>
    <s v="Low engagement"/>
    <b v="0"/>
    <b v="0"/>
    <b v="0"/>
    <x v="0"/>
  </r>
  <r>
    <s v="https://twitter.com/VW/status/673989748415815682"/>
    <s v="Volkswagen"/>
    <s v="@VW"/>
    <x v="1429"/>
    <s v="2015-12-07T22:17:32.000Z"/>
    <x v="1"/>
    <x v="141"/>
    <s v="22:17:32"/>
    <x v="1"/>
    <s v="@LizzyLizzyLiz23"/>
    <s v=""/>
    <n v="0"/>
    <n v="0"/>
    <n v="2"/>
    <n v="2"/>
    <s v="Low engagement"/>
    <b v="0"/>
    <b v="0"/>
    <b v="0"/>
    <x v="0"/>
  </r>
  <r>
    <s v="https://twitter.com/VW/status/674274020745830401"/>
    <s v="Volkswagen"/>
    <s v="@VW"/>
    <x v="1430"/>
    <s v="2015-12-08T17:07:08.000Z"/>
    <x v="1"/>
    <x v="142"/>
    <s v="17:07:08"/>
    <x v="3"/>
    <s v=""/>
    <s v=""/>
    <n v="0"/>
    <n v="0"/>
    <n v="1"/>
    <n v="1"/>
    <s v="Low engagement"/>
    <b v="0"/>
    <b v="0"/>
    <b v="0"/>
    <x v="0"/>
  </r>
  <r>
    <s v="https://twitter.com/VW/status/674274018841657344"/>
    <s v="Volkswagen"/>
    <s v="@VW"/>
    <x v="1431"/>
    <s v="2015-12-08T17:07:08.000Z"/>
    <x v="1"/>
    <x v="142"/>
    <s v="17:07:08"/>
    <x v="3"/>
    <s v="@hellomrbungle"/>
    <s v=""/>
    <n v="0"/>
    <n v="0"/>
    <n v="1"/>
    <n v="1"/>
    <s v="Low engagement"/>
    <b v="0"/>
    <b v="0"/>
    <b v="0"/>
    <x v="0"/>
  </r>
  <r>
    <s v="https://twitter.com/VW/status/674274902761865216"/>
    <s v="Volkswagen"/>
    <s v="@VW"/>
    <x v="1432"/>
    <s v="2015-12-08T17:10:38.000Z"/>
    <x v="1"/>
    <x v="142"/>
    <s v="17:10:38"/>
    <x v="3"/>
    <s v="@Phonic"/>
    <s v=""/>
    <n v="0"/>
    <n v="0"/>
    <n v="1"/>
    <n v="1"/>
    <s v="Low engagement"/>
    <b v="0"/>
    <b v="0"/>
    <b v="0"/>
    <x v="0"/>
  </r>
  <r>
    <s v="https://twitter.com/VW/status/674274900815679488"/>
    <s v="Volkswagen"/>
    <s v="@VW"/>
    <x v="1433"/>
    <s v="2015-12-08T17:10:38.000Z"/>
    <x v="1"/>
    <x v="142"/>
    <s v="17:10:38"/>
    <x v="3"/>
    <s v="@Phonic"/>
    <s v=""/>
    <n v="0"/>
    <n v="0"/>
    <n v="1"/>
    <n v="1"/>
    <s v="Low engagement"/>
    <b v="0"/>
    <b v="0"/>
    <b v="0"/>
    <x v="0"/>
  </r>
  <r>
    <s v="https://twitter.com/VW/status/674274904087224320"/>
    <s v="Volkswagen"/>
    <s v="@VW"/>
    <x v="1434"/>
    <s v="2015-12-08T17:10:39.000Z"/>
    <x v="1"/>
    <x v="142"/>
    <s v="17:10:39"/>
    <x v="3"/>
    <s v=""/>
    <s v=""/>
    <n v="0"/>
    <n v="0"/>
    <n v="2"/>
    <n v="2"/>
    <s v="Low engagement"/>
    <b v="0"/>
    <b v="0"/>
    <b v="0"/>
    <x v="0"/>
  </r>
  <r>
    <s v="https://twitter.com/VW/status/674280971261239296"/>
    <s v="Volkswagen"/>
    <s v="@VW"/>
    <x v="1435"/>
    <s v="2015-12-08T17:34:45.000Z"/>
    <x v="1"/>
    <x v="142"/>
    <s v="17:34:45"/>
    <x v="3"/>
    <s v="@CoachMunoz"/>
    <s v=""/>
    <n v="0"/>
    <n v="0"/>
    <n v="2"/>
    <n v="2"/>
    <s v="Low engagement"/>
    <b v="0"/>
    <b v="0"/>
    <b v="0"/>
    <x v="0"/>
  </r>
  <r>
    <s v="https://twitter.com/VW/status/674303984643870720"/>
    <s v="Volkswagen"/>
    <s v="@VW"/>
    <x v="1436"/>
    <s v="2015-12-08T19:06:12.000Z"/>
    <x v="1"/>
    <x v="142"/>
    <s v="19:06:12"/>
    <x v="1"/>
    <s v="@actsleazy"/>
    <s v=""/>
    <n v="0"/>
    <n v="0"/>
    <n v="1"/>
    <n v="1"/>
    <s v="Low engagement"/>
    <b v="0"/>
    <b v="0"/>
    <b v="0"/>
    <x v="0"/>
  </r>
  <r>
    <s v="https://twitter.com/VW/status/674327236456026112"/>
    <s v="Volkswagen"/>
    <s v="@VW"/>
    <x v="1437"/>
    <s v="2015-12-08T20:38:36.000Z"/>
    <x v="1"/>
    <x v="142"/>
    <s v="20:38:36"/>
    <x v="1"/>
    <s v="@Sigroy"/>
    <s v=""/>
    <n v="0"/>
    <n v="1"/>
    <n v="1"/>
    <n v="2"/>
    <s v="Low engagement"/>
    <b v="0"/>
    <b v="0"/>
    <b v="0"/>
    <x v="0"/>
  </r>
  <r>
    <s v="https://twitter.com/VW/status/674352159148740610"/>
    <s v="Volkswagen"/>
    <s v="@VW"/>
    <x v="1438"/>
    <s v="2015-12-08T22:17:38.000Z"/>
    <x v="1"/>
    <x v="142"/>
    <s v="22:17:38"/>
    <x v="1"/>
    <s v="@Marissy420"/>
    <s v=""/>
    <n v="0"/>
    <n v="0"/>
    <n v="2"/>
    <n v="2"/>
    <s v="Low engagement"/>
    <b v="0"/>
    <b v="0"/>
    <b v="0"/>
    <x v="0"/>
  </r>
  <r>
    <s v="https://twitter.com/VW/status/674353093140611072"/>
    <s v="Volkswagen"/>
    <s v="@VW"/>
    <x v="1439"/>
    <s v="2015-12-08T22:21:20.000Z"/>
    <x v="1"/>
    <x v="142"/>
    <s v="22:21:20"/>
    <x v="1"/>
    <s v=""/>
    <s v=""/>
    <n v="0"/>
    <n v="0"/>
    <n v="2"/>
    <n v="2"/>
    <s v="Low engagement"/>
    <b v="0"/>
    <b v="0"/>
    <b v="0"/>
    <x v="0"/>
  </r>
  <r>
    <s v="https://twitter.com/VW/status/674353095153872897"/>
    <s v="Volkswagen"/>
    <s v="@VW"/>
    <x v="1440"/>
    <s v="2015-12-08T22:21:21.000Z"/>
    <x v="1"/>
    <x v="142"/>
    <s v="22:21:21"/>
    <x v="1"/>
    <s v="@Sharif_Shaalan"/>
    <s v=""/>
    <n v="0"/>
    <n v="0"/>
    <n v="2"/>
    <n v="2"/>
    <s v="Low engagement"/>
    <b v="0"/>
    <b v="0"/>
    <b v="0"/>
    <x v="0"/>
  </r>
  <r>
    <s v="https://twitter.com/VW/status/674353957876051968"/>
    <s v="Volkswagen"/>
    <s v="@VW"/>
    <x v="1441"/>
    <s v="2015-12-08T22:24:47.000Z"/>
    <x v="1"/>
    <x v="142"/>
    <s v="22:24:47"/>
    <x v="1"/>
    <s v="@Sharif_Shaalan"/>
    <s v=""/>
    <n v="0"/>
    <n v="0"/>
    <n v="2"/>
    <n v="2"/>
    <s v="Low engagement"/>
    <b v="0"/>
    <b v="0"/>
    <b v="0"/>
    <x v="0"/>
  </r>
  <r>
    <s v="https://twitter.com/VW/status/674654835224870913"/>
    <s v="Volkswagen"/>
    <s v="@VW"/>
    <x v="1442"/>
    <s v="2015-12-09T18:20:21.000Z"/>
    <x v="1"/>
    <x v="143"/>
    <s v="18:20:21"/>
    <x v="1"/>
    <s v="@MichaelEatsSF"/>
    <s v=""/>
    <n v="0"/>
    <n v="0"/>
    <n v="1"/>
    <n v="1"/>
    <s v="Low engagement"/>
    <b v="0"/>
    <b v="0"/>
    <b v="0"/>
    <x v="0"/>
  </r>
  <r>
    <s v="https://twitter.com/VW/status/674654838316142592"/>
    <s v="Volkswagen"/>
    <s v="@VW"/>
    <x v="1443"/>
    <s v="2015-12-09T18:20:22.000Z"/>
    <x v="1"/>
    <x v="143"/>
    <s v="18:20:22"/>
    <x v="1"/>
    <s v=""/>
    <s v=""/>
    <n v="0"/>
    <n v="0"/>
    <n v="2"/>
    <n v="2"/>
    <s v="Low engagement"/>
    <b v="0"/>
    <b v="0"/>
    <b v="0"/>
    <x v="0"/>
  </r>
  <r>
    <s v="https://twitter.com/VW/status/674654836835483649"/>
    <s v="Volkswagen"/>
    <s v="@VW"/>
    <x v="1444"/>
    <s v="2015-12-09T18:20:22.000Z"/>
    <x v="1"/>
    <x v="143"/>
    <s v="18:20:22"/>
    <x v="1"/>
    <s v="@MichaelEatsSF"/>
    <s v=""/>
    <n v="0"/>
    <n v="0"/>
    <n v="2"/>
    <n v="2"/>
    <s v="Low engagement"/>
    <b v="0"/>
    <b v="0"/>
    <b v="0"/>
    <x v="0"/>
  </r>
  <r>
    <s v="https://twitter.com/VW/status/674669843795148801"/>
    <s v="Volkswagen"/>
    <s v="@VW"/>
    <x v="1445"/>
    <s v="2015-12-09T19:20:00.000Z"/>
    <x v="1"/>
    <x v="143"/>
    <s v="19:20:00"/>
    <x v="1"/>
    <s v="@MsDesiNicole"/>
    <s v=""/>
    <n v="0"/>
    <n v="0"/>
    <n v="3"/>
    <n v="3"/>
    <s v="Low engagement"/>
    <b v="0"/>
    <b v="0"/>
    <b v="0"/>
    <x v="0"/>
  </r>
  <r>
    <s v="https://twitter.com/VW/status/674674247046848512"/>
    <s v="Volkswagen"/>
    <s v="@VW"/>
    <x v="1446"/>
    <s v="2015-12-09T19:37:29.000Z"/>
    <x v="1"/>
    <x v="143"/>
    <s v="19:37:29"/>
    <x v="1"/>
    <s v="@GreenMtnCloud"/>
    <s v=""/>
    <n v="0"/>
    <n v="0"/>
    <n v="2"/>
    <n v="2"/>
    <s v="Low engagement"/>
    <b v="0"/>
    <b v="0"/>
    <b v="0"/>
    <x v="0"/>
  </r>
  <r>
    <s v="https://twitter.com/VW/status/674684753560272896"/>
    <s v="Volkswagen"/>
    <s v="@VW"/>
    <x v="1447"/>
    <s v="2015-12-09T20:19:14.000Z"/>
    <x v="1"/>
    <x v="143"/>
    <s v="20:19:14"/>
    <x v="1"/>
    <s v="@CardiacCrusher"/>
    <s v=""/>
    <n v="0"/>
    <n v="0"/>
    <n v="2"/>
    <n v="2"/>
    <s v="Low engagement"/>
    <b v="0"/>
    <b v="0"/>
    <b v="0"/>
    <x v="0"/>
  </r>
  <r>
    <s v="https://twitter.com/VW/status/674704000239861761"/>
    <s v="Volkswagen"/>
    <s v="@VW"/>
    <x v="1448"/>
    <s v="2015-12-09T21:35:43.000Z"/>
    <x v="1"/>
    <x v="143"/>
    <s v="21:35:43"/>
    <x v="1"/>
    <s v="@bellaaarose"/>
    <s v=""/>
    <n v="1"/>
    <n v="0"/>
    <n v="2"/>
    <n v="3"/>
    <s v="Low engagement"/>
    <b v="0"/>
    <b v="0"/>
    <b v="0"/>
    <x v="0"/>
  </r>
  <r>
    <s v="https://twitter.com/VW/status/674709259146256384"/>
    <s v="Volkswagen"/>
    <s v="@VW"/>
    <x v="1449"/>
    <s v="2015-12-09T21:56:37.000Z"/>
    <x v="1"/>
    <x v="143"/>
    <s v="21:56:37"/>
    <x v="1"/>
    <s v="@bellaaarose"/>
    <s v=""/>
    <n v="0"/>
    <n v="0"/>
    <n v="2"/>
    <n v="2"/>
    <s v="Low engagement"/>
    <b v="0"/>
    <b v="0"/>
    <b v="0"/>
    <x v="0"/>
  </r>
  <r>
    <s v="https://twitter.com/VW/status/674710131905396736"/>
    <s v="Volkswagen"/>
    <s v="@VW"/>
    <x v="1450"/>
    <s v="2015-12-09T22:00:05.000Z"/>
    <x v="1"/>
    <x v="143"/>
    <s v="22:00:05"/>
    <x v="1"/>
    <s v="@pilotnikib"/>
    <s v=""/>
    <n v="0"/>
    <n v="0"/>
    <n v="2"/>
    <n v="2"/>
    <s v="Low engagement"/>
    <b v="0"/>
    <b v="0"/>
    <b v="0"/>
    <x v="0"/>
  </r>
  <r>
    <s v="https://twitter.com/VW/status/674710129866989569"/>
    <s v="Volkswagen"/>
    <s v="@VW"/>
    <x v="1451"/>
    <s v="2015-12-09T22:00:05.000Z"/>
    <x v="1"/>
    <x v="143"/>
    <s v="22:00:05"/>
    <x v="1"/>
    <s v="@ColinWatts14"/>
    <s v=""/>
    <n v="0"/>
    <n v="0"/>
    <n v="2"/>
    <n v="2"/>
    <s v="Low engagement"/>
    <b v="0"/>
    <b v="0"/>
    <b v="1"/>
    <x v="3"/>
  </r>
  <r>
    <s v="https://twitter.com/VW/status/674710977103814656"/>
    <s v="Volkswagen"/>
    <s v="@VW"/>
    <x v="1452"/>
    <s v="2015-12-09T22:03:27.000Z"/>
    <x v="1"/>
    <x v="143"/>
    <s v="22:03:27"/>
    <x v="1"/>
    <s v="@pilotnikib"/>
    <s v=""/>
    <n v="0"/>
    <n v="1"/>
    <n v="2"/>
    <n v="3"/>
    <s v="Low engagement"/>
    <b v="0"/>
    <b v="0"/>
    <b v="0"/>
    <x v="0"/>
  </r>
  <r>
    <s v="https://twitter.com/VW/status/674717941334577152"/>
    <s v="Volkswagen"/>
    <s v="@VW"/>
    <x v="1453"/>
    <s v="2015-12-09T22:31:07.000Z"/>
    <x v="1"/>
    <x v="143"/>
    <s v="22:31:07"/>
    <x v="1"/>
    <s v=""/>
    <s v=""/>
    <n v="0"/>
    <n v="0"/>
    <n v="2"/>
    <n v="2"/>
    <s v="Low engagement"/>
    <b v="0"/>
    <b v="0"/>
    <b v="0"/>
    <x v="0"/>
  </r>
  <r>
    <s v="https://twitter.com/VW/status/674989482530115584"/>
    <s v="Volkswagen"/>
    <s v="@VW"/>
    <x v="1454"/>
    <s v="2015-12-10T16:30:07.000Z"/>
    <x v="1"/>
    <x v="144"/>
    <s v="16:30:07"/>
    <x v="3"/>
    <s v=""/>
    <s v=""/>
    <n v="0"/>
    <n v="0"/>
    <n v="2"/>
    <n v="2"/>
    <s v="Low engagement"/>
    <b v="0"/>
    <b v="0"/>
    <b v="0"/>
    <x v="0"/>
  </r>
  <r>
    <s v="https://twitter.com/VW/status/674989481091399680"/>
    <s v="Volkswagen"/>
    <s v="@VW"/>
    <x v="1455"/>
    <s v="2015-12-10T16:30:07.000Z"/>
    <x v="1"/>
    <x v="144"/>
    <s v="16:30:07"/>
    <x v="3"/>
    <s v="@Shawnvelopes"/>
    <s v=""/>
    <n v="0"/>
    <n v="0"/>
    <n v="2"/>
    <n v="2"/>
    <s v="Low engagement"/>
    <b v="0"/>
    <b v="0"/>
    <b v="0"/>
    <x v="0"/>
  </r>
  <r>
    <s v="https://twitter.com/VW/status/674989479426322433"/>
    <s v="Volkswagen"/>
    <s v="@VW"/>
    <x v="1456"/>
    <s v="2015-12-10T16:30:07.000Z"/>
    <x v="1"/>
    <x v="144"/>
    <s v="16:30:07"/>
    <x v="3"/>
    <s v="@wise_marcia"/>
    <s v=""/>
    <n v="0"/>
    <n v="0"/>
    <n v="2"/>
    <n v="2"/>
    <s v="Low engagement"/>
    <b v="0"/>
    <b v="0"/>
    <b v="0"/>
    <x v="0"/>
  </r>
  <r>
    <s v="https://twitter.com/VW/status/674995739504721920"/>
    <s v="Volkswagen"/>
    <s v="@VW"/>
    <x v="1457"/>
    <s v="2015-12-10T16:54:59.000Z"/>
    <x v="1"/>
    <x v="144"/>
    <s v="16:54:59"/>
    <x v="3"/>
    <s v=""/>
    <s v=""/>
    <n v="0"/>
    <n v="0"/>
    <n v="2"/>
    <n v="2"/>
    <s v="Low engagement"/>
    <b v="0"/>
    <b v="0"/>
    <b v="0"/>
    <x v="0"/>
  </r>
  <r>
    <s v="https://twitter.com/VW/status/675006396815970304"/>
    <s v="Volkswagen"/>
    <s v="@VW"/>
    <x v="1458"/>
    <s v="2015-12-10T17:37:20.000Z"/>
    <x v="1"/>
    <x v="144"/>
    <s v="17:37:20"/>
    <x v="3"/>
    <s v="@_cynthialoyolaa"/>
    <s v=""/>
    <n v="0"/>
    <n v="0"/>
    <n v="2"/>
    <n v="2"/>
    <s v="Low engagement"/>
    <b v="0"/>
    <b v="0"/>
    <b v="0"/>
    <x v="0"/>
  </r>
  <r>
    <s v="https://twitter.com/VW/status/675006398422384640"/>
    <s v="Volkswagen"/>
    <s v="@VW"/>
    <x v="1459"/>
    <s v="2015-12-10T17:37:21.000Z"/>
    <x v="1"/>
    <x v="144"/>
    <s v="17:37:21"/>
    <x v="3"/>
    <s v="@_cynthialoyolaa"/>
    <s v=""/>
    <n v="0"/>
    <n v="0"/>
    <n v="1"/>
    <n v="1"/>
    <s v="Low engagement"/>
    <b v="0"/>
    <b v="0"/>
    <b v="0"/>
    <x v="0"/>
  </r>
  <r>
    <s v="https://twitter.com/VW/status/675010708463943684"/>
    <s v="Volkswagen"/>
    <s v="@VW"/>
    <x v="1460"/>
    <s v="2015-12-10T17:54:28.000Z"/>
    <x v="1"/>
    <x v="144"/>
    <s v="17:54:28"/>
    <x v="3"/>
    <s v="@StrutnWuf"/>
    <s v=""/>
    <n v="1"/>
    <n v="1"/>
    <n v="4"/>
    <n v="6"/>
    <s v="Moderate engagement"/>
    <b v="0"/>
    <b v="0"/>
    <b v="0"/>
    <x v="0"/>
  </r>
  <r>
    <s v="https://twitter.com/VW/status/675021385350033408"/>
    <s v="Volkswagen"/>
    <s v="@VW"/>
    <x v="1461"/>
    <s v="2015-12-10T18:36:54.000Z"/>
    <x v="1"/>
    <x v="144"/>
    <s v="18:36:54"/>
    <x v="1"/>
    <s v="@gotLUCHEii_iiDO"/>
    <s v=""/>
    <n v="0"/>
    <n v="0"/>
    <n v="2"/>
    <n v="2"/>
    <s v="Low engagement"/>
    <b v="0"/>
    <b v="0"/>
    <b v="0"/>
    <x v="0"/>
  </r>
  <r>
    <s v="https://twitter.com/VW/status/675080222434291713"/>
    <s v="Volkswagen"/>
    <s v="@VW"/>
    <x v="1462"/>
    <s v="2015-12-10T22:30:42.000Z"/>
    <x v="1"/>
    <x v="144"/>
    <s v="22:30:42"/>
    <x v="1"/>
    <s v="@KeithGiglio"/>
    <s v=""/>
    <n v="0"/>
    <n v="0"/>
    <n v="2"/>
    <n v="2"/>
    <s v="Low engagement"/>
    <b v="0"/>
    <b v="0"/>
    <b v="0"/>
    <x v="0"/>
  </r>
  <r>
    <s v="https://twitter.com/VW/status/675082095883100160"/>
    <s v="Volkswagen"/>
    <s v="@VW"/>
    <x v="1463"/>
    <s v="2015-12-10T22:38:08.000Z"/>
    <x v="1"/>
    <x v="144"/>
    <s v="22:38:08"/>
    <x v="1"/>
    <s v="@KeithGiglio"/>
    <s v=""/>
    <n v="0"/>
    <n v="0"/>
    <n v="2"/>
    <n v="2"/>
    <s v="Low engagement"/>
    <b v="0"/>
    <b v="0"/>
    <b v="0"/>
    <x v="0"/>
  </r>
  <r>
    <s v="https://twitter.com/VW/status/675082097950859268"/>
    <s v="Volkswagen"/>
    <s v="@VW"/>
    <x v="1464"/>
    <s v="2015-12-10T22:38:09.000Z"/>
    <x v="1"/>
    <x v="144"/>
    <s v="22:38:09"/>
    <x v="1"/>
    <s v="@cryptokiely"/>
    <s v=""/>
    <n v="0"/>
    <n v="0"/>
    <n v="2"/>
    <n v="2"/>
    <s v="Low engagement"/>
    <b v="0"/>
    <b v="0"/>
    <b v="0"/>
    <x v="0"/>
  </r>
  <r>
    <s v="https://twitter.com/VW/status/675385181998460931"/>
    <s v="Volkswagen"/>
    <s v="@VW"/>
    <x v="1465"/>
    <s v="2015-12-11T18:42:30.000Z"/>
    <x v="1"/>
    <x v="145"/>
    <s v="18:42:30"/>
    <x v="1"/>
    <s v=""/>
    <s v=""/>
    <n v="0"/>
    <n v="0"/>
    <n v="2"/>
    <n v="2"/>
    <s v="Low engagement"/>
    <b v="0"/>
    <b v="0"/>
    <b v="1"/>
    <x v="3"/>
  </r>
  <r>
    <s v="https://twitter.com/VW/status/675400363512430592"/>
    <s v="Volkswagen"/>
    <s v="@VW"/>
    <x v="1466"/>
    <s v="2015-12-11T19:42:49.000Z"/>
    <x v="1"/>
    <x v="145"/>
    <s v="19:42:49"/>
    <x v="1"/>
    <s v="@PaulFromChicago"/>
    <s v=""/>
    <n v="0"/>
    <n v="0"/>
    <n v="3"/>
    <n v="3"/>
    <s v="Low engagement"/>
    <b v="0"/>
    <b v="0"/>
    <b v="0"/>
    <x v="0"/>
  </r>
  <r>
    <s v="https://twitter.com/VW/status/675416271840669696"/>
    <s v="Volkswagen"/>
    <s v="@VW"/>
    <x v="1467"/>
    <s v="2015-12-11T20:46:02.000Z"/>
    <x v="1"/>
    <x v="145"/>
    <s v="20:46:02"/>
    <x v="1"/>
    <s v="@blitchiz"/>
    <s v=""/>
    <n v="0"/>
    <n v="1"/>
    <n v="2"/>
    <n v="3"/>
    <s v="Low engagement"/>
    <b v="0"/>
    <b v="0"/>
    <b v="0"/>
    <x v="0"/>
  </r>
  <r>
    <s v="https://twitter.com/VW/status/676434264238325760"/>
    <s v="Volkswagen"/>
    <s v="@VW"/>
    <x v="1468"/>
    <s v="2015-12-14T16:11:10.000Z"/>
    <x v="1"/>
    <x v="146"/>
    <s v="16:11:10"/>
    <x v="3"/>
    <s v="@HCIDME"/>
    <s v=""/>
    <n v="0"/>
    <n v="0"/>
    <n v="0"/>
    <n v="0"/>
    <s v="No engagement"/>
    <b v="0"/>
    <b v="0"/>
    <b v="0"/>
    <x v="0"/>
  </r>
  <r>
    <s v="https://twitter.com/VW/status/676434262409666561"/>
    <s v="Volkswagen"/>
    <s v="@VW"/>
    <x v="1469"/>
    <s v="2015-12-14T16:11:10.000Z"/>
    <x v="1"/>
    <x v="146"/>
    <s v="16:11:10"/>
    <x v="3"/>
    <s v=""/>
    <s v=""/>
    <n v="0"/>
    <n v="0"/>
    <n v="0"/>
    <n v="0"/>
    <s v="No engagement"/>
    <b v="0"/>
    <b v="0"/>
    <b v="0"/>
    <x v="0"/>
  </r>
  <r>
    <s v="https://twitter.com/VW/status/676434266138349568"/>
    <s v="Volkswagen"/>
    <s v="@VW"/>
    <x v="1470"/>
    <s v="2015-12-14T16:11:11.000Z"/>
    <x v="1"/>
    <x v="146"/>
    <s v="16:11:11"/>
    <x v="3"/>
    <s v=""/>
    <s v=""/>
    <n v="0"/>
    <n v="0"/>
    <n v="0"/>
    <n v="0"/>
    <s v="No engagement"/>
    <b v="0"/>
    <b v="0"/>
    <b v="0"/>
    <x v="0"/>
  </r>
  <r>
    <s v="https://twitter.com/VW/status/676474419988987904"/>
    <s v="Volkswagen"/>
    <s v="@VW"/>
    <x v="1471"/>
    <s v="2015-12-14T18:50:44.000Z"/>
    <x v="1"/>
    <x v="146"/>
    <s v="18:50:44"/>
    <x v="1"/>
    <s v=""/>
    <s v=""/>
    <n v="0"/>
    <n v="0"/>
    <n v="0"/>
    <n v="0"/>
    <s v="No engagement"/>
    <b v="0"/>
    <b v="0"/>
    <b v="0"/>
    <x v="0"/>
  </r>
  <r>
    <s v="https://twitter.com/VW/status/676474418751606785"/>
    <s v="Volkswagen"/>
    <s v="@VW"/>
    <x v="1472"/>
    <s v="2015-12-14T18:50:44.000Z"/>
    <x v="1"/>
    <x v="146"/>
    <s v="18:50:44"/>
    <x v="1"/>
    <s v=""/>
    <s v=""/>
    <n v="0"/>
    <n v="0"/>
    <n v="0"/>
    <n v="0"/>
    <s v="No engagement"/>
    <b v="0"/>
    <b v="0"/>
    <b v="0"/>
    <x v="0"/>
  </r>
  <r>
    <s v="https://twitter.com/VW/status/676474417224912896"/>
    <s v="Volkswagen"/>
    <s v="@VW"/>
    <x v="1473"/>
    <s v="2015-12-14T18:50:44.000Z"/>
    <x v="1"/>
    <x v="146"/>
    <s v="18:50:44"/>
    <x v="1"/>
    <s v=""/>
    <s v=""/>
    <n v="0"/>
    <n v="0"/>
    <n v="0"/>
    <n v="0"/>
    <s v="No engagement"/>
    <b v="0"/>
    <b v="0"/>
    <b v="0"/>
    <x v="0"/>
  </r>
  <r>
    <s v="https://twitter.com/VW/status/676499137357996032"/>
    <s v="Volkswagen"/>
    <s v="@VW"/>
    <x v="1474"/>
    <s v="2015-12-14T20:28:57.000Z"/>
    <x v="1"/>
    <x v="146"/>
    <s v="20:28:57"/>
    <x v="1"/>
    <s v="@BJSmithArt"/>
    <s v=""/>
    <n v="0"/>
    <n v="0"/>
    <n v="0"/>
    <n v="0"/>
    <s v="No engagement"/>
    <b v="0"/>
    <b v="0"/>
    <b v="0"/>
    <x v="0"/>
  </r>
  <r>
    <s v="https://twitter.com/VW/status/676499142466625537"/>
    <s v="Volkswagen"/>
    <s v="@VW"/>
    <x v="1475"/>
    <s v="2015-12-14T20:28:58.000Z"/>
    <x v="1"/>
    <x v="146"/>
    <s v="20:28:58"/>
    <x v="1"/>
    <s v=""/>
    <s v=""/>
    <n v="0"/>
    <n v="0"/>
    <n v="0"/>
    <n v="0"/>
    <s v="No engagement"/>
    <b v="0"/>
    <b v="0"/>
    <b v="0"/>
    <x v="0"/>
  </r>
  <r>
    <s v="https://twitter.com/VW/status/676499139383791616"/>
    <s v="Volkswagen"/>
    <s v="@VW"/>
    <x v="1476"/>
    <s v="2015-12-14T20:28:58.000Z"/>
    <x v="1"/>
    <x v="146"/>
    <s v="20:28:58"/>
    <x v="1"/>
    <s v="@BJSmithArt"/>
    <s v=""/>
    <n v="0"/>
    <n v="3"/>
    <n v="0"/>
    <n v="3"/>
    <s v="Low engagement"/>
    <b v="0"/>
    <b v="0"/>
    <b v="0"/>
    <x v="0"/>
  </r>
  <r>
    <s v="https://twitter.com/VW/status/676499144282759168"/>
    <s v="Volkswagen"/>
    <s v="@VW"/>
    <x v="1477"/>
    <s v="2015-12-14T20:28:59.000Z"/>
    <x v="1"/>
    <x v="146"/>
    <s v="20:28:59"/>
    <x v="1"/>
    <s v=""/>
    <s v=""/>
    <n v="0"/>
    <n v="0"/>
    <n v="0"/>
    <n v="0"/>
    <s v="No engagement"/>
    <b v="0"/>
    <b v="0"/>
    <b v="0"/>
    <x v="0"/>
  </r>
  <r>
    <s v="https://twitter.com/VW/status/676509870619668480"/>
    <s v="Volkswagen"/>
    <s v="@VW"/>
    <x v="1478"/>
    <s v="2015-12-14T21:11:36.000Z"/>
    <x v="1"/>
    <x v="146"/>
    <s v="21:11:36"/>
    <x v="1"/>
    <s v="@raneycat"/>
    <s v=""/>
    <n v="0"/>
    <n v="0"/>
    <n v="0"/>
    <n v="0"/>
    <s v="No engagement"/>
    <b v="0"/>
    <b v="0"/>
    <b v="0"/>
    <x v="0"/>
  </r>
  <r>
    <s v="https://twitter.com/VW/status/676516970611642368"/>
    <s v="Volkswagen"/>
    <s v="@VW"/>
    <x v="1479"/>
    <s v="2015-12-14T21:39:49.000Z"/>
    <x v="1"/>
    <x v="146"/>
    <s v="21:39:49"/>
    <x v="1"/>
    <s v="@BJSmithArt"/>
    <s v=""/>
    <n v="1"/>
    <n v="0"/>
    <n v="0"/>
    <n v="1"/>
    <s v="Low engagement"/>
    <b v="0"/>
    <b v="0"/>
    <b v="0"/>
    <x v="0"/>
  </r>
  <r>
    <s v="https://twitter.com/VW/status/676523950264881152"/>
    <s v="Volkswagen"/>
    <s v="@VW"/>
    <x v="1480"/>
    <s v="2015-12-14T22:07:33.000Z"/>
    <x v="1"/>
    <x v="146"/>
    <s v="22:07:33"/>
    <x v="1"/>
    <s v=""/>
    <s v=""/>
    <n v="0"/>
    <n v="0"/>
    <n v="1"/>
    <n v="1"/>
    <s v="Low engagement"/>
    <b v="0"/>
    <b v="0"/>
    <b v="0"/>
    <x v="0"/>
  </r>
  <r>
    <s v="https://twitter.com/VW/status/676525720735121408"/>
    <s v="Volkswagen"/>
    <s v="@VW"/>
    <x v="1481"/>
    <s v="2015-12-14T22:14:35.000Z"/>
    <x v="1"/>
    <x v="146"/>
    <s v="22:14:35"/>
    <x v="1"/>
    <s v="@zoe_ann35"/>
    <s v=""/>
    <n v="0"/>
    <n v="0"/>
    <n v="1"/>
    <n v="1"/>
    <s v="Low engagement"/>
    <b v="0"/>
    <b v="0"/>
    <b v="1"/>
    <x v="3"/>
  </r>
  <r>
    <s v="https://twitter.com/VW/status/676525722639319040"/>
    <s v="Volkswagen"/>
    <s v="@VW"/>
    <x v="1482"/>
    <s v="2015-12-14T22:14:36.000Z"/>
    <x v="1"/>
    <x v="146"/>
    <s v="22:14:36"/>
    <x v="1"/>
    <s v=""/>
    <s v=""/>
    <n v="0"/>
    <n v="0"/>
    <n v="2"/>
    <n v="2"/>
    <s v="Low engagement"/>
    <b v="0"/>
    <b v="0"/>
    <b v="0"/>
    <x v="0"/>
  </r>
  <r>
    <s v="https://twitter.com/VW/status/676530164344360960"/>
    <s v="Volkswagen"/>
    <s v="@VW"/>
    <x v="1483"/>
    <s v="2015-12-14T22:32:15.000Z"/>
    <x v="1"/>
    <x v="146"/>
    <s v="22:32:15"/>
    <x v="1"/>
    <s v=""/>
    <s v=""/>
    <n v="0"/>
    <n v="0"/>
    <n v="1"/>
    <n v="1"/>
    <s v="Low engagement"/>
    <b v="0"/>
    <b v="0"/>
    <b v="1"/>
    <x v="3"/>
  </r>
  <r>
    <s v="https://twitter.com/VW/status/676800635698700288"/>
    <s v="Volkswagen"/>
    <s v="@VW"/>
    <x v="1484"/>
    <s v="2015-12-15T16:27:00.000Z"/>
    <x v="1"/>
    <x v="147"/>
    <s v="16:27:00"/>
    <x v="3"/>
    <s v="@aaronjblack90"/>
    <s v=""/>
    <n v="0"/>
    <n v="1"/>
    <n v="0"/>
    <n v="1"/>
    <s v="Low engagement"/>
    <b v="0"/>
    <b v="0"/>
    <b v="1"/>
    <x v="3"/>
  </r>
  <r>
    <s v="https://twitter.com/VW/status/676800634171998208"/>
    <s v="Volkswagen"/>
    <s v="@VW"/>
    <x v="1485"/>
    <s v="2015-12-15T16:27:00.000Z"/>
    <x v="1"/>
    <x v="147"/>
    <s v="16:27:00"/>
    <x v="3"/>
    <s v="@aaronjblack90"/>
    <s v=""/>
    <n v="0"/>
    <n v="1"/>
    <n v="0"/>
    <n v="1"/>
    <s v="Low engagement"/>
    <b v="0"/>
    <b v="0"/>
    <b v="0"/>
    <x v="0"/>
  </r>
  <r>
    <s v="https://twitter.com/VW/status/676803278810710016"/>
    <s v="Volkswagen"/>
    <s v="@VW"/>
    <x v="1486"/>
    <s v="2015-12-15T16:37:30.000Z"/>
    <x v="1"/>
    <x v="147"/>
    <s v="16:37:30"/>
    <x v="3"/>
    <s v="@20Facts"/>
    <s v=""/>
    <n v="0"/>
    <n v="0"/>
    <n v="0"/>
    <n v="0"/>
    <s v="No engagement"/>
    <b v="0"/>
    <b v="0"/>
    <b v="0"/>
    <x v="0"/>
  </r>
  <r>
    <s v="https://twitter.com/VW/status/676805016166862848"/>
    <s v="Volkswagen"/>
    <s v="@VW"/>
    <x v="1487"/>
    <s v="2015-12-15T16:44:24.000Z"/>
    <x v="1"/>
    <x v="147"/>
    <s v="16:44:24"/>
    <x v="3"/>
    <s v="@cswanger"/>
    <s v=""/>
    <n v="0"/>
    <n v="1"/>
    <n v="0"/>
    <n v="1"/>
    <s v="Low engagement"/>
    <b v="0"/>
    <b v="0"/>
    <b v="1"/>
    <x v="3"/>
  </r>
  <r>
    <s v="https://twitter.com/VW/status/676805014686269440"/>
    <s v="Volkswagen"/>
    <s v="@VW"/>
    <x v="1488"/>
    <s v="2015-12-15T16:44:24.000Z"/>
    <x v="1"/>
    <x v="147"/>
    <s v="16:44:24"/>
    <x v="3"/>
    <s v="@20Facts"/>
    <s v=""/>
    <n v="0"/>
    <n v="2"/>
    <n v="1"/>
    <n v="3"/>
    <s v="Low engagement"/>
    <b v="0"/>
    <b v="0"/>
    <b v="0"/>
    <x v="0"/>
  </r>
  <r>
    <s v="https://twitter.com/VW/status/676811272613072896"/>
    <s v="Volkswagen"/>
    <s v="@VW"/>
    <x v="1489"/>
    <s v="2015-12-15T17:09:16.000Z"/>
    <x v="1"/>
    <x v="147"/>
    <s v="17:09:16"/>
    <x v="3"/>
    <s v="@taryn_mckenna"/>
    <s v=""/>
    <n v="0"/>
    <n v="0"/>
    <n v="0"/>
    <n v="0"/>
    <s v="No engagement"/>
    <b v="0"/>
    <b v="0"/>
    <b v="0"/>
    <x v="0"/>
  </r>
  <r>
    <s v="https://twitter.com/VW/status/676811277394567169"/>
    <s v="Volkswagen"/>
    <s v="@VW"/>
    <x v="1490"/>
    <s v="2015-12-15T17:09:17.000Z"/>
    <x v="1"/>
    <x v="147"/>
    <s v="17:09:17"/>
    <x v="3"/>
    <s v=""/>
    <s v=""/>
    <n v="0"/>
    <n v="0"/>
    <n v="0"/>
    <n v="0"/>
    <s v="No engagement"/>
    <b v="0"/>
    <b v="0"/>
    <b v="0"/>
    <x v="0"/>
  </r>
  <r>
    <s v="https://twitter.com/VW/status/676811275561664512"/>
    <s v="Volkswagen"/>
    <s v="@VW"/>
    <x v="1491"/>
    <s v="2015-12-15T17:09:17.000Z"/>
    <x v="1"/>
    <x v="147"/>
    <s v="17:09:17"/>
    <x v="3"/>
    <s v=""/>
    <s v=""/>
    <n v="0"/>
    <n v="1"/>
    <n v="0"/>
    <n v="1"/>
    <s v="Low engagement"/>
    <b v="0"/>
    <b v="0"/>
    <b v="0"/>
    <x v="0"/>
  </r>
  <r>
    <s v="https://twitter.com/VW/status/676811274370482176"/>
    <s v="Volkswagen"/>
    <s v="@VW"/>
    <x v="1492"/>
    <s v="2015-12-15T17:09:17.000Z"/>
    <x v="1"/>
    <x v="147"/>
    <s v="17:09:17"/>
    <x v="3"/>
    <s v="@taryn_mckenna"/>
    <s v=""/>
    <n v="1"/>
    <n v="0"/>
    <n v="0"/>
    <n v="1"/>
    <s v="Low engagement"/>
    <b v="0"/>
    <b v="0"/>
    <b v="0"/>
    <x v="0"/>
  </r>
  <r>
    <s v="https://twitter.com/VW/status/676811282431893504"/>
    <s v="Volkswagen"/>
    <s v="@VW"/>
    <x v="1493"/>
    <s v="2015-12-15T17:09:18.000Z"/>
    <x v="1"/>
    <x v="147"/>
    <s v="17:09:18"/>
    <x v="3"/>
    <s v="@ptorgus"/>
    <s v=""/>
    <n v="0"/>
    <n v="0"/>
    <n v="0"/>
    <n v="0"/>
    <s v="No engagement"/>
    <b v="0"/>
    <b v="0"/>
    <b v="0"/>
    <x v="0"/>
  </r>
  <r>
    <s v="https://twitter.com/VW/status/676811280326377472"/>
    <s v="Volkswagen"/>
    <s v="@VW"/>
    <x v="1494"/>
    <s v="2015-12-15T17:09:18.000Z"/>
    <x v="1"/>
    <x v="147"/>
    <s v="17:09:18"/>
    <x v="3"/>
    <s v=""/>
    <s v=""/>
    <n v="0"/>
    <n v="0"/>
    <n v="0"/>
    <n v="0"/>
    <s v="No engagement"/>
    <b v="0"/>
    <b v="0"/>
    <b v="0"/>
    <x v="0"/>
  </r>
  <r>
    <s v="https://twitter.com/VW/status/676811284067717122"/>
    <s v="Volkswagen"/>
    <s v="@VW"/>
    <x v="1495"/>
    <s v="2015-12-15T17:09:19.000Z"/>
    <x v="1"/>
    <x v="147"/>
    <s v="17:09:19"/>
    <x v="3"/>
    <s v=""/>
    <s v=""/>
    <n v="0"/>
    <n v="0"/>
    <n v="1"/>
    <n v="1"/>
    <s v="Low engagement"/>
    <b v="0"/>
    <b v="0"/>
    <b v="0"/>
    <x v="0"/>
  </r>
  <r>
    <s v="https://twitter.com/VW/status/676812993527582722"/>
    <s v="Volkswagen"/>
    <s v="@VW"/>
    <x v="1496"/>
    <s v="2015-12-15T17:16:06.000Z"/>
    <x v="1"/>
    <x v="147"/>
    <s v="17:16:06"/>
    <x v="3"/>
    <s v="@cswanger"/>
    <s v=""/>
    <n v="0"/>
    <n v="0"/>
    <n v="0"/>
    <n v="0"/>
    <s v="No engagement"/>
    <b v="0"/>
    <b v="0"/>
    <b v="1"/>
    <x v="3"/>
  </r>
  <r>
    <s v="https://twitter.com/VW/status/676820929050099712"/>
    <s v="Volkswagen"/>
    <s v="@VW"/>
    <x v="1497"/>
    <s v="2015-12-15T17:47:38.000Z"/>
    <x v="1"/>
    <x v="147"/>
    <s v="17:47:38"/>
    <x v="3"/>
    <s v=""/>
    <s v=""/>
    <n v="0"/>
    <n v="0"/>
    <n v="0"/>
    <n v="0"/>
    <s v="No engagement"/>
    <b v="0"/>
    <b v="0"/>
    <b v="0"/>
    <x v="0"/>
  </r>
  <r>
    <s v="https://twitter.com/VW/status/676829568133533696"/>
    <s v="Volkswagen"/>
    <s v="@VW"/>
    <x v="1498"/>
    <s v="2015-12-15T18:21:58.000Z"/>
    <x v="1"/>
    <x v="147"/>
    <s v="18:21:58"/>
    <x v="1"/>
    <s v="@paloaltoicu"/>
    <s v=""/>
    <n v="0"/>
    <n v="0"/>
    <n v="0"/>
    <n v="0"/>
    <s v="No engagement"/>
    <b v="0"/>
    <b v="0"/>
    <b v="1"/>
    <x v="3"/>
  </r>
  <r>
    <s v="https://twitter.com/VW/status/676841887928483841"/>
    <s v="Volkswagen"/>
    <s v="@VW"/>
    <x v="1499"/>
    <s v="2015-12-15T19:10:55.000Z"/>
    <x v="1"/>
    <x v="147"/>
    <s v="19:10:55"/>
    <x v="1"/>
    <s v=""/>
    <s v=""/>
    <n v="0"/>
    <n v="0"/>
    <n v="1"/>
    <n v="1"/>
    <s v="Low engagement"/>
    <b v="0"/>
    <b v="0"/>
    <b v="0"/>
    <x v="0"/>
  </r>
  <r>
    <s v="https://twitter.com/VW/status/676841886078775297"/>
    <s v="Volkswagen"/>
    <s v="@VW"/>
    <x v="1500"/>
    <s v="2015-12-15T19:10:55.000Z"/>
    <x v="1"/>
    <x v="147"/>
    <s v="19:10:55"/>
    <x v="1"/>
    <s v="@EatAtlantallc"/>
    <s v=""/>
    <n v="0"/>
    <n v="1"/>
    <n v="0"/>
    <n v="1"/>
    <s v="Low engagement"/>
    <b v="0"/>
    <b v="0"/>
    <b v="0"/>
    <x v="0"/>
  </r>
  <r>
    <s v="https://twitter.com/VW/status/676841891510403072"/>
    <s v="Volkswagen"/>
    <s v="@VW"/>
    <x v="1501"/>
    <s v="2015-12-15T19:10:56.000Z"/>
    <x v="1"/>
    <x v="147"/>
    <s v="19:10:56"/>
    <x v="1"/>
    <s v="@oohsusieq206"/>
    <s v=""/>
    <n v="1"/>
    <n v="0"/>
    <n v="1"/>
    <n v="2"/>
    <s v="Low engagement"/>
    <b v="0"/>
    <b v="0"/>
    <b v="0"/>
    <x v="0"/>
  </r>
  <r>
    <s v="https://twitter.com/VW/status/676841889841057792"/>
    <s v="Volkswagen"/>
    <s v="@VW"/>
    <x v="1502"/>
    <s v="2015-12-15T19:10:56.000Z"/>
    <x v="1"/>
    <x v="147"/>
    <s v="19:10:56"/>
    <x v="1"/>
    <s v="@BillyHoOfficial"/>
    <s v=""/>
    <n v="0"/>
    <n v="0"/>
    <n v="1"/>
    <n v="1"/>
    <s v="Low engagement"/>
    <b v="0"/>
    <b v="0"/>
    <b v="0"/>
    <x v="0"/>
  </r>
  <r>
    <s v="https://twitter.com/VW/status/676846364064518146"/>
    <s v="Volkswagen"/>
    <s v="@VW"/>
    <x v="1503"/>
    <s v="2015-12-15T19:28:43.000Z"/>
    <x v="1"/>
    <x v="147"/>
    <s v="19:28:43"/>
    <x v="1"/>
    <s v="@ospunx"/>
    <s v=""/>
    <n v="1"/>
    <n v="1"/>
    <n v="1"/>
    <n v="3"/>
    <s v="Low engagement"/>
    <b v="0"/>
    <b v="0"/>
    <b v="0"/>
    <x v="0"/>
  </r>
  <r>
    <s v="https://twitter.com/VW/status/677135956353277952"/>
    <s v="Volkswagen"/>
    <s v="@VW"/>
    <x v="1504"/>
    <s v="2015-12-16T14:39:27.000Z"/>
    <x v="1"/>
    <x v="148"/>
    <s v="14:39:27"/>
    <x v="3"/>
    <s v="@aaronjblack90"/>
    <s v=""/>
    <n v="0"/>
    <n v="0"/>
    <n v="0"/>
    <n v="0"/>
    <s v="No engagement"/>
    <b v="0"/>
    <b v="0"/>
    <b v="0"/>
    <x v="0"/>
  </r>
  <r>
    <s v="https://twitter.com/VW/status/677138604682969088"/>
    <s v="Volkswagen"/>
    <s v="@VW"/>
    <x v="1505"/>
    <s v="2015-12-16T14:49:58.000Z"/>
    <x v="1"/>
    <x v="148"/>
    <s v="14:49:58"/>
    <x v="3"/>
    <s v="@aaronjblack90"/>
    <s v=""/>
    <n v="0"/>
    <n v="0"/>
    <n v="0"/>
    <n v="0"/>
    <s v="No engagement"/>
    <b v="0"/>
    <b v="0"/>
    <b v="0"/>
    <x v="0"/>
  </r>
  <r>
    <s v="https://twitter.com/VW/status/677138609598676993"/>
    <s v="Volkswagen"/>
    <s v="@VW"/>
    <x v="1506"/>
    <s v="2015-12-16T14:49:59.000Z"/>
    <x v="1"/>
    <x v="148"/>
    <s v="14:49:59"/>
    <x v="3"/>
    <s v=""/>
    <s v=""/>
    <n v="0"/>
    <n v="0"/>
    <n v="0"/>
    <n v="0"/>
    <s v="No engagement"/>
    <b v="0"/>
    <b v="0"/>
    <b v="0"/>
    <x v="0"/>
  </r>
  <r>
    <s v="https://twitter.com/VW/status/677138607975436288"/>
    <s v="Volkswagen"/>
    <s v="@VW"/>
    <x v="1507"/>
    <s v="2015-12-16T14:49:59.000Z"/>
    <x v="1"/>
    <x v="148"/>
    <s v="14:49:59"/>
    <x v="3"/>
    <s v=""/>
    <s v=""/>
    <n v="0"/>
    <n v="0"/>
    <n v="0"/>
    <n v="0"/>
    <s v="No engagement"/>
    <b v="0"/>
    <b v="0"/>
    <b v="0"/>
    <x v="0"/>
  </r>
  <r>
    <s v="https://twitter.com/VW/status/677152609816326145"/>
    <s v="Volkswagen"/>
    <s v="@VW"/>
    <x v="1508"/>
    <s v="2015-12-16T15:45:37.000Z"/>
    <x v="1"/>
    <x v="148"/>
    <s v="15:45:37"/>
    <x v="3"/>
    <s v="@dnp1015"/>
    <s v=""/>
    <n v="0"/>
    <n v="1"/>
    <n v="0"/>
    <n v="1"/>
    <s v="Low engagement"/>
    <b v="0"/>
    <b v="0"/>
    <b v="0"/>
    <x v="0"/>
  </r>
  <r>
    <s v="https://twitter.com/VW/status/677152611640807426"/>
    <s v="Volkswagen"/>
    <s v="@VW"/>
    <x v="1509"/>
    <s v="2015-12-16T15:45:38.000Z"/>
    <x v="1"/>
    <x v="148"/>
    <s v="15:45:38"/>
    <x v="3"/>
    <s v="@dnp1015"/>
    <s v=""/>
    <n v="0"/>
    <n v="0"/>
    <n v="0"/>
    <n v="0"/>
    <s v="No engagement"/>
    <b v="0"/>
    <b v="0"/>
    <b v="0"/>
    <x v="0"/>
  </r>
  <r>
    <s v="https://twitter.com/VW/status/677159732608503809"/>
    <s v="Volkswagen"/>
    <s v="@VW"/>
    <x v="1510"/>
    <s v="2015-12-16T16:13:55.000Z"/>
    <x v="1"/>
    <x v="148"/>
    <s v="16:13:55"/>
    <x v="3"/>
    <s v="@GarMcVeyRussell"/>
    <s v=""/>
    <n v="0"/>
    <n v="0"/>
    <n v="0"/>
    <n v="0"/>
    <s v="No engagement"/>
    <b v="0"/>
    <b v="0"/>
    <b v="0"/>
    <x v="0"/>
  </r>
  <r>
    <s v="https://twitter.com/VW/status/677177193085009920"/>
    <s v="Volkswagen"/>
    <s v="@VW"/>
    <x v="1511"/>
    <s v="2015-12-16T17:23:18.000Z"/>
    <x v="1"/>
    <x v="148"/>
    <s v="17:23:18"/>
    <x v="3"/>
    <s v=""/>
    <s v=""/>
    <n v="0"/>
    <n v="2"/>
    <n v="1"/>
    <n v="3"/>
    <s v="Low engagement"/>
    <b v="0"/>
    <b v="0"/>
    <b v="0"/>
    <x v="0"/>
  </r>
  <r>
    <s v="https://twitter.com/VW/status/677177196151091200"/>
    <s v="Volkswagen"/>
    <s v="@VW"/>
    <x v="1512"/>
    <s v="2015-12-16T17:23:19.000Z"/>
    <x v="1"/>
    <x v="148"/>
    <s v="17:23:19"/>
    <x v="3"/>
    <s v="@DAmaya1012"/>
    <s v=""/>
    <n v="1"/>
    <n v="0"/>
    <n v="0"/>
    <n v="1"/>
    <s v="Low engagement"/>
    <b v="0"/>
    <b v="0"/>
    <b v="0"/>
    <x v="0"/>
  </r>
  <r>
    <s v="https://twitter.com/VW/status/677177198017572864"/>
    <s v="Volkswagen"/>
    <s v="@VW"/>
    <x v="1513"/>
    <s v="2015-12-16T17:23:20.000Z"/>
    <x v="1"/>
    <x v="148"/>
    <s v="17:23:20"/>
    <x v="3"/>
    <s v="@DAmaya1012"/>
    <s v=""/>
    <n v="0"/>
    <n v="0"/>
    <n v="1"/>
    <n v="1"/>
    <s v="Low engagement"/>
    <b v="0"/>
    <b v="0"/>
    <b v="0"/>
    <x v="0"/>
  </r>
  <r>
    <s v="https://twitter.com/VW/status/677207636853456896"/>
    <s v="Volkswagen"/>
    <s v="@VW"/>
    <x v="1514"/>
    <s v="2015-12-16T19:24:17.000Z"/>
    <x v="1"/>
    <x v="148"/>
    <s v="19:24:17"/>
    <x v="1"/>
    <s v="@CarolGuttery"/>
    <s v=""/>
    <n v="0"/>
    <n v="0"/>
    <n v="1"/>
    <n v="1"/>
    <s v="Low engagement"/>
    <b v="0"/>
    <b v="0"/>
    <b v="1"/>
    <x v="3"/>
  </r>
  <r>
    <s v="https://twitter.com/VW/status/677237607185571840"/>
    <s v="Volkswagen"/>
    <s v="@VW"/>
    <x v="1515"/>
    <s v="2015-12-16T21:23:22.000Z"/>
    <x v="1"/>
    <x v="148"/>
    <s v="21:23:22"/>
    <x v="1"/>
    <s v="@IamSuperFrankie"/>
    <s v=""/>
    <n v="0"/>
    <n v="0"/>
    <n v="0"/>
    <n v="0"/>
    <s v="No engagement"/>
    <b v="0"/>
    <b v="0"/>
    <b v="0"/>
    <x v="0"/>
  </r>
  <r>
    <s v="https://twitter.com/VW/status/677237608750039040"/>
    <s v="Volkswagen"/>
    <s v="@VW"/>
    <x v="1516"/>
    <s v="2015-12-16T21:23:23.000Z"/>
    <x v="1"/>
    <x v="148"/>
    <s v="21:23:23"/>
    <x v="1"/>
    <s v="@EatAtlantallc"/>
    <s v=""/>
    <n v="0"/>
    <n v="0"/>
    <n v="1"/>
    <n v="1"/>
    <s v="Low engagement"/>
    <b v="0"/>
    <b v="0"/>
    <b v="0"/>
    <x v="0"/>
  </r>
  <r>
    <s v="https://twitter.com/VW/status/677237613019791360"/>
    <s v="Volkswagen"/>
    <s v="@VW"/>
    <x v="1517"/>
    <s v="2015-12-16T21:23:24.000Z"/>
    <x v="1"/>
    <x v="148"/>
    <s v="21:23:24"/>
    <x v="1"/>
    <s v=""/>
    <s v=""/>
    <n v="0"/>
    <n v="0"/>
    <n v="1"/>
    <n v="1"/>
    <s v="Low engagement"/>
    <b v="0"/>
    <b v="0"/>
    <b v="0"/>
    <x v="0"/>
  </r>
  <r>
    <s v="https://twitter.com/VW/status/677238450278428672"/>
    <s v="Volkswagen"/>
    <s v="@VW"/>
    <x v="1518"/>
    <s v="2015-12-16T21:26:43.000Z"/>
    <x v="1"/>
    <x v="148"/>
    <s v="21:26:43"/>
    <x v="1"/>
    <s v="@TheRhysma"/>
    <s v=""/>
    <n v="0"/>
    <n v="1"/>
    <n v="0"/>
    <n v="1"/>
    <s v="Low engagement"/>
    <b v="0"/>
    <b v="0"/>
    <b v="0"/>
    <x v="0"/>
  </r>
  <r>
    <s v="https://twitter.com/VW/status/677238454585987072"/>
    <s v="Volkswagen"/>
    <s v="@VW"/>
    <x v="1519"/>
    <s v="2015-12-16T21:26:44.000Z"/>
    <x v="1"/>
    <x v="148"/>
    <s v="21:26:44"/>
    <x v="1"/>
    <s v="@CassieHannon"/>
    <s v=""/>
    <n v="1"/>
    <n v="0"/>
    <n v="0"/>
    <n v="1"/>
    <s v="Low engagement"/>
    <b v="0"/>
    <b v="0"/>
    <b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1337C-2D77-314F-A576-A64C2BBCF57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F4:I10" firstHeaderRow="0" firstDataRow="1" firstDataCol="1"/>
  <pivotFields count="20">
    <pivotField showAll="0"/>
    <pivotField showAll="0"/>
    <pivotField showAll="0"/>
    <pivotField showAll="0"/>
    <pivotField showAll="0"/>
    <pivotField axis="axisRow" multipleItemSelectionAllowed="1" showAll="0">
      <items count="6">
        <item x="4"/>
        <item x="0"/>
        <item x="1"/>
        <item x="2"/>
        <item x="3"/>
        <item t="default"/>
      </items>
    </pivotField>
    <pivotField showAll="0">
      <items count="409"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showAll="0"/>
    <pivotField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_count" fld="11" subtotal="average" baseField="0" baseItem="0"/>
    <dataField name="Average of reply_count" fld="12" subtotal="average" baseField="0" baseItem="0"/>
    <dataField name="Average of retweet_count" fld="13" subtotal="average" baseField="0" baseItem="0"/>
  </dataFields>
  <formats count="3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5" count="0"/>
        </references>
      </pivotArea>
    </format>
    <format dxfId="31">
      <pivotArea dataOnly="0" labelOnly="1" outline="0" fieldPosition="0">
        <references count="1">
          <reference field="5" count="0"/>
        </references>
      </pivotArea>
    </format>
  </formats>
  <chartFormats count="9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B23E-EAA7-344A-B493-460D7CC31A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:D10" firstHeaderRow="0" firstDataRow="1" firstDataCol="1"/>
  <pivotFields count="20">
    <pivotField showAll="0"/>
    <pivotField showAll="0"/>
    <pivotField showAll="0"/>
    <pivotField showAll="0"/>
    <pivotField showAll="0"/>
    <pivotField axis="axisRow" multipleItemSelectionAllowed="1" showAll="0">
      <items count="6">
        <item x="4"/>
        <item x="0"/>
        <item x="1"/>
        <item x="2"/>
        <item x="3"/>
        <item t="default"/>
      </items>
    </pivotField>
    <pivotField showAll="0">
      <items count="409"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showAll="0"/>
    <pivotField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like_count" fld="11" subtotal="average" baseField="0" baseItem="0"/>
    <dataField name="Average of reply_count" fld="12" subtotal="average" baseField="0" baseItem="0"/>
    <dataField name="Average of retweet_count" fld="13" subtotal="average" baseField="0" baseItem="0"/>
  </dataFields>
  <formats count="3">
    <format dxfId="36">
      <pivotArea outline="0" collapsedLevelsAreSubtotals="1" fieldPosition="0"/>
    </format>
    <format dxfId="35">
      <pivotArea dataOnly="0" labelOnly="1" outline="0" fieldPosition="0">
        <references count="1">
          <reference field="5" count="0"/>
        </references>
      </pivotArea>
    </format>
    <format dxfId="34">
      <pivotArea dataOnly="0" labelOnly="1" outline="0" fieldPosition="0">
        <references count="1">
          <reference field="5" count="0"/>
        </references>
      </pivotArea>
    </format>
  </formats>
  <chartFormats count="9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ACB14-9729-FA46-B05A-694EA4CA882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8" firstHeaderRow="0" firstDataRow="1" firstDataCol="1" rowPageCount="1" colPageCount="1"/>
  <pivotFields count="22">
    <pivotField showAll="0"/>
    <pivotField showAll="0"/>
    <pivotField showAll="0"/>
    <pivotField showAll="0">
      <items count="1521">
        <item x="325"/>
        <item x="38"/>
        <item x="26"/>
        <item x="12"/>
        <item x="318"/>
        <item x="11"/>
        <item x="37"/>
        <item x="36"/>
        <item x="40"/>
        <item x="305"/>
        <item x="647"/>
        <item x="1459"/>
        <item x="1458"/>
        <item x="974"/>
        <item x="976"/>
        <item x="914"/>
        <item x="1000"/>
        <item x="1394"/>
        <item x="1395"/>
        <item x="269"/>
        <item x="267"/>
        <item x="503"/>
        <item x="504"/>
        <item x="1488"/>
        <item x="1486"/>
        <item x="1316"/>
        <item x="1314"/>
        <item x="772"/>
        <item x="316"/>
        <item x="1484"/>
        <item x="1505"/>
        <item x="1504"/>
        <item x="1485"/>
        <item x="729"/>
        <item x="948"/>
        <item x="818"/>
        <item x="745"/>
        <item x="687"/>
        <item x="656"/>
        <item x="138"/>
        <item x="1436"/>
        <item x="418"/>
        <item x="495"/>
        <item x="762"/>
        <item x="867"/>
        <item x="55"/>
        <item x="54"/>
        <item x="581"/>
        <item x="583"/>
        <item x="194"/>
        <item x="1309"/>
        <item x="1266"/>
        <item x="1310"/>
        <item x="856"/>
        <item x="1287"/>
        <item x="1286"/>
        <item x="1011"/>
        <item x="1021"/>
        <item x="1012"/>
        <item x="609"/>
        <item x="608"/>
        <item x="983"/>
        <item x="1333"/>
        <item x="1334"/>
        <item x="847"/>
        <item x="1335"/>
        <item x="645"/>
        <item x="1516"/>
        <item x="1500"/>
        <item x="637"/>
        <item x="638"/>
        <item x="146"/>
        <item x="1121"/>
        <item x="1162"/>
        <item x="1161"/>
        <item x="524"/>
        <item x="525"/>
        <item x="1142"/>
        <item x="550"/>
        <item x="446"/>
        <item x="765"/>
        <item x="893"/>
        <item x="1113"/>
        <item x="1030"/>
        <item x="1065"/>
        <item x="376"/>
        <item x="620"/>
        <item x="630"/>
        <item x="931"/>
        <item x="371"/>
        <item x="835"/>
        <item x="784"/>
        <item x="1044"/>
        <item x="52"/>
        <item x="779"/>
        <item x="811"/>
        <item x="552"/>
        <item x="861"/>
        <item x="465"/>
        <item x="1085"/>
        <item x="235"/>
        <item x="234"/>
        <item x="1404"/>
        <item x="1406"/>
        <item x="1157"/>
        <item x="76"/>
        <item x="217"/>
        <item x="1391"/>
        <item x="1408"/>
        <item x="211"/>
        <item x="213"/>
        <item x="1418"/>
        <item x="763"/>
        <item x="65"/>
        <item x="1263"/>
        <item x="1262"/>
        <item x="899"/>
        <item x="136"/>
        <item x="683"/>
        <item x="659"/>
        <item x="370"/>
        <item x="256"/>
        <item x="1449"/>
        <item x="1448"/>
        <item x="201"/>
        <item x="1214"/>
        <item x="1208"/>
        <item x="751"/>
        <item x="749"/>
        <item x="1117"/>
        <item x="239"/>
        <item x="242"/>
        <item x="876"/>
        <item x="844"/>
        <item x="843"/>
        <item x="348"/>
        <item x="220"/>
        <item x="346"/>
        <item x="431"/>
        <item x="1103"/>
        <item x="1476"/>
        <item x="1479"/>
        <item x="1474"/>
        <item x="701"/>
        <item x="703"/>
        <item x="511"/>
        <item x="428"/>
        <item x="506"/>
        <item x="505"/>
        <item x="651"/>
        <item x="1132"/>
        <item x="932"/>
        <item x="933"/>
        <item x="1099"/>
        <item x="1467"/>
        <item x="1087"/>
        <item x="1088"/>
        <item x="60"/>
        <item x="573"/>
        <item x="1289"/>
        <item x="1288"/>
        <item x="1308"/>
        <item x="365"/>
        <item x="1322"/>
        <item x="574"/>
        <item x="929"/>
        <item x="1498"/>
        <item x="836"/>
        <item x="791"/>
        <item x="1128"/>
        <item x="1129"/>
        <item x="946"/>
        <item x="155"/>
        <item x="1158"/>
        <item x="1434"/>
        <item x="670"/>
        <item x="665"/>
        <item x="664"/>
        <item x="58"/>
        <item x="57"/>
        <item x="775"/>
        <item x="1084"/>
        <item x="956"/>
        <item x="838"/>
        <item x="1361"/>
        <item x="165"/>
        <item x="166"/>
        <item x="1192"/>
        <item x="1220"/>
        <item x="1221"/>
        <item x="1191"/>
        <item x="1381"/>
        <item x="1379"/>
        <item x="91"/>
        <item x="1070"/>
        <item x="1073"/>
        <item x="196"/>
        <item x="172"/>
        <item x="476"/>
        <item x="157"/>
        <item x="1346"/>
        <item x="661"/>
        <item x="1447"/>
        <item x="1407"/>
        <item x="1514"/>
        <item x="617"/>
        <item x="626"/>
        <item x="474"/>
        <item x="1519"/>
        <item x="672"/>
        <item x="736"/>
        <item x="437"/>
        <item x="282"/>
        <item x="199"/>
        <item x="1363"/>
        <item x="1364"/>
        <item x="276"/>
        <item x="259"/>
        <item x="887"/>
        <item x="771"/>
        <item x="855"/>
        <item x="1013"/>
        <item x="785"/>
        <item x="1057"/>
        <item x="1052"/>
        <item x="1375"/>
        <item x="1100"/>
        <item x="1140"/>
        <item x="774"/>
        <item x="540"/>
        <item x="648"/>
        <item x="468"/>
        <item x="469"/>
        <item x="1133"/>
        <item x="1146"/>
        <item x="558"/>
        <item x="115"/>
        <item x="1356"/>
        <item x="1366"/>
        <item x="1365"/>
        <item x="4"/>
        <item x="1126"/>
        <item x="1029"/>
        <item x="1036"/>
        <item x="1028"/>
        <item x="1035"/>
        <item x="422"/>
        <item x="18"/>
        <item x="613"/>
        <item x="1170"/>
        <item x="1169"/>
        <item x="421"/>
        <item x="696"/>
        <item x="695"/>
        <item x="237"/>
        <item x="236"/>
        <item x="759"/>
        <item x="1451"/>
        <item x="487"/>
        <item x="735"/>
        <item x="727"/>
        <item x="667"/>
        <item x="19"/>
        <item x="479"/>
        <item x="529"/>
        <item x="492"/>
        <item x="477"/>
        <item x="170"/>
        <item x="1517"/>
        <item x="1511"/>
        <item x="951"/>
        <item x="1167"/>
        <item x="600"/>
        <item x="599"/>
        <item x="509"/>
        <item x="508"/>
        <item x="868"/>
        <item x="865"/>
        <item x="1464"/>
        <item x="197"/>
        <item x="198"/>
        <item x="1388"/>
        <item x="1487"/>
        <item x="1496"/>
        <item x="810"/>
        <item x="103"/>
        <item x="203"/>
        <item x="202"/>
        <item x="596"/>
        <item x="283"/>
        <item x="1512"/>
        <item x="1513"/>
        <item x="251"/>
        <item x="252"/>
        <item x="1046"/>
        <item x="1147"/>
        <item x="433"/>
        <item x="1015"/>
        <item x="1107"/>
        <item x="1101"/>
        <item x="1171"/>
        <item x="704"/>
        <item x="705"/>
        <item x="97"/>
        <item x="414"/>
        <item x="1453"/>
        <item x="1081"/>
        <item x="1056"/>
        <item x="1336"/>
        <item x="1337"/>
        <item x="275"/>
        <item x="980"/>
        <item x="606"/>
        <item x="607"/>
        <item x="1306"/>
        <item x="587"/>
        <item x="586"/>
        <item x="1112"/>
        <item x="1062"/>
        <item x="1230"/>
        <item x="907"/>
        <item x="393"/>
        <item x="188"/>
        <item x="189"/>
        <item x="444"/>
        <item x="443"/>
        <item x="1222"/>
        <item x="148"/>
        <item x="147"/>
        <item x="643"/>
        <item x="612"/>
        <item x="1152"/>
        <item x="891"/>
        <item x="889"/>
        <item x="1409"/>
        <item x="56"/>
        <item x="1320"/>
        <item x="1318"/>
        <item x="1319"/>
        <item x="850"/>
        <item x="1509"/>
        <item x="1508"/>
        <item x="949"/>
        <item x="1125"/>
        <item x="1261"/>
        <item x="1260"/>
        <item x="1211"/>
        <item x="1031"/>
        <item x="1182"/>
        <item x="1181"/>
        <item x="979"/>
        <item x="764"/>
        <item x="1423"/>
        <item x="1422"/>
        <item x="752"/>
        <item x="753"/>
        <item x="243"/>
        <item x="241"/>
        <item x="627"/>
        <item x="484"/>
        <item x="1205"/>
        <item x="999"/>
        <item x="903"/>
        <item x="1327"/>
        <item x="1328"/>
        <item x="1392"/>
        <item x="106"/>
        <item x="641"/>
        <item x="1106"/>
        <item x="1105"/>
        <item x="1104"/>
        <item x="944"/>
        <item x="833"/>
        <item x="1240"/>
        <item x="1239"/>
        <item x="1471"/>
        <item x="1473"/>
        <item x="1472"/>
        <item x="205"/>
        <item x="1252"/>
        <item x="769"/>
        <item x="1020"/>
        <item x="1323"/>
        <item x="1321"/>
        <item x="109"/>
        <item x="108"/>
        <item x="71"/>
        <item x="640"/>
        <item x="395"/>
        <item x="1009"/>
        <item x="869"/>
        <item x="1097"/>
        <item x="1096"/>
        <item x="926"/>
        <item x="942"/>
        <item x="941"/>
        <item x="1076"/>
        <item x="1075"/>
        <item x="1077"/>
        <item x="1078"/>
        <item x="831"/>
        <item x="1238"/>
        <item x="520"/>
        <item x="519"/>
        <item x="1454"/>
        <item x="1386"/>
        <item x="1003"/>
        <item x="1004"/>
        <item x="111"/>
        <item x="105"/>
        <item x="917"/>
        <item x="921"/>
        <item x="755"/>
        <item x="352"/>
        <item x="955"/>
        <item x="734"/>
        <item x="733"/>
        <item x="1177"/>
        <item x="1178"/>
        <item x="1317"/>
        <item x="1315"/>
        <item x="950"/>
        <item x="649"/>
        <item x="646"/>
        <item x="658"/>
        <item x="992"/>
        <item x="993"/>
        <item x="1259"/>
        <item x="1258"/>
        <item x="650"/>
        <item x="249"/>
        <item x="1149"/>
        <item x="1151"/>
        <item x="1160"/>
        <item x="288"/>
        <item x="289"/>
        <item x="681"/>
        <item x="373"/>
        <item x="1362"/>
        <item x="1273"/>
        <item x="1272"/>
        <item x="101"/>
        <item x="100"/>
        <item x="95"/>
        <item x="93"/>
        <item x="963"/>
        <item x="885"/>
        <item x="998"/>
        <item x="995"/>
        <item x="486"/>
        <item x="1372"/>
        <item x="1196"/>
        <item x="1193"/>
        <item x="1231"/>
        <item x="1357"/>
        <item x="98"/>
        <item x="68"/>
        <item x="1461"/>
        <item x="522"/>
        <item x="523"/>
        <item x="1495"/>
        <item x="622"/>
        <item x="1446"/>
        <item x="417"/>
        <item x="881"/>
        <item x="557"/>
        <item x="1102"/>
        <item x="1303"/>
        <item x="1019"/>
        <item x="1468"/>
        <item x="824"/>
        <item x="420"/>
        <item x="1165"/>
        <item x="565"/>
        <item x="580"/>
        <item x="566"/>
        <item x="1424"/>
        <item x="1431"/>
        <item x="689"/>
        <item x="1050"/>
        <item x="981"/>
        <item x="966"/>
        <item x="1005"/>
        <item x="387"/>
        <item x="576"/>
        <item x="1001"/>
        <item x="1024"/>
        <item x="1054"/>
        <item x="877"/>
        <item x="1469"/>
        <item x="1023"/>
        <item x="367"/>
        <item x="680"/>
        <item x="66"/>
        <item x="64"/>
        <item x="962"/>
        <item x="94"/>
        <item x="92"/>
        <item x="164"/>
        <item x="1368"/>
        <item x="1369"/>
        <item x="1515"/>
        <item x="1377"/>
        <item x="135"/>
        <item x="1114"/>
        <item x="1270"/>
        <item x="1268"/>
        <item x="623"/>
        <item x="930"/>
        <item x="1033"/>
        <item x="1032"/>
        <item x="757"/>
        <item x="939"/>
        <item x="814"/>
        <item x="815"/>
        <item x="1480"/>
        <item x="682"/>
        <item x="883"/>
        <item x="1111"/>
        <item x="1098"/>
        <item x="1492"/>
        <item x="1489"/>
        <item x="61"/>
        <item x="1083"/>
        <item x="1022"/>
        <item x="215"/>
        <item x="1059"/>
        <item x="341"/>
        <item x="339"/>
        <item x="356"/>
        <item x="1499"/>
        <item x="768"/>
        <item x="416"/>
        <item x="430"/>
        <item x="425"/>
        <item x="642"/>
        <item x="1278"/>
        <item x="1280"/>
        <item x="790"/>
        <item x="559"/>
        <item x="994"/>
        <item x="1189"/>
        <item x="347"/>
        <item x="344"/>
        <item x="258"/>
        <item x="257"/>
        <item x="441"/>
        <item x="575"/>
        <item x="1299"/>
        <item x="1298"/>
        <item x="481"/>
        <item x="351"/>
        <item x="482"/>
        <item x="388"/>
        <item x="379"/>
        <item x="631"/>
        <item x="1329"/>
        <item x="1330"/>
        <item x="50"/>
        <item x="247"/>
        <item x="793"/>
        <item x="1253"/>
        <item x="1254"/>
        <item x="1063"/>
        <item x="130"/>
        <item x="128"/>
        <item x="1055"/>
        <item x="1154"/>
        <item x="591"/>
        <item x="589"/>
        <item x="126"/>
        <item x="489"/>
        <item x="490"/>
        <item x="150"/>
        <item x="149"/>
        <item x="1399"/>
        <item x="1398"/>
        <item x="536"/>
        <item x="535"/>
        <item x="467"/>
        <item x="440"/>
        <item x="439"/>
        <item x="1389"/>
        <item x="1390"/>
        <item x="601"/>
        <item x="598"/>
        <item x="739"/>
        <item x="1093"/>
        <item x="1092"/>
        <item x="564"/>
        <item x="1494"/>
        <item x="588"/>
        <item x="585"/>
        <item x="15"/>
        <item x="678"/>
        <item x="842"/>
        <item x="841"/>
        <item x="783"/>
        <item x="982"/>
        <item x="392"/>
        <item x="1353"/>
        <item x="1411"/>
        <item x="350"/>
        <item x="349"/>
        <item x="253"/>
        <item x="254"/>
        <item x="1229"/>
        <item x="134"/>
        <item x="131"/>
        <item x="1359"/>
        <item x="1360"/>
        <item x="244"/>
        <item x="741"/>
        <item x="742"/>
        <item x="63"/>
        <item x="852"/>
        <item x="261"/>
        <item x="262"/>
        <item x="1226"/>
        <item x="1227"/>
        <item x="927"/>
        <item x="928"/>
        <item x="248"/>
        <item x="240"/>
        <item x="1187"/>
        <item x="1402"/>
        <item x="1313"/>
        <item x="1311"/>
        <item x="230"/>
        <item x="1185"/>
        <item x="1186"/>
        <item x="1203"/>
        <item x="1204"/>
        <item x="677"/>
        <item x="78"/>
        <item x="666"/>
        <item x="940"/>
        <item x="1007"/>
        <item x="1008"/>
        <item x="1064"/>
        <item x="1164"/>
        <item x="1163"/>
        <item x="663"/>
        <item x="1236"/>
        <item x="1237"/>
        <item x="1235"/>
        <item x="821"/>
        <item x="730"/>
        <item x="1338"/>
        <item x="1339"/>
        <item x="1373"/>
        <item x="1370"/>
        <item x="1371"/>
        <item x="271"/>
        <item x="781"/>
        <item x="192"/>
        <item x="193"/>
        <item x="684"/>
        <item x="1507"/>
        <item x="396"/>
        <item x="450"/>
        <item x="1463"/>
        <item x="1462"/>
        <item x="124"/>
        <item x="62"/>
        <item x="142"/>
        <item x="143"/>
        <item x="512"/>
        <item x="59"/>
        <item x="860"/>
        <item x="711"/>
        <item x="709"/>
        <item x="308"/>
        <item x="307"/>
        <item x="908"/>
        <item x="255"/>
        <item x="1159"/>
        <item x="285"/>
        <item x="286"/>
        <item x="295"/>
        <item x="294"/>
        <item x="463"/>
        <item x="462"/>
        <item x="737"/>
        <item x="1244"/>
        <item x="1232"/>
        <item x="1091"/>
        <item x="1089"/>
        <item x="73"/>
        <item x="795"/>
        <item x="1396"/>
        <item x="1393"/>
        <item x="278"/>
        <item x="676"/>
        <item x="385"/>
        <item x="1243"/>
        <item x="1352"/>
        <item x="1405"/>
        <item x="357"/>
        <item x="290"/>
        <item x="293"/>
        <item x="1148"/>
        <item x="898"/>
        <item x="897"/>
        <item x="1122"/>
        <item x="1"/>
        <item x="1174"/>
        <item x="1176"/>
        <item x="808"/>
        <item x="820"/>
        <item x="915"/>
        <item x="570"/>
        <item x="571"/>
        <item x="1210"/>
        <item x="1045"/>
        <item x="1048"/>
        <item x="985"/>
        <item x="488"/>
        <item x="1429"/>
        <item x="1058"/>
        <item x="1027"/>
        <item x="906"/>
        <item x="740"/>
        <item x="1383"/>
        <item x="1384"/>
        <item x="1197"/>
        <item x="17"/>
        <item x="918"/>
        <item x="947"/>
        <item x="919"/>
        <item x="778"/>
        <item x="619"/>
        <item x="618"/>
        <item x="802"/>
        <item x="669"/>
        <item x="1347"/>
        <item x="1349"/>
        <item x="1348"/>
        <item x="1130"/>
        <item x="1131"/>
        <item x="954"/>
        <item x="766"/>
        <item x="975"/>
        <item x="233"/>
        <item x="377"/>
        <item x="277"/>
        <item x="1225"/>
        <item x="1224"/>
        <item x="1066"/>
        <item x="1090"/>
        <item x="491"/>
        <item x="493"/>
        <item x="432"/>
        <item x="1374"/>
        <item x="1427"/>
        <item x="961"/>
        <item x="1095"/>
        <item x="1094"/>
        <item x="1216"/>
        <item x="1215"/>
        <item x="1110"/>
        <item x="1108"/>
        <item x="832"/>
        <item x="1276"/>
        <item x="987"/>
        <item x="53"/>
        <item x="652"/>
        <item x="122"/>
        <item x="1018"/>
        <item x="632"/>
        <item x="263"/>
        <item x="823"/>
        <item x="2"/>
        <item x="0"/>
        <item x="830"/>
        <item x="829"/>
        <item x="636"/>
        <item x="780"/>
        <item x="74"/>
        <item x="226"/>
        <item x="635"/>
        <item x="528"/>
        <item x="997"/>
        <item x="805"/>
        <item x="582"/>
        <item x="748"/>
        <item x="1173"/>
        <item x="1175"/>
        <item x="639"/>
        <item x="298"/>
        <item x="360"/>
        <item x="359"/>
        <item x="1283"/>
        <item x="890"/>
        <item x="1115"/>
        <item x="1444"/>
        <item x="1442"/>
        <item x="688"/>
        <item x="817"/>
        <item x="912"/>
        <item x="909"/>
        <item x="1071"/>
        <item x="1072"/>
        <item x="699"/>
        <item x="916"/>
        <item x="726"/>
        <item x="531"/>
        <item x="530"/>
        <item x="116"/>
        <item x="1438"/>
        <item x="1420"/>
        <item x="1421"/>
        <item x="1397"/>
        <item x="471"/>
        <item x="470"/>
        <item x="798"/>
        <item x="206"/>
        <item x="207"/>
        <item x="693"/>
        <item x="1080"/>
        <item x="1301"/>
        <item x="1294"/>
        <item x="195"/>
        <item x="1017"/>
        <item x="1026"/>
        <item x="1016"/>
        <item x="671"/>
        <item x="227"/>
        <item x="1067"/>
        <item x="968"/>
        <item x="644"/>
        <item x="1291"/>
        <item x="1290"/>
        <item x="1025"/>
        <item x="250"/>
        <item x="602"/>
        <item x="603"/>
        <item x="228"/>
        <item x="229"/>
        <item x="1139"/>
        <item x="1042"/>
        <item x="1041"/>
        <item x="1040"/>
        <item x="1043"/>
        <item x="1061"/>
        <item x="1249"/>
        <item x="114"/>
        <item x="110"/>
        <item x="265"/>
        <item x="46"/>
        <item x="728"/>
        <item x="548"/>
        <item x="549"/>
        <item x="384"/>
        <item x="1068"/>
        <item x="1445"/>
        <item x="1419"/>
        <item x="674"/>
        <item x="140"/>
        <item x="141"/>
        <item x="892"/>
        <item x="104"/>
        <item x="102"/>
        <item x="270"/>
        <item x="690"/>
        <item x="991"/>
        <item x="794"/>
        <item x="132"/>
        <item x="133"/>
        <item x="754"/>
        <item x="788"/>
        <item x="1049"/>
        <item x="48"/>
        <item x="1345"/>
        <item x="160"/>
        <item x="1344"/>
        <item x="902"/>
        <item x="913"/>
        <item x="1109"/>
        <item x="1367"/>
        <item x="1443"/>
        <item x="965"/>
        <item x="964"/>
        <item x="1144"/>
        <item x="1143"/>
        <item x="208"/>
        <item x="1074"/>
        <item x="119"/>
        <item x="984"/>
        <item x="1168"/>
        <item x="1292"/>
        <item x="1293"/>
        <item x="516"/>
        <item x="515"/>
        <item x="527"/>
        <item x="796"/>
        <item x="1452"/>
        <item x="1450"/>
        <item x="447"/>
        <item x="374"/>
        <item x="969"/>
        <item x="1497"/>
        <item x="1490"/>
        <item x="1410"/>
        <item x="1414"/>
        <item x="1491"/>
        <item x="1430"/>
        <item x="556"/>
        <item x="553"/>
        <item x="1267"/>
        <item x="770"/>
        <item x="970"/>
        <item x="971"/>
        <item x="394"/>
        <item x="424"/>
        <item x="1034"/>
        <item x="1038"/>
        <item x="1350"/>
        <item x="1351"/>
        <item x="797"/>
        <item x="804"/>
        <item x="563"/>
        <item x="560"/>
        <item x="272"/>
        <item x="268"/>
        <item x="473"/>
        <item x="1233"/>
        <item x="1234"/>
        <item x="1150"/>
        <item x="284"/>
        <item x="859"/>
        <item x="1501"/>
        <item x="782"/>
        <item x="1255"/>
        <item x="1135"/>
        <item x="1136"/>
        <item x="1155"/>
        <item x="51"/>
        <item x="1503"/>
        <item x="1403"/>
        <item x="1120"/>
        <item x="1435"/>
        <item x="767"/>
        <item x="610"/>
        <item x="934"/>
        <item x="935"/>
        <item x="1466"/>
        <item x="986"/>
        <item x="943"/>
        <item x="514"/>
        <item x="513"/>
        <item x="472"/>
        <item x="806"/>
        <item x="301"/>
        <item x="302"/>
        <item x="864"/>
        <item x="1416"/>
        <item x="1415"/>
        <item x="1457"/>
        <item x="1432"/>
        <item x="1433"/>
        <item x="127"/>
        <item x="187"/>
        <item x="882"/>
        <item x="880"/>
        <item x="668"/>
        <item x="654"/>
        <item x="673"/>
        <item x="1082"/>
        <item x="1069"/>
        <item x="475"/>
        <item x="901"/>
        <item x="840"/>
        <item x="953"/>
        <item x="952"/>
        <item x="1119"/>
        <item x="1118"/>
        <item x="96"/>
        <item x="679"/>
        <item x="107"/>
        <item x="1228"/>
        <item x="1506"/>
        <item x="1483"/>
        <item x="1493"/>
        <item x="872"/>
        <item x="853"/>
        <item x="1060"/>
        <item x="989"/>
        <item x="20"/>
        <item x="200"/>
        <item x="707"/>
        <item x="945"/>
        <item x="112"/>
        <item x="113"/>
        <item x="485"/>
        <item x="694"/>
        <item x="822"/>
        <item x="1478"/>
        <item x="743"/>
        <item x="878"/>
        <item x="879"/>
        <item x="245"/>
        <item x="246"/>
        <item x="936"/>
        <item x="568"/>
        <item x="569"/>
        <item x="628"/>
        <item x="629"/>
        <item x="1141"/>
        <item x="507"/>
        <item x="1166"/>
        <item x="657"/>
        <item x="1271"/>
        <item x="343"/>
        <item x="340"/>
        <item x="1010"/>
        <item x="1047"/>
        <item x="653"/>
        <item x="655"/>
        <item x="1245"/>
        <item x="1246"/>
        <item x="1324"/>
        <item x="1138"/>
        <item x="1137"/>
        <item x="49"/>
        <item x="139"/>
        <item x="614"/>
        <item x="1470"/>
        <item x="386"/>
        <item x="222"/>
        <item x="221"/>
        <item x="1282"/>
        <item x="364"/>
        <item x="1401"/>
        <item x="1184"/>
        <item x="1183"/>
        <item x="911"/>
        <item x="593"/>
        <item x="594"/>
        <item x="182"/>
        <item x="181"/>
        <item x="1326"/>
        <item x="1343"/>
        <item x="1325"/>
        <item x="562"/>
        <item x="561"/>
        <item x="1477"/>
        <item x="1475"/>
        <item x="858"/>
        <item x="212"/>
        <item x="238"/>
        <item x="210"/>
        <item x="662"/>
        <item x="266"/>
        <item x="264"/>
        <item x="521"/>
        <item x="518"/>
        <item x="153"/>
        <item x="152"/>
        <item x="204"/>
        <item x="1188"/>
        <item x="862"/>
        <item x="1145"/>
        <item x="937"/>
        <item x="738"/>
        <item x="708"/>
        <item x="706"/>
        <item x="819"/>
        <item x="900"/>
        <item x="67"/>
        <item x="1382"/>
        <item x="1053"/>
        <item x="214"/>
        <item x="216"/>
        <item x="480"/>
        <item x="478"/>
        <item x="1248"/>
        <item x="1247"/>
        <item x="1124"/>
        <item x="1123"/>
        <item x="168"/>
        <item x="169"/>
        <item x="761"/>
        <item x="1213"/>
        <item x="839"/>
        <item x="837"/>
        <item x="851"/>
        <item x="427"/>
        <item x="1355"/>
        <item x="120"/>
        <item x="209"/>
        <item x="732"/>
        <item x="291"/>
        <item x="292"/>
        <item x="1302"/>
        <item x="1300"/>
        <item x="1269"/>
        <item x="3"/>
        <item x="517"/>
        <item x="526"/>
        <item x="232"/>
        <item x="611"/>
        <item x="744"/>
        <item x="72"/>
        <item x="1014"/>
        <item x="967"/>
        <item x="875"/>
        <item x="959"/>
        <item x="960"/>
        <item x="1441"/>
        <item x="1440"/>
        <item x="1387"/>
        <item x="1385"/>
        <item x="1455"/>
        <item x="1412"/>
        <item x="1413"/>
        <item x="1297"/>
        <item x="584"/>
        <item x="1241"/>
        <item x="47"/>
        <item x="1437"/>
        <item x="988"/>
        <item x="621"/>
        <item x="16"/>
        <item x="1426"/>
        <item x="1194"/>
        <item x="1195"/>
        <item x="1285"/>
        <item x="1284"/>
        <item x="1358"/>
        <item x="1153"/>
        <item x="1134"/>
        <item x="161"/>
        <item x="159"/>
        <item x="442"/>
        <item x="809"/>
        <item x="163"/>
        <item x="123"/>
        <item x="756"/>
        <item x="803"/>
        <item x="1417"/>
        <item x="1378"/>
        <item x="1425"/>
        <item x="1380"/>
        <item x="1250"/>
        <item x="1251"/>
        <item x="137"/>
        <item x="692"/>
        <item x="920"/>
        <item x="807"/>
        <item x="700"/>
        <item x="675"/>
        <item x="776"/>
        <item x="910"/>
        <item x="1209"/>
        <item x="1207"/>
        <item x="698"/>
        <item x="697"/>
        <item x="773"/>
        <item x="1002"/>
        <item x="419"/>
        <item x="1340"/>
        <item x="1199"/>
        <item x="1198"/>
        <item x="577"/>
        <item x="578"/>
        <item x="1460"/>
        <item x="1428"/>
        <item x="813"/>
        <item x="886"/>
        <item x="605"/>
        <item x="604"/>
        <item x="660"/>
        <item x="361"/>
        <item x="710"/>
        <item x="873"/>
        <item x="871"/>
        <item x="725"/>
        <item x="825"/>
        <item x="309"/>
        <item x="973"/>
        <item x="972"/>
        <item x="786"/>
        <item x="787"/>
        <item x="702"/>
        <item x="848"/>
        <item x="828"/>
        <item x="224"/>
        <item x="223"/>
        <item x="338"/>
        <item x="337"/>
        <item x="8"/>
        <item x="121"/>
        <item x="144"/>
        <item x="158"/>
        <item x="1281"/>
        <item x="1279"/>
        <item x="799"/>
        <item x="800"/>
        <item x="231"/>
        <item x="1465"/>
        <item x="1275"/>
        <item x="685"/>
        <item x="1307"/>
        <item x="1341"/>
        <item x="1510"/>
        <item x="996"/>
        <item x="1439"/>
        <item x="1277"/>
        <item x="634"/>
        <item x="633"/>
        <item x="70"/>
        <item x="445"/>
        <item x="438"/>
        <item x="436"/>
        <item x="1256"/>
        <item x="1257"/>
        <item x="857"/>
        <item x="874"/>
        <item x="615"/>
        <item x="423"/>
        <item x="218"/>
        <item x="731"/>
        <item x="572"/>
        <item x="990"/>
        <item x="1190"/>
        <item x="77"/>
        <item x="884"/>
        <item x="1079"/>
        <item x="1217"/>
        <item x="1518"/>
        <item x="1006"/>
        <item x="750"/>
        <item x="355"/>
        <item x="1331"/>
        <item x="1180"/>
        <item x="1179"/>
        <item x="1116"/>
        <item x="191"/>
        <item x="502"/>
        <item x="501"/>
        <item x="274"/>
        <item x="273"/>
        <item x="1086"/>
        <item x="1127"/>
        <item x="834"/>
        <item x="866"/>
        <item x="777"/>
        <item x="397"/>
        <item x="1202"/>
        <item x="1200"/>
        <item x="1201"/>
        <item x="1242"/>
        <item x="1305"/>
        <item x="1304"/>
        <item x="466"/>
        <item x="590"/>
        <item x="592"/>
        <item x="760"/>
        <item x="1212"/>
        <item x="905"/>
        <item x="296"/>
        <item x="297"/>
        <item x="449"/>
        <item x="448"/>
        <item x="156"/>
        <item x="118"/>
        <item x="369"/>
        <item x="368"/>
        <item x="691"/>
        <item x="896"/>
        <item x="380"/>
        <item x="464"/>
        <item x="378"/>
        <item x="863"/>
        <item x="845"/>
        <item x="145"/>
        <item x="1376"/>
        <item x="281"/>
        <item x="219"/>
        <item x="125"/>
        <item x="567"/>
        <item x="801"/>
        <item x="846"/>
        <item x="925"/>
        <item x="69"/>
        <item x="1354"/>
        <item x="616"/>
        <item x="554"/>
        <item x="555"/>
        <item x="579"/>
        <item x="1400"/>
        <item x="225"/>
        <item x="345"/>
        <item x="342"/>
        <item x="957"/>
        <item x="1342"/>
        <item x="1332"/>
        <item x="816"/>
        <item x="812"/>
        <item x="894"/>
        <item x="895"/>
        <item x="7"/>
        <item x="1172"/>
        <item x="978"/>
        <item x="977"/>
        <item x="510"/>
        <item x="129"/>
        <item x="426"/>
        <item x="827"/>
        <item x="826"/>
        <item x="758"/>
        <item x="854"/>
        <item x="1502"/>
        <item x="1456"/>
        <item x="686"/>
        <item x="597"/>
        <item x="625"/>
        <item x="624"/>
        <item x="366"/>
        <item x="924"/>
        <item x="923"/>
        <item x="938"/>
        <item x="922"/>
        <item x="904"/>
        <item x="1218"/>
        <item x="1219"/>
        <item x="1312"/>
        <item x="542"/>
        <item x="541"/>
        <item x="958"/>
        <item x="1039"/>
        <item x="1037"/>
        <item x="551"/>
        <item x="1206"/>
        <item x="849"/>
        <item x="434"/>
        <item x="1264"/>
        <item x="1265"/>
        <item x="1296"/>
        <item x="1295"/>
        <item x="1482"/>
        <item x="1481"/>
        <item x="1223"/>
        <item x="99"/>
        <item x="322"/>
        <item x="174"/>
        <item x="180"/>
        <item x="75"/>
        <item x="331"/>
        <item x="500"/>
        <item x="533"/>
        <item x="461"/>
        <item x="84"/>
        <item x="320"/>
        <item x="1274"/>
        <item x="402"/>
        <item x="175"/>
        <item x="792"/>
        <item x="24"/>
        <item x="546"/>
        <item x="721"/>
        <item x="43"/>
        <item x="33"/>
        <item x="720"/>
        <item x="543"/>
        <item x="327"/>
        <item x="28"/>
        <item x="329"/>
        <item x="415"/>
        <item x="178"/>
        <item x="409"/>
        <item x="405"/>
        <item x="86"/>
        <item x="353"/>
        <item x="42"/>
        <item x="452"/>
        <item x="323"/>
        <item x="82"/>
        <item x="454"/>
        <item x="458"/>
        <item x="460"/>
        <item x="716"/>
        <item x="497"/>
        <item x="363"/>
        <item x="186"/>
        <item x="496"/>
        <item x="9"/>
        <item x="14"/>
        <item x="390"/>
        <item x="321"/>
        <item x="459"/>
        <item x="372"/>
        <item x="389"/>
        <item x="534"/>
        <item x="177"/>
        <item x="162"/>
        <item x="411"/>
        <item x="717"/>
        <item x="179"/>
        <item x="408"/>
        <item x="311"/>
        <item x="483"/>
        <item x="260"/>
        <item x="382"/>
        <item x="722"/>
        <item x="45"/>
        <item x="173"/>
        <item x="334"/>
        <item x="435"/>
        <item x="456"/>
        <item x="404"/>
        <item x="30"/>
        <item x="185"/>
        <item x="184"/>
        <item x="747"/>
        <item x="547"/>
        <item x="453"/>
        <item x="328"/>
        <item x="499"/>
        <item x="25"/>
        <item x="723"/>
        <item x="403"/>
        <item x="304"/>
        <item x="13"/>
        <item x="715"/>
        <item x="713"/>
        <item x="718"/>
        <item x="354"/>
        <item x="712"/>
        <item x="317"/>
        <item x="544"/>
        <item x="545"/>
        <item x="724"/>
        <item x="89"/>
        <item x="85"/>
        <item x="90"/>
        <item x="375"/>
        <item x="383"/>
        <item x="381"/>
        <item x="29"/>
        <item x="1156"/>
        <item x="410"/>
        <item x="333"/>
        <item x="406"/>
        <item x="538"/>
        <item x="398"/>
        <item x="362"/>
        <item x="299"/>
        <item x="6"/>
        <item x="183"/>
        <item x="358"/>
        <item x="190"/>
        <item x="279"/>
        <item x="287"/>
        <item x="44"/>
        <item x="413"/>
        <item x="315"/>
        <item x="498"/>
        <item x="32"/>
        <item x="537"/>
        <item x="399"/>
        <item x="27"/>
        <item x="719"/>
        <item x="5"/>
        <item x="39"/>
        <item x="457"/>
        <item x="532"/>
        <item x="310"/>
        <item x="22"/>
        <item x="41"/>
        <item x="21"/>
        <item x="34"/>
        <item x="23"/>
        <item x="154"/>
        <item x="35"/>
        <item x="31"/>
        <item x="335"/>
        <item x="332"/>
        <item x="746"/>
        <item x="539"/>
        <item x="401"/>
        <item x="714"/>
        <item x="400"/>
        <item x="171"/>
        <item x="81"/>
        <item x="412"/>
        <item x="326"/>
        <item x="87"/>
        <item x="88"/>
        <item x="151"/>
        <item x="789"/>
        <item x="391"/>
        <item x="10"/>
        <item x="314"/>
        <item x="870"/>
        <item x="1051"/>
        <item x="407"/>
        <item x="888"/>
        <item x="455"/>
        <item x="336"/>
        <item x="330"/>
        <item x="312"/>
        <item x="280"/>
        <item x="494"/>
        <item x="167"/>
        <item x="80"/>
        <item x="313"/>
        <item x="595"/>
        <item x="300"/>
        <item x="83"/>
        <item x="429"/>
        <item x="117"/>
        <item x="79"/>
        <item x="324"/>
        <item x="319"/>
        <item x="303"/>
        <item x="451"/>
        <item x="306"/>
        <item x="176"/>
        <item t="default"/>
      </items>
    </pivotField>
    <pivotField showAll="0"/>
    <pivotField axis="axisPage" multipleItemSelectionAllowed="1" showAll="0">
      <items count="3">
        <item x="0"/>
        <item h="1" x="1"/>
        <item t="default"/>
      </items>
    </pivotField>
    <pivotField showAll="0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showAll="0"/>
    <pivotField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5">
        <item x="3"/>
        <item x="1"/>
        <item x="0"/>
        <item x="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-1"/>
  </pageFields>
  <dataFields count="3">
    <dataField name="Average of like_count" fld="11" subtotal="average" baseField="0" baseItem="0"/>
    <dataField name="Average of reply_count" fld="12" subtotal="average" baseField="0" baseItem="0"/>
    <dataField name="Average of retweet_count" fld="13" subtotal="average" baseField="0" baseItem="0"/>
  </dataFields>
  <formats count="4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fieldPosition="0">
        <references count="1">
          <reference field="5" count="0"/>
        </references>
      </pivotArea>
    </format>
    <format dxfId="8">
      <pivotArea dataOnly="0" labelOnly="1" outline="0" fieldPosition="0">
        <references count="1">
          <reference field="5" count="0"/>
        </references>
      </pivotArea>
    </format>
  </formats>
  <chartFormats count="3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384045-7090-624C-80F5-9A50CF8215B0}" name="Table3" displayName="Table3" ref="A1:T734" totalsRowShown="0" headerRowBorderDxfId="45" tableBorderDxfId="44">
  <autoFilter ref="A1:T734" xr:uid="{AF384045-7090-624C-80F5-9A50CF8215B0}">
    <filterColumn colId="5">
      <filters>
        <filter val="After Recall"/>
      </filters>
    </filterColumn>
  </autoFilter>
  <sortState xmlns:xlrd2="http://schemas.microsoft.com/office/spreadsheetml/2017/richdata2" ref="A535:T734">
    <sortCondition descending="1" ref="N1:N734"/>
  </sortState>
  <tableColumns count="20">
    <tableColumn id="1" xr3:uid="{CACDE2C1-8BD5-B04B-8C9A-3F6682E3A754}" name="tweet_url"/>
    <tableColumn id="2" xr3:uid="{63CAED49-0159-284E-945D-A415594FC118}" name="author_name"/>
    <tableColumn id="3" xr3:uid="{BE688271-6666-F34C-BF2D-64EBFE9B7AF5}" name="author_id"/>
    <tableColumn id="4" xr3:uid="{06EBDA7B-6ADC-EC42-AAAA-F7F5D0C5E1CC}" name="text"/>
    <tableColumn id="5" xr3:uid="{0EBA78E0-9764-9F41-B33B-DAA52FE19399}" name="created_at"/>
    <tableColumn id="20" xr3:uid="{EB1CB4F2-0D34-FF43-B61E-A0263DEF7991}" name="Discretise Date (Period)" dataDxfId="43">
      <calculatedColumnFormula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calculatedColumnFormula>
    </tableColumn>
    <tableColumn id="6" xr3:uid="{91B97652-2B13-154B-A8E5-48B4939471E7}" name="Date posted" dataDxfId="42">
      <calculatedColumnFormula>DATEVALUE((LEFT(E2,10)))</calculatedColumnFormula>
    </tableColumn>
    <tableColumn id="7" xr3:uid="{79AD1576-1576-6245-A298-E857A29EFF0B}" name="Time posted" dataDxfId="41">
      <calculatedColumnFormula>MID(E2,12,8)</calculatedColumnFormula>
    </tableColumn>
    <tableColumn id="8" xr3:uid="{71A02253-327E-4D4F-ACEF-F3CAF1074FAB}" name="Discretised Timing" dataDxfId="40">
      <calculatedColumnFormula>IF(HOUR(H2)&lt;7,"Early morning",
IF(HOUR(H2)&lt;11,"Morning",
IF(HOUR(H2)&lt;14,"Mid-day",
IF(HOUR(H2)&lt;18,"Afternoon","Evening"))))</calculatedColumnFormula>
    </tableColumn>
    <tableColumn id="9" xr3:uid="{361ECE99-3C2D-9245-B794-DF569C4BD9FA}" name="reply_to"/>
    <tableColumn id="10" xr3:uid="{015ADD0D-63F7-784E-9A2D-BEC1AC91669E}" name="retweet_from"/>
    <tableColumn id="11" xr3:uid="{6A5436B3-FF28-C04D-BA07-2A81F1B96DD4}" name="like_count"/>
    <tableColumn id="12" xr3:uid="{25106444-9D5B-1B4C-99F8-554F4E9BF287}" name="reply_count"/>
    <tableColumn id="13" xr3:uid="{0E4DC8FF-7C86-7C45-9229-688C95220465}" name="retweet_count"/>
    <tableColumn id="14" xr3:uid="{A12C8AC8-B55E-024F-ACD2-C6089B8D30FB}" name="Total Engagement" dataDxfId="39">
      <calculatedColumnFormula>L2+M2+N2</calculatedColumnFormula>
    </tableColumn>
    <tableColumn id="15" xr3:uid="{B3430F54-A417-2D4E-8D37-D8406DBC0E31}" name="Engagement Level" dataDxfId="38">
      <calculatedColumnFormula>IF(O2&lt;1,"No engagement", IF(O2&lt;5,"Low engagement", IF(O2&lt;10,"Moderate engagement", "High engagement")))</calculatedColumnFormula>
    </tableColumn>
    <tableColumn id="16" xr3:uid="{C7C223DB-6513-7349-ADEB-A82F4EF1726A}" name="photo"/>
    <tableColumn id="17" xr3:uid="{FC8E142D-63CF-A34B-842B-8FA8065C31B1}" name="video"/>
    <tableColumn id="18" xr3:uid="{E469C9C7-05C5-5D4E-AD21-3F3DB050CD5C}" name="link"/>
    <tableColumn id="19" xr3:uid="{38FFD15E-646F-5B49-91E9-54E17FE583B7}" name="Media Type" dataDxfId="37">
      <calculatedColumnFormula>IF(Q2=TRUE,"Photo",IF(R2=TRUE,"Video",IF(S2=TRUE,"Link",("Text only"))))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EE1E8A-B1EC-AC46-B7BF-F4A8D940F920}" name="Table7" displayName="Table7" ref="A1:D7" totalsRowShown="0" headerRowDxfId="30" dataDxfId="29">
  <autoFilter ref="A1:D7" xr:uid="{27EE1E8A-B1EC-AC46-B7BF-F4A8D940F920}"/>
  <tableColumns count="4">
    <tableColumn id="1" xr3:uid="{58959466-CA3B-D948-B312-3C5558211319}" name="Row Labels" dataDxfId="28"/>
    <tableColumn id="2" xr3:uid="{82921959-5E64-5140-8FF6-0DC3D5AC431B}" name="Average of like_count" dataDxfId="27"/>
    <tableColumn id="3" xr3:uid="{E014CD4E-A1AA-E34C-8FF4-E1D69A79161A}" name="Average of reply_count" dataDxfId="26"/>
    <tableColumn id="4" xr3:uid="{3F299547-BA53-6340-8222-8F14996481EF}" name="Average of retweet_count" dataDxfId="2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B7CEDA-5E1C-3645-9A5D-F3984310509B}" name="Table2" displayName="Table2" ref="A1:T1523" totalsRowShown="0" headerRowDxfId="24" headerRowBorderDxfId="23" tableBorderDxfId="22">
  <autoFilter ref="A1:T1523" xr:uid="{68B7CEDA-5E1C-3645-9A5D-F3984310509B}">
    <filterColumn colId="8">
      <filters>
        <filter val="Early morning"/>
        <filter val="Morning"/>
      </filters>
    </filterColumn>
  </autoFilter>
  <sortState xmlns:xlrd2="http://schemas.microsoft.com/office/spreadsheetml/2017/richdata2" ref="A2:T1523">
    <sortCondition descending="1" ref="N1:N1523"/>
  </sortState>
  <tableColumns count="20">
    <tableColumn id="1" xr3:uid="{3C85CE1E-DA47-B94A-B0E6-5E846EE0968B}" name="tweet_url"/>
    <tableColumn id="2" xr3:uid="{398B5C6D-1D9E-754C-B610-7FBE0153F7CF}" name="author_name"/>
    <tableColumn id="3" xr3:uid="{4071759B-B491-5D45-B6CC-19B7DEC19EA1}" name="author_id"/>
    <tableColumn id="4" xr3:uid="{9FFFCA3A-3B00-B446-B64E-1D926BA9B0DC}" name="text"/>
    <tableColumn id="5" xr3:uid="{A3F7DAD4-BD29-7149-94FC-E570CC8220FA}" name="created_at" dataDxfId="21"/>
    <tableColumn id="20" xr3:uid="{42AAAA82-7093-F646-B582-9CB2F34A4FD3}" name="Discretised Date (Period)">
      <calculatedColumnFormula>IF(Table2[[#This Row],[Date posted]]&lt; DATE(2015,9,18),"Before Crisis","During Crisis")</calculatedColumnFormula>
    </tableColumn>
    <tableColumn id="6" xr3:uid="{AF4A3694-1083-684D-AB49-7091AC18F7F6}" name="Date posted" dataDxfId="20">
      <calculatedColumnFormula>DATEVALUE(LEFT(E2,10))</calculatedColumnFormula>
    </tableColumn>
    <tableColumn id="7" xr3:uid="{436AFB42-652C-DF4A-93DE-DE73D68BA697}" name="Time posted" dataDxfId="19">
      <calculatedColumnFormula>MID(E2,12,8)</calculatedColumnFormula>
    </tableColumn>
    <tableColumn id="8" xr3:uid="{089F3B6F-9F12-2C40-B4D7-7BF32AAFC5B5}" name="Discretised Timing" dataDxfId="18">
      <calculatedColumnFormula>IF(HOUR(H2)&lt;7,"Early morning",
IF(HOUR(H2)&lt;11,"Morning",
IF(HOUR(H2)&lt;14,"Mid-day",
IF(HOUR(H2)&lt;18,"Afternoon","Evening"))))</calculatedColumnFormula>
    </tableColumn>
    <tableColumn id="9" xr3:uid="{BB7A5D80-01DF-AC45-998D-AED8530EC750}" name="reply_to"/>
    <tableColumn id="10" xr3:uid="{EDDB7371-8CAB-A449-91B7-E073F7351ED9}" name="retweet_from"/>
    <tableColumn id="11" xr3:uid="{3B1EAB0C-C016-0F4A-BAE9-03463206D00C}" name="like_count" dataDxfId="17"/>
    <tableColumn id="12" xr3:uid="{5F7725E4-BC79-2B4B-A737-3CD54650357B}" name="reply_count" dataDxfId="16"/>
    <tableColumn id="13" xr3:uid="{F3360FE8-3F12-AA46-B25F-CA1F1C9E8B8D}" name="retweet_count" dataDxfId="15"/>
    <tableColumn id="14" xr3:uid="{7EFFA305-1FCD-7145-9BDF-439003C2EC93}" name="Total engagement" dataDxfId="14">
      <calculatedColumnFormula>L2+M2+N2</calculatedColumnFormula>
    </tableColumn>
    <tableColumn id="15" xr3:uid="{668B4C00-52A4-C743-9E34-BE9B90A9941B}" name="Engagement Level" dataDxfId="13">
      <calculatedColumnFormula>IF(O2&lt;1,"No engagement", IF(O2&lt;5,"Low engagement", IF(O2&lt;10,"Moderate engagement", "High engagement")))</calculatedColumnFormula>
    </tableColumn>
    <tableColumn id="16" xr3:uid="{8F4C49A6-080F-684A-87E1-D993D8579B04}" name="photo"/>
    <tableColumn id="17" xr3:uid="{8C211ABA-792C-AB44-B10A-3A3E58C49228}" name="video"/>
    <tableColumn id="18" xr3:uid="{506198D7-0D26-C944-8EAA-F19CC4653EE0}" name="link"/>
    <tableColumn id="19" xr3:uid="{6F61ADD1-3F40-014E-9520-4D73222A7D94}" name="Media Type" dataDxfId="12">
      <calculatedColumnFormula>IF(Q2=TRUE,"Photo",
    IF(R2=TRUE,"Video",
        IF(S2=TRUE,"Link","Text only")))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x.com/Toyota/status/10237656213" TargetMode="External"/><Relationship Id="rId1" Type="http://schemas.openxmlformats.org/officeDocument/2006/relationships/hyperlink" Target="https://x.com/Toyota/status/209211662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twitter.com/VW/status/618067330237489152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E82A-E7B0-7F4F-8E0F-04084AD9156B}">
  <dimension ref="A1:T734"/>
  <sheetViews>
    <sheetView tabSelected="1" zoomScale="84" zoomScaleNormal="120" workbookViewId="0">
      <selection activeCell="A539" sqref="A539"/>
    </sheetView>
  </sheetViews>
  <sheetFormatPr baseColWidth="10" defaultColWidth="8.83203125" defaultRowHeight="15" x14ac:dyDescent="0.2"/>
  <cols>
    <col min="1" max="1" width="35" bestFit="1" customWidth="1"/>
    <col min="2" max="2" width="13.83203125" customWidth="1"/>
    <col min="3" max="3" width="11" customWidth="1"/>
    <col min="4" max="4" width="116.6640625" bestFit="1" customWidth="1"/>
    <col min="5" max="5" width="22.6640625" hidden="1" customWidth="1"/>
    <col min="6" max="6" width="22.6640625" style="29" customWidth="1"/>
    <col min="7" max="7" width="15.5" style="6" hidden="1" customWidth="1"/>
    <col min="8" max="8" width="15.6640625" style="7" hidden="1" customWidth="1"/>
    <col min="9" max="9" width="20.33203125" style="8" hidden="1" customWidth="1"/>
    <col min="10" max="10" width="15.6640625" bestFit="1" customWidth="1"/>
    <col min="11" max="11" width="17" bestFit="1" customWidth="1"/>
    <col min="12" max="12" width="11.5" customWidth="1"/>
    <col min="13" max="13" width="13.6640625" customWidth="1"/>
    <col min="14" max="14" width="13" customWidth="1"/>
    <col min="15" max="15" width="17.1640625" style="4" customWidth="1"/>
    <col min="16" max="16" width="18.1640625" style="5" bestFit="1" customWidth="1"/>
    <col min="20" max="20" width="12.5" style="16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28" t="s">
        <v>7300</v>
      </c>
      <c r="G1" s="11" t="s">
        <v>2361</v>
      </c>
      <c r="H1" s="12" t="s">
        <v>2360</v>
      </c>
      <c r="I1" s="13" t="s">
        <v>7291</v>
      </c>
      <c r="J1" s="10" t="s">
        <v>5</v>
      </c>
      <c r="K1" s="1" t="s">
        <v>6</v>
      </c>
      <c r="L1" s="1" t="s">
        <v>7</v>
      </c>
      <c r="M1" s="1" t="s">
        <v>8</v>
      </c>
      <c r="N1" s="9" t="s">
        <v>9</v>
      </c>
      <c r="O1" s="14" t="s">
        <v>2362</v>
      </c>
      <c r="P1" s="15" t="s">
        <v>2363</v>
      </c>
      <c r="Q1" s="10" t="s">
        <v>10</v>
      </c>
      <c r="R1" s="1" t="s">
        <v>11</v>
      </c>
      <c r="S1" s="9" t="s">
        <v>12</v>
      </c>
      <c r="T1" s="23" t="s">
        <v>7292</v>
      </c>
    </row>
    <row r="2" spans="1:20" hidden="1" x14ac:dyDescent="0.2">
      <c r="A2" s="31" t="s">
        <v>2248</v>
      </c>
      <c r="B2" t="s">
        <v>14</v>
      </c>
      <c r="C2" t="s">
        <v>15</v>
      </c>
      <c r="D2" t="s">
        <v>2249</v>
      </c>
      <c r="E2" t="s">
        <v>2250</v>
      </c>
      <c r="F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" s="27">
        <f t="shared" ref="G2:G65" si="0">DATEVALUE((LEFT(E2,10)))</f>
        <v>39973</v>
      </c>
      <c r="H2" s="7" t="str">
        <f t="shared" ref="H2:H65" si="1">MID(E2,12,8)</f>
        <v>17:40:21</v>
      </c>
      <c r="I2" s="8" t="str">
        <f t="shared" ref="I2:I65" si="2">IF(HOUR(H2)&lt;7,"Early morning",
IF(HOUR(H2)&lt;11,"Morning",
IF(HOUR(H2)&lt;14,"Mid-day",
IF(HOUR(H2)&lt;18,"Afternoon","Evening"))))</f>
        <v>Afternoon</v>
      </c>
      <c r="L2">
        <v>2</v>
      </c>
      <c r="M2">
        <v>0</v>
      </c>
      <c r="N2">
        <v>0</v>
      </c>
      <c r="O2" s="4">
        <f t="shared" ref="O2:O65" si="3">L2+M2+N2</f>
        <v>2</v>
      </c>
      <c r="P2" s="5" t="str">
        <f t="shared" ref="P2:P65" si="4">IF(O2&lt;1,"No engagement", IF(O2&lt;5,"Low engagement", IF(O2&lt;10,"Moderate engagement", "High engagement")))</f>
        <v>Low engagement</v>
      </c>
      <c r="Q2" t="b">
        <v>0</v>
      </c>
      <c r="R2" t="b">
        <v>0</v>
      </c>
      <c r="S2" t="b">
        <v>1</v>
      </c>
      <c r="T2" s="24" t="str">
        <f t="shared" ref="T2:T65" si="5">IF(Q2=TRUE,"Photo",IF(R2=TRUE,"Video",IF(S2=TRUE,"Link",("Text only"))))</f>
        <v>Link</v>
      </c>
    </row>
    <row r="3" spans="1:20" hidden="1" x14ac:dyDescent="0.2">
      <c r="A3" t="s">
        <v>2109</v>
      </c>
      <c r="B3" t="s">
        <v>14</v>
      </c>
      <c r="C3" t="s">
        <v>15</v>
      </c>
      <c r="D3" t="s">
        <v>2110</v>
      </c>
      <c r="E3" t="s">
        <v>2111</v>
      </c>
      <c r="F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" s="27">
        <f t="shared" si="0"/>
        <v>39995</v>
      </c>
      <c r="H3" s="7" t="str">
        <f t="shared" si="1"/>
        <v>16:44:58</v>
      </c>
      <c r="I3" s="8" t="str">
        <f t="shared" si="2"/>
        <v>Afternoon</v>
      </c>
      <c r="L3">
        <v>2</v>
      </c>
      <c r="M3">
        <v>0</v>
      </c>
      <c r="N3">
        <v>0</v>
      </c>
      <c r="O3" s="4">
        <f t="shared" si="3"/>
        <v>2</v>
      </c>
      <c r="P3" s="5" t="str">
        <f t="shared" si="4"/>
        <v>Low engagement</v>
      </c>
      <c r="Q3" t="b">
        <v>0</v>
      </c>
      <c r="R3" t="b">
        <v>0</v>
      </c>
      <c r="S3" t="b">
        <v>1</v>
      </c>
      <c r="T3" s="24" t="str">
        <f t="shared" si="5"/>
        <v>Link</v>
      </c>
    </row>
    <row r="4" spans="1:20" hidden="1" x14ac:dyDescent="0.2">
      <c r="A4" t="s">
        <v>1891</v>
      </c>
      <c r="B4" t="s">
        <v>14</v>
      </c>
      <c r="C4" t="s">
        <v>15</v>
      </c>
      <c r="D4" t="s">
        <v>1892</v>
      </c>
      <c r="E4" t="s">
        <v>1893</v>
      </c>
      <c r="F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" s="27">
        <f t="shared" si="0"/>
        <v>40031</v>
      </c>
      <c r="H4" s="7" t="str">
        <f t="shared" si="1"/>
        <v>17:36:27</v>
      </c>
      <c r="I4" s="8" t="str">
        <f t="shared" si="2"/>
        <v>Afternoon</v>
      </c>
      <c r="L4">
        <v>2</v>
      </c>
      <c r="M4">
        <v>0</v>
      </c>
      <c r="N4">
        <v>0</v>
      </c>
      <c r="O4" s="4">
        <f t="shared" si="3"/>
        <v>2</v>
      </c>
      <c r="P4" s="5" t="str">
        <f t="shared" si="4"/>
        <v>Low engagement</v>
      </c>
      <c r="Q4" t="b">
        <v>0</v>
      </c>
      <c r="R4" t="b">
        <v>0</v>
      </c>
      <c r="S4" t="b">
        <v>1</v>
      </c>
      <c r="T4" s="24" t="str">
        <f t="shared" si="5"/>
        <v>Link</v>
      </c>
    </row>
    <row r="5" spans="1:20" hidden="1" x14ac:dyDescent="0.2">
      <c r="A5" t="s">
        <v>1883</v>
      </c>
      <c r="B5" t="s">
        <v>14</v>
      </c>
      <c r="C5" t="s">
        <v>15</v>
      </c>
      <c r="D5" t="s">
        <v>1884</v>
      </c>
      <c r="E5" t="s">
        <v>1885</v>
      </c>
      <c r="F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" s="27">
        <f t="shared" si="0"/>
        <v>40036</v>
      </c>
      <c r="H5" s="7" t="str">
        <f t="shared" si="1"/>
        <v>16:52:26</v>
      </c>
      <c r="I5" s="8" t="str">
        <f t="shared" si="2"/>
        <v>Afternoon</v>
      </c>
      <c r="L5">
        <v>2</v>
      </c>
      <c r="M5">
        <v>0</v>
      </c>
      <c r="N5">
        <v>0</v>
      </c>
      <c r="O5" s="4">
        <f t="shared" si="3"/>
        <v>2</v>
      </c>
      <c r="P5" s="5" t="str">
        <f t="shared" si="4"/>
        <v>Low engagement</v>
      </c>
      <c r="Q5" t="b">
        <v>0</v>
      </c>
      <c r="R5" t="b">
        <v>0</v>
      </c>
      <c r="S5" t="b">
        <v>1</v>
      </c>
      <c r="T5" s="24" t="str">
        <f t="shared" si="5"/>
        <v>Link</v>
      </c>
    </row>
    <row r="6" spans="1:20" hidden="1" x14ac:dyDescent="0.2">
      <c r="A6" t="s">
        <v>1796</v>
      </c>
      <c r="B6" t="s">
        <v>14</v>
      </c>
      <c r="C6" t="s">
        <v>15</v>
      </c>
      <c r="D6" t="s">
        <v>1797</v>
      </c>
      <c r="E6" t="s">
        <v>1798</v>
      </c>
      <c r="F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" s="27">
        <f t="shared" si="0"/>
        <v>40052</v>
      </c>
      <c r="H6" s="7" t="str">
        <f t="shared" si="1"/>
        <v>16:13:02</v>
      </c>
      <c r="I6" s="8" t="str">
        <f t="shared" si="2"/>
        <v>Afternoon</v>
      </c>
      <c r="L6">
        <v>2</v>
      </c>
      <c r="M6">
        <v>0</v>
      </c>
      <c r="N6">
        <v>0</v>
      </c>
      <c r="O6" s="4">
        <f t="shared" si="3"/>
        <v>2</v>
      </c>
      <c r="P6" s="5" t="str">
        <f t="shared" si="4"/>
        <v>Low engagement</v>
      </c>
      <c r="Q6" t="b">
        <v>0</v>
      </c>
      <c r="R6" t="b">
        <v>0</v>
      </c>
      <c r="S6" t="b">
        <v>1</v>
      </c>
      <c r="T6" s="24" t="str">
        <f t="shared" si="5"/>
        <v>Link</v>
      </c>
    </row>
    <row r="7" spans="1:20" hidden="1" x14ac:dyDescent="0.2">
      <c r="A7" t="s">
        <v>1643</v>
      </c>
      <c r="B7" t="s">
        <v>14</v>
      </c>
      <c r="C7" t="s">
        <v>15</v>
      </c>
      <c r="D7" t="s">
        <v>1644</v>
      </c>
      <c r="E7" t="s">
        <v>1645</v>
      </c>
      <c r="F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" s="27">
        <f t="shared" si="0"/>
        <v>40079</v>
      </c>
      <c r="H7" s="7" t="str">
        <f t="shared" si="1"/>
        <v>17:54:02</v>
      </c>
      <c r="I7" s="8" t="str">
        <f t="shared" si="2"/>
        <v>Afternoon</v>
      </c>
      <c r="L7">
        <v>2</v>
      </c>
      <c r="M7">
        <v>0</v>
      </c>
      <c r="N7">
        <v>0</v>
      </c>
      <c r="O7" s="4">
        <f t="shared" si="3"/>
        <v>2</v>
      </c>
      <c r="P7" s="5" t="str">
        <f t="shared" si="4"/>
        <v>Low engagement</v>
      </c>
      <c r="Q7" t="b">
        <v>0</v>
      </c>
      <c r="R7" t="b">
        <v>0</v>
      </c>
      <c r="S7" t="b">
        <v>1</v>
      </c>
      <c r="T7" s="24" t="str">
        <f t="shared" si="5"/>
        <v>Link</v>
      </c>
    </row>
    <row r="8" spans="1:20" hidden="1" x14ac:dyDescent="0.2">
      <c r="A8" t="s">
        <v>1600</v>
      </c>
      <c r="B8" t="s">
        <v>14</v>
      </c>
      <c r="C8" t="s">
        <v>15</v>
      </c>
      <c r="D8" t="s">
        <v>1601</v>
      </c>
      <c r="E8" t="s">
        <v>1602</v>
      </c>
      <c r="F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" s="27">
        <f t="shared" si="0"/>
        <v>40080</v>
      </c>
      <c r="H8" s="7" t="str">
        <f t="shared" si="1"/>
        <v>16:11:15</v>
      </c>
      <c r="I8" s="8" t="str">
        <f t="shared" si="2"/>
        <v>Afternoon</v>
      </c>
      <c r="L8">
        <v>2</v>
      </c>
      <c r="M8">
        <v>0</v>
      </c>
      <c r="N8">
        <v>0</v>
      </c>
      <c r="O8" s="4">
        <f t="shared" si="3"/>
        <v>2</v>
      </c>
      <c r="P8" s="5" t="str">
        <f t="shared" si="4"/>
        <v>Low engagement</v>
      </c>
      <c r="Q8" t="b">
        <v>0</v>
      </c>
      <c r="R8" t="b">
        <v>0</v>
      </c>
      <c r="S8" t="b">
        <v>1</v>
      </c>
      <c r="T8" s="24" t="str">
        <f t="shared" si="5"/>
        <v>Link</v>
      </c>
    </row>
    <row r="9" spans="1:20" hidden="1" x14ac:dyDescent="0.2">
      <c r="A9" t="s">
        <v>1540</v>
      </c>
      <c r="B9" t="s">
        <v>14</v>
      </c>
      <c r="C9" t="s">
        <v>15</v>
      </c>
      <c r="D9" t="s">
        <v>1541</v>
      </c>
      <c r="E9" t="s">
        <v>1542</v>
      </c>
      <c r="F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" s="27">
        <f t="shared" si="0"/>
        <v>40084</v>
      </c>
      <c r="H9" s="7" t="str">
        <f t="shared" si="1"/>
        <v>23:15:14</v>
      </c>
      <c r="I9" s="8" t="str">
        <f t="shared" si="2"/>
        <v>Evening</v>
      </c>
      <c r="L9">
        <v>2</v>
      </c>
      <c r="M9">
        <v>0</v>
      </c>
      <c r="N9">
        <v>0</v>
      </c>
      <c r="O9" s="4">
        <f t="shared" si="3"/>
        <v>2</v>
      </c>
      <c r="P9" s="5" t="str">
        <f t="shared" si="4"/>
        <v>Low engagement</v>
      </c>
      <c r="Q9" t="b">
        <v>0</v>
      </c>
      <c r="R9" t="b">
        <v>0</v>
      </c>
      <c r="S9" t="b">
        <v>1</v>
      </c>
      <c r="T9" s="24" t="str">
        <f t="shared" si="5"/>
        <v>Link</v>
      </c>
    </row>
    <row r="10" spans="1:20" hidden="1" x14ac:dyDescent="0.2">
      <c r="A10" t="s">
        <v>2306</v>
      </c>
      <c r="B10" t="s">
        <v>14</v>
      </c>
      <c r="C10" t="s">
        <v>15</v>
      </c>
      <c r="D10" t="s">
        <v>2307</v>
      </c>
      <c r="E10" t="s">
        <v>2308</v>
      </c>
      <c r="F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" s="27">
        <f t="shared" si="0"/>
        <v>39969</v>
      </c>
      <c r="H10" s="7" t="str">
        <f t="shared" si="1"/>
        <v>16:54:49</v>
      </c>
      <c r="I10" s="8" t="str">
        <f t="shared" si="2"/>
        <v>Afternoon</v>
      </c>
      <c r="L10">
        <v>1</v>
      </c>
      <c r="M10">
        <v>0</v>
      </c>
      <c r="N10">
        <v>0</v>
      </c>
      <c r="O10" s="4">
        <f t="shared" si="3"/>
        <v>1</v>
      </c>
      <c r="P10" s="5" t="str">
        <f t="shared" si="4"/>
        <v>Low engagement</v>
      </c>
      <c r="Q10" t="b">
        <v>0</v>
      </c>
      <c r="R10" t="b">
        <v>0</v>
      </c>
      <c r="S10" t="b">
        <v>1</v>
      </c>
      <c r="T10" s="24" t="str">
        <f t="shared" si="5"/>
        <v>Link</v>
      </c>
    </row>
    <row r="11" spans="1:20" hidden="1" x14ac:dyDescent="0.2">
      <c r="A11" t="s">
        <v>2271</v>
      </c>
      <c r="B11" t="s">
        <v>14</v>
      </c>
      <c r="C11" t="s">
        <v>15</v>
      </c>
      <c r="D11" t="s">
        <v>2272</v>
      </c>
      <c r="E11" t="s">
        <v>2273</v>
      </c>
      <c r="F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" s="27">
        <f t="shared" si="0"/>
        <v>39973</v>
      </c>
      <c r="H11" s="7" t="str">
        <f t="shared" si="1"/>
        <v>14:42:11</v>
      </c>
      <c r="I11" s="8" t="str">
        <f t="shared" si="2"/>
        <v>Afternoon</v>
      </c>
      <c r="L11">
        <v>1</v>
      </c>
      <c r="M11">
        <v>0</v>
      </c>
      <c r="N11">
        <v>0</v>
      </c>
      <c r="O11" s="4">
        <f t="shared" si="3"/>
        <v>1</v>
      </c>
      <c r="P11" s="5" t="str">
        <f t="shared" si="4"/>
        <v>Low engagement</v>
      </c>
      <c r="Q11" t="b">
        <v>0</v>
      </c>
      <c r="R11" t="b">
        <v>0</v>
      </c>
      <c r="S11" t="b">
        <v>1</v>
      </c>
      <c r="T11" s="24" t="str">
        <f t="shared" si="5"/>
        <v>Link</v>
      </c>
    </row>
    <row r="12" spans="1:20" hidden="1" x14ac:dyDescent="0.2">
      <c r="A12" t="s">
        <v>2268</v>
      </c>
      <c r="B12" t="s">
        <v>14</v>
      </c>
      <c r="C12" t="s">
        <v>15</v>
      </c>
      <c r="D12" t="s">
        <v>2269</v>
      </c>
      <c r="E12" t="s">
        <v>2270</v>
      </c>
      <c r="F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" s="27">
        <f t="shared" si="0"/>
        <v>39973</v>
      </c>
      <c r="H12" s="7" t="str">
        <f t="shared" si="1"/>
        <v>14:48:18</v>
      </c>
      <c r="I12" s="8" t="str">
        <f t="shared" si="2"/>
        <v>Afternoon</v>
      </c>
      <c r="L12">
        <v>1</v>
      </c>
      <c r="M12">
        <v>0</v>
      </c>
      <c r="N12">
        <v>0</v>
      </c>
      <c r="O12" s="4">
        <f t="shared" si="3"/>
        <v>1</v>
      </c>
      <c r="P12" s="5" t="str">
        <f t="shared" si="4"/>
        <v>Low engagement</v>
      </c>
      <c r="Q12" t="b">
        <v>0</v>
      </c>
      <c r="R12" t="b">
        <v>0</v>
      </c>
      <c r="S12" t="b">
        <v>1</v>
      </c>
      <c r="T12" s="24" t="str">
        <f t="shared" si="5"/>
        <v>Link</v>
      </c>
    </row>
    <row r="13" spans="1:20" hidden="1" x14ac:dyDescent="0.2">
      <c r="A13" t="s">
        <v>2242</v>
      </c>
      <c r="B13" t="s">
        <v>14</v>
      </c>
      <c r="C13" t="s">
        <v>15</v>
      </c>
      <c r="D13" t="s">
        <v>2243</v>
      </c>
      <c r="E13" t="s">
        <v>2244</v>
      </c>
      <c r="F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" s="27">
        <f t="shared" si="0"/>
        <v>39974</v>
      </c>
      <c r="H13" s="7" t="str">
        <f t="shared" si="1"/>
        <v>17:07:54</v>
      </c>
      <c r="I13" s="8" t="str">
        <f t="shared" si="2"/>
        <v>Afternoon</v>
      </c>
      <c r="L13">
        <v>1</v>
      </c>
      <c r="M13">
        <v>0</v>
      </c>
      <c r="N13">
        <v>0</v>
      </c>
      <c r="O13" s="4">
        <f t="shared" si="3"/>
        <v>1</v>
      </c>
      <c r="P13" s="5" t="str">
        <f t="shared" si="4"/>
        <v>Low engagement</v>
      </c>
      <c r="Q13" t="b">
        <v>0</v>
      </c>
      <c r="R13" t="b">
        <v>0</v>
      </c>
      <c r="S13" t="b">
        <v>1</v>
      </c>
      <c r="T13" s="24" t="str">
        <f t="shared" si="5"/>
        <v>Link</v>
      </c>
    </row>
    <row r="14" spans="1:20" hidden="1" x14ac:dyDescent="0.2">
      <c r="A14" t="s">
        <v>2216</v>
      </c>
      <c r="B14" t="s">
        <v>14</v>
      </c>
      <c r="C14" t="s">
        <v>15</v>
      </c>
      <c r="D14" t="s">
        <v>2217</v>
      </c>
      <c r="E14" t="s">
        <v>2218</v>
      </c>
      <c r="F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" s="27">
        <f t="shared" si="0"/>
        <v>39979</v>
      </c>
      <c r="H14" s="7" t="str">
        <f t="shared" si="1"/>
        <v>20:27:38</v>
      </c>
      <c r="I14" s="8" t="str">
        <f t="shared" si="2"/>
        <v>Evening</v>
      </c>
      <c r="K14" t="s">
        <v>2358</v>
      </c>
      <c r="L14">
        <v>1</v>
      </c>
      <c r="M14">
        <v>0</v>
      </c>
      <c r="N14">
        <v>0</v>
      </c>
      <c r="O14" s="4">
        <f t="shared" si="3"/>
        <v>1</v>
      </c>
      <c r="P14" s="5" t="str">
        <f t="shared" si="4"/>
        <v>Low engagement</v>
      </c>
      <c r="Q14" t="b">
        <v>0</v>
      </c>
      <c r="R14" t="b">
        <v>0</v>
      </c>
      <c r="S14" t="b">
        <v>1</v>
      </c>
      <c r="T14" s="24" t="str">
        <f t="shared" si="5"/>
        <v>Link</v>
      </c>
    </row>
    <row r="15" spans="1:20" hidden="1" x14ac:dyDescent="0.2">
      <c r="A15" t="s">
        <v>2201</v>
      </c>
      <c r="B15" t="s">
        <v>14</v>
      </c>
      <c r="C15" t="s">
        <v>15</v>
      </c>
      <c r="D15" t="s">
        <v>2202</v>
      </c>
      <c r="E15" t="s">
        <v>2203</v>
      </c>
      <c r="F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" s="27">
        <f t="shared" si="0"/>
        <v>39980</v>
      </c>
      <c r="H15" s="7" t="str">
        <f t="shared" si="1"/>
        <v>15:59:34</v>
      </c>
      <c r="I15" s="8" t="str">
        <f t="shared" si="2"/>
        <v>Afternoon</v>
      </c>
      <c r="L15">
        <v>1</v>
      </c>
      <c r="M15">
        <v>0</v>
      </c>
      <c r="N15">
        <v>0</v>
      </c>
      <c r="O15" s="4">
        <f t="shared" si="3"/>
        <v>1</v>
      </c>
      <c r="P15" s="5" t="str">
        <f t="shared" si="4"/>
        <v>Low engagement</v>
      </c>
      <c r="Q15" t="b">
        <v>0</v>
      </c>
      <c r="R15" t="b">
        <v>0</v>
      </c>
      <c r="S15" t="b">
        <v>0</v>
      </c>
      <c r="T15" s="24" t="str">
        <f t="shared" si="5"/>
        <v>Text only</v>
      </c>
    </row>
    <row r="16" spans="1:20" hidden="1" x14ac:dyDescent="0.2">
      <c r="A16" t="s">
        <v>2188</v>
      </c>
      <c r="B16" t="s">
        <v>14</v>
      </c>
      <c r="C16" t="s">
        <v>15</v>
      </c>
      <c r="D16" t="s">
        <v>2189</v>
      </c>
      <c r="E16" t="s">
        <v>2190</v>
      </c>
      <c r="F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" s="27">
        <f t="shared" si="0"/>
        <v>39981</v>
      </c>
      <c r="H16" s="7" t="str">
        <f t="shared" si="1"/>
        <v>16:50:18</v>
      </c>
      <c r="I16" s="8" t="str">
        <f t="shared" si="2"/>
        <v>Afternoon</v>
      </c>
      <c r="L16">
        <v>1</v>
      </c>
      <c r="M16">
        <v>0</v>
      </c>
      <c r="N16">
        <v>0</v>
      </c>
      <c r="O16" s="4">
        <f t="shared" si="3"/>
        <v>1</v>
      </c>
      <c r="P16" s="5" t="str">
        <f t="shared" si="4"/>
        <v>Low engagement</v>
      </c>
      <c r="Q16" t="b">
        <v>0</v>
      </c>
      <c r="R16" t="b">
        <v>0</v>
      </c>
      <c r="S16" t="b">
        <v>1</v>
      </c>
      <c r="T16" s="24" t="str">
        <f t="shared" si="5"/>
        <v>Link</v>
      </c>
    </row>
    <row r="17" spans="1:20" hidden="1" x14ac:dyDescent="0.2">
      <c r="A17" t="s">
        <v>2115</v>
      </c>
      <c r="B17" t="s">
        <v>14</v>
      </c>
      <c r="C17" t="s">
        <v>15</v>
      </c>
      <c r="D17" t="s">
        <v>2116</v>
      </c>
      <c r="E17" t="s">
        <v>2117</v>
      </c>
      <c r="F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" s="27">
        <f t="shared" si="0"/>
        <v>39994</v>
      </c>
      <c r="H17" s="7" t="str">
        <f t="shared" si="1"/>
        <v>16:02:00</v>
      </c>
      <c r="I17" s="8" t="str">
        <f t="shared" si="2"/>
        <v>Afternoon</v>
      </c>
      <c r="L17">
        <v>1</v>
      </c>
      <c r="M17">
        <v>0</v>
      </c>
      <c r="N17">
        <v>0</v>
      </c>
      <c r="O17" s="4">
        <f t="shared" si="3"/>
        <v>1</v>
      </c>
      <c r="P17" s="5" t="str">
        <f t="shared" si="4"/>
        <v>Low engagement</v>
      </c>
      <c r="Q17" t="b">
        <v>0</v>
      </c>
      <c r="R17" t="b">
        <v>0</v>
      </c>
      <c r="S17" t="b">
        <v>1</v>
      </c>
      <c r="T17" s="24" t="str">
        <f t="shared" si="5"/>
        <v>Link</v>
      </c>
    </row>
    <row r="18" spans="1:20" hidden="1" x14ac:dyDescent="0.2">
      <c r="A18" t="s">
        <v>2099</v>
      </c>
      <c r="B18" t="s">
        <v>14</v>
      </c>
      <c r="C18" t="s">
        <v>15</v>
      </c>
      <c r="D18" t="s">
        <v>2100</v>
      </c>
      <c r="E18" t="s">
        <v>2101</v>
      </c>
      <c r="F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" s="27">
        <f t="shared" si="0"/>
        <v>39995</v>
      </c>
      <c r="H18" s="7" t="str">
        <f t="shared" si="1"/>
        <v>17:38:53</v>
      </c>
      <c r="I18" s="8" t="str">
        <f t="shared" si="2"/>
        <v>Afternoon</v>
      </c>
      <c r="L18">
        <v>1</v>
      </c>
      <c r="M18">
        <v>0</v>
      </c>
      <c r="N18">
        <v>0</v>
      </c>
      <c r="O18" s="4">
        <f t="shared" si="3"/>
        <v>1</v>
      </c>
      <c r="P18" s="5" t="str">
        <f t="shared" si="4"/>
        <v>Low engagement</v>
      </c>
      <c r="Q18" t="b">
        <v>0</v>
      </c>
      <c r="R18" t="b">
        <v>0</v>
      </c>
      <c r="S18" t="b">
        <v>1</v>
      </c>
      <c r="T18" s="24" t="str">
        <f t="shared" si="5"/>
        <v>Link</v>
      </c>
    </row>
    <row r="19" spans="1:20" hidden="1" x14ac:dyDescent="0.2">
      <c r="A19" t="s">
        <v>2096</v>
      </c>
      <c r="B19" t="s">
        <v>14</v>
      </c>
      <c r="C19" t="s">
        <v>15</v>
      </c>
      <c r="D19" t="s">
        <v>2097</v>
      </c>
      <c r="E19" t="s">
        <v>2098</v>
      </c>
      <c r="F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" s="27">
        <f t="shared" si="0"/>
        <v>39995</v>
      </c>
      <c r="H19" s="7" t="str">
        <f t="shared" si="1"/>
        <v>17:44:44</v>
      </c>
      <c r="I19" s="8" t="str">
        <f t="shared" si="2"/>
        <v>Afternoon</v>
      </c>
      <c r="L19">
        <v>1</v>
      </c>
      <c r="M19">
        <v>0</v>
      </c>
      <c r="N19">
        <v>0</v>
      </c>
      <c r="O19" s="4">
        <f t="shared" si="3"/>
        <v>1</v>
      </c>
      <c r="P19" s="5" t="str">
        <f t="shared" si="4"/>
        <v>Low engagement</v>
      </c>
      <c r="Q19" t="b">
        <v>0</v>
      </c>
      <c r="R19" t="b">
        <v>0</v>
      </c>
      <c r="S19" t="b">
        <v>1</v>
      </c>
      <c r="T19" s="24" t="str">
        <f t="shared" si="5"/>
        <v>Link</v>
      </c>
    </row>
    <row r="20" spans="1:20" hidden="1" x14ac:dyDescent="0.2">
      <c r="A20" t="s">
        <v>2071</v>
      </c>
      <c r="B20" t="s">
        <v>14</v>
      </c>
      <c r="C20" t="s">
        <v>15</v>
      </c>
      <c r="D20" t="s">
        <v>2072</v>
      </c>
      <c r="E20" t="s">
        <v>2073</v>
      </c>
      <c r="F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" s="27">
        <f t="shared" si="0"/>
        <v>39996</v>
      </c>
      <c r="H20" s="7" t="str">
        <f t="shared" si="1"/>
        <v>17:17:04</v>
      </c>
      <c r="I20" s="8" t="str">
        <f t="shared" si="2"/>
        <v>Afternoon</v>
      </c>
      <c r="L20">
        <v>1</v>
      </c>
      <c r="M20">
        <v>0</v>
      </c>
      <c r="N20">
        <v>0</v>
      </c>
      <c r="O20" s="4">
        <f t="shared" si="3"/>
        <v>1</v>
      </c>
      <c r="P20" s="5" t="str">
        <f t="shared" si="4"/>
        <v>Low engagement</v>
      </c>
      <c r="Q20" t="b">
        <v>0</v>
      </c>
      <c r="R20" t="b">
        <v>0</v>
      </c>
      <c r="S20" t="b">
        <v>1</v>
      </c>
      <c r="T20" s="24" t="str">
        <f t="shared" si="5"/>
        <v>Link</v>
      </c>
    </row>
    <row r="21" spans="1:20" hidden="1" x14ac:dyDescent="0.2">
      <c r="A21" t="s">
        <v>2065</v>
      </c>
      <c r="B21" t="s">
        <v>14</v>
      </c>
      <c r="C21" t="s">
        <v>15</v>
      </c>
      <c r="D21" t="s">
        <v>2066</v>
      </c>
      <c r="E21" t="s">
        <v>2067</v>
      </c>
      <c r="F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" s="27">
        <f t="shared" si="0"/>
        <v>39996</v>
      </c>
      <c r="H21" s="7" t="str">
        <f t="shared" si="1"/>
        <v>21:46:38</v>
      </c>
      <c r="I21" s="8" t="str">
        <f t="shared" si="2"/>
        <v>Evening</v>
      </c>
      <c r="L21">
        <v>1</v>
      </c>
      <c r="M21">
        <v>0</v>
      </c>
      <c r="N21">
        <v>0</v>
      </c>
      <c r="O21" s="4">
        <f t="shared" si="3"/>
        <v>1</v>
      </c>
      <c r="P21" s="5" t="str">
        <f t="shared" si="4"/>
        <v>Low engagement</v>
      </c>
      <c r="Q21" t="b">
        <v>0</v>
      </c>
      <c r="R21" t="b">
        <v>0</v>
      </c>
      <c r="S21" t="b">
        <v>1</v>
      </c>
      <c r="T21" s="24" t="str">
        <f t="shared" si="5"/>
        <v>Link</v>
      </c>
    </row>
    <row r="22" spans="1:20" hidden="1" x14ac:dyDescent="0.2">
      <c r="A22" t="s">
        <v>2058</v>
      </c>
      <c r="B22" t="s">
        <v>14</v>
      </c>
      <c r="C22" t="s">
        <v>15</v>
      </c>
      <c r="D22" t="s">
        <v>2059</v>
      </c>
      <c r="E22" t="s">
        <v>2060</v>
      </c>
      <c r="F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" s="27">
        <f t="shared" si="0"/>
        <v>40000</v>
      </c>
      <c r="H22" s="7" t="str">
        <f t="shared" si="1"/>
        <v>18:03:56</v>
      </c>
      <c r="I22" s="8" t="str">
        <f t="shared" si="2"/>
        <v>Evening</v>
      </c>
      <c r="L22">
        <v>1</v>
      </c>
      <c r="M22">
        <v>0</v>
      </c>
      <c r="N22">
        <v>0</v>
      </c>
      <c r="O22" s="4">
        <f t="shared" si="3"/>
        <v>1</v>
      </c>
      <c r="P22" s="5" t="str">
        <f t="shared" si="4"/>
        <v>Low engagement</v>
      </c>
      <c r="Q22" t="b">
        <v>0</v>
      </c>
      <c r="R22" t="b">
        <v>0</v>
      </c>
      <c r="S22" t="b">
        <v>1</v>
      </c>
      <c r="T22" s="24" t="str">
        <f t="shared" si="5"/>
        <v>Link</v>
      </c>
    </row>
    <row r="23" spans="1:20" hidden="1" x14ac:dyDescent="0.2">
      <c r="A23" t="s">
        <v>2029</v>
      </c>
      <c r="B23" t="s">
        <v>14</v>
      </c>
      <c r="C23" t="s">
        <v>15</v>
      </c>
      <c r="D23" t="s">
        <v>2030</v>
      </c>
      <c r="E23" t="s">
        <v>2031</v>
      </c>
      <c r="F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" s="27">
        <f t="shared" si="0"/>
        <v>40007</v>
      </c>
      <c r="H23" s="7" t="str">
        <f t="shared" si="1"/>
        <v>21:31:41</v>
      </c>
      <c r="I23" s="8" t="str">
        <f t="shared" si="2"/>
        <v>Evening</v>
      </c>
      <c r="L23">
        <v>1</v>
      </c>
      <c r="M23">
        <v>0</v>
      </c>
      <c r="N23">
        <v>0</v>
      </c>
      <c r="O23" s="4">
        <f t="shared" si="3"/>
        <v>1</v>
      </c>
      <c r="P23" s="5" t="str">
        <f t="shared" si="4"/>
        <v>Low engagement</v>
      </c>
      <c r="Q23" t="b">
        <v>0</v>
      </c>
      <c r="R23" t="b">
        <v>0</v>
      </c>
      <c r="S23" t="b">
        <v>1</v>
      </c>
      <c r="T23" s="24" t="str">
        <f t="shared" si="5"/>
        <v>Link</v>
      </c>
    </row>
    <row r="24" spans="1:20" hidden="1" x14ac:dyDescent="0.2">
      <c r="A24" t="s">
        <v>2020</v>
      </c>
      <c r="B24" t="s">
        <v>14</v>
      </c>
      <c r="C24" t="s">
        <v>15</v>
      </c>
      <c r="D24" t="s">
        <v>2019</v>
      </c>
      <c r="E24" t="s">
        <v>2021</v>
      </c>
      <c r="F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" s="27">
        <f t="shared" si="0"/>
        <v>40008</v>
      </c>
      <c r="H24" s="7" t="str">
        <f t="shared" si="1"/>
        <v>14:39:30</v>
      </c>
      <c r="I24" s="8" t="str">
        <f t="shared" si="2"/>
        <v>Afternoon</v>
      </c>
      <c r="K24" t="s">
        <v>2354</v>
      </c>
      <c r="L24">
        <v>1</v>
      </c>
      <c r="M24">
        <v>0</v>
      </c>
      <c r="N24">
        <v>0</v>
      </c>
      <c r="O24" s="4">
        <f t="shared" si="3"/>
        <v>1</v>
      </c>
      <c r="P24" s="5" t="str">
        <f t="shared" si="4"/>
        <v>Low engagement</v>
      </c>
      <c r="Q24" t="b">
        <v>0</v>
      </c>
      <c r="R24" t="b">
        <v>0</v>
      </c>
      <c r="S24" t="b">
        <v>1</v>
      </c>
      <c r="T24" s="24" t="str">
        <f t="shared" si="5"/>
        <v>Link</v>
      </c>
    </row>
    <row r="25" spans="1:20" hidden="1" x14ac:dyDescent="0.2">
      <c r="A25" t="s">
        <v>2017</v>
      </c>
      <c r="B25" t="s">
        <v>14</v>
      </c>
      <c r="C25" t="s">
        <v>15</v>
      </c>
      <c r="D25" t="s">
        <v>2349</v>
      </c>
      <c r="E25" t="s">
        <v>2018</v>
      </c>
      <c r="F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" s="27">
        <f t="shared" si="0"/>
        <v>40008</v>
      </c>
      <c r="H25" s="7" t="str">
        <f t="shared" si="1"/>
        <v>17:09:16</v>
      </c>
      <c r="I25" s="8" t="str">
        <f t="shared" si="2"/>
        <v>Afternoon</v>
      </c>
      <c r="L25">
        <v>1</v>
      </c>
      <c r="M25">
        <v>0</v>
      </c>
      <c r="N25">
        <v>0</v>
      </c>
      <c r="O25" s="4">
        <f t="shared" si="3"/>
        <v>1</v>
      </c>
      <c r="P25" s="5" t="str">
        <f t="shared" si="4"/>
        <v>Low engagement</v>
      </c>
      <c r="Q25" t="b">
        <v>0</v>
      </c>
      <c r="R25" t="b">
        <v>0</v>
      </c>
      <c r="S25" t="b">
        <v>1</v>
      </c>
      <c r="T25" s="24" t="str">
        <f t="shared" si="5"/>
        <v>Link</v>
      </c>
    </row>
    <row r="26" spans="1:20" hidden="1" x14ac:dyDescent="0.2">
      <c r="A26" t="s">
        <v>2001</v>
      </c>
      <c r="B26" t="s">
        <v>14</v>
      </c>
      <c r="C26" t="s">
        <v>15</v>
      </c>
      <c r="D26" t="s">
        <v>2002</v>
      </c>
      <c r="E26" t="s">
        <v>2003</v>
      </c>
      <c r="F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6" s="27">
        <f t="shared" si="0"/>
        <v>40008</v>
      </c>
      <c r="H26" s="7" t="str">
        <f t="shared" si="1"/>
        <v>20:12:06</v>
      </c>
      <c r="I26" s="8" t="str">
        <f t="shared" si="2"/>
        <v>Evening</v>
      </c>
      <c r="L26">
        <v>1</v>
      </c>
      <c r="M26">
        <v>0</v>
      </c>
      <c r="N26">
        <v>0</v>
      </c>
      <c r="O26" s="4">
        <f t="shared" si="3"/>
        <v>1</v>
      </c>
      <c r="P26" s="5" t="str">
        <f t="shared" si="4"/>
        <v>Low engagement</v>
      </c>
      <c r="Q26" t="b">
        <v>0</v>
      </c>
      <c r="R26" t="b">
        <v>0</v>
      </c>
      <c r="S26" t="b">
        <v>1</v>
      </c>
      <c r="T26" s="24" t="str">
        <f t="shared" si="5"/>
        <v>Link</v>
      </c>
    </row>
    <row r="27" spans="1:20" hidden="1" x14ac:dyDescent="0.2">
      <c r="A27" t="s">
        <v>1965</v>
      </c>
      <c r="B27" t="s">
        <v>14</v>
      </c>
      <c r="C27" t="s">
        <v>15</v>
      </c>
      <c r="D27" t="s">
        <v>1966</v>
      </c>
      <c r="E27" t="s">
        <v>1967</v>
      </c>
      <c r="F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7" s="27">
        <f t="shared" si="0"/>
        <v>40011</v>
      </c>
      <c r="H27" s="7" t="str">
        <f t="shared" si="1"/>
        <v>20:05:04</v>
      </c>
      <c r="I27" s="8" t="str">
        <f t="shared" si="2"/>
        <v>Evening</v>
      </c>
      <c r="L27">
        <v>1</v>
      </c>
      <c r="M27">
        <v>0</v>
      </c>
      <c r="N27">
        <v>0</v>
      </c>
      <c r="O27" s="4">
        <f t="shared" si="3"/>
        <v>1</v>
      </c>
      <c r="P27" s="5" t="str">
        <f t="shared" si="4"/>
        <v>Low engagement</v>
      </c>
      <c r="Q27" t="b">
        <v>0</v>
      </c>
      <c r="R27" t="b">
        <v>0</v>
      </c>
      <c r="S27" t="b">
        <v>1</v>
      </c>
      <c r="T27" s="24" t="str">
        <f t="shared" si="5"/>
        <v>Link</v>
      </c>
    </row>
    <row r="28" spans="1:20" hidden="1" x14ac:dyDescent="0.2">
      <c r="A28" t="s">
        <v>1953</v>
      </c>
      <c r="B28" t="s">
        <v>14</v>
      </c>
      <c r="C28" t="s">
        <v>15</v>
      </c>
      <c r="D28" t="s">
        <v>1954</v>
      </c>
      <c r="E28" t="s">
        <v>1955</v>
      </c>
      <c r="F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8" s="27">
        <f t="shared" si="0"/>
        <v>40016</v>
      </c>
      <c r="H28" s="7" t="str">
        <f t="shared" si="1"/>
        <v>16:15:10</v>
      </c>
      <c r="I28" s="8" t="str">
        <f t="shared" si="2"/>
        <v>Afternoon</v>
      </c>
      <c r="K28" t="s">
        <v>2353</v>
      </c>
      <c r="L28">
        <v>1</v>
      </c>
      <c r="M28">
        <v>0</v>
      </c>
      <c r="N28">
        <v>0</v>
      </c>
      <c r="O28" s="4">
        <f t="shared" si="3"/>
        <v>1</v>
      </c>
      <c r="P28" s="5" t="str">
        <f t="shared" si="4"/>
        <v>Low engagement</v>
      </c>
      <c r="Q28" t="b">
        <v>0</v>
      </c>
      <c r="R28" t="b">
        <v>0</v>
      </c>
      <c r="S28" t="b">
        <v>1</v>
      </c>
      <c r="T28" s="24" t="str">
        <f t="shared" si="5"/>
        <v>Link</v>
      </c>
    </row>
    <row r="29" spans="1:20" hidden="1" x14ac:dyDescent="0.2">
      <c r="A29" t="s">
        <v>1922</v>
      </c>
      <c r="B29" t="s">
        <v>14</v>
      </c>
      <c r="C29" t="s">
        <v>15</v>
      </c>
      <c r="D29" t="s">
        <v>1923</v>
      </c>
      <c r="E29" t="s">
        <v>1924</v>
      </c>
      <c r="F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9" s="27">
        <f t="shared" si="0"/>
        <v>40028</v>
      </c>
      <c r="H29" s="7" t="str">
        <f t="shared" si="1"/>
        <v>18:26:34</v>
      </c>
      <c r="I29" s="8" t="str">
        <f t="shared" si="2"/>
        <v>Evening</v>
      </c>
      <c r="L29">
        <v>1</v>
      </c>
      <c r="M29">
        <v>0</v>
      </c>
      <c r="N29">
        <v>0</v>
      </c>
      <c r="O29" s="4">
        <f t="shared" si="3"/>
        <v>1</v>
      </c>
      <c r="P29" s="5" t="str">
        <f t="shared" si="4"/>
        <v>Low engagement</v>
      </c>
      <c r="Q29" t="b">
        <v>0</v>
      </c>
      <c r="R29" t="b">
        <v>0</v>
      </c>
      <c r="S29" t="b">
        <v>1</v>
      </c>
      <c r="T29" s="24" t="str">
        <f t="shared" si="5"/>
        <v>Link</v>
      </c>
    </row>
    <row r="30" spans="1:20" hidden="1" x14ac:dyDescent="0.2">
      <c r="A30" t="s">
        <v>1916</v>
      </c>
      <c r="B30" t="s">
        <v>14</v>
      </c>
      <c r="C30" t="s">
        <v>15</v>
      </c>
      <c r="D30" t="s">
        <v>1917</v>
      </c>
      <c r="E30" t="s">
        <v>1918</v>
      </c>
      <c r="F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0" s="27">
        <f t="shared" si="0"/>
        <v>40028</v>
      </c>
      <c r="H30" s="7" t="str">
        <f t="shared" si="1"/>
        <v>22:57:24</v>
      </c>
      <c r="I30" s="8" t="str">
        <f t="shared" si="2"/>
        <v>Evening</v>
      </c>
      <c r="L30">
        <v>1</v>
      </c>
      <c r="M30">
        <v>0</v>
      </c>
      <c r="N30">
        <v>0</v>
      </c>
      <c r="O30" s="4">
        <f t="shared" si="3"/>
        <v>1</v>
      </c>
      <c r="P30" s="5" t="str">
        <f t="shared" si="4"/>
        <v>Low engagement</v>
      </c>
      <c r="Q30" t="b">
        <v>0</v>
      </c>
      <c r="R30" t="b">
        <v>0</v>
      </c>
      <c r="S30" t="b">
        <v>1</v>
      </c>
      <c r="T30" s="24" t="str">
        <f t="shared" si="5"/>
        <v>Link</v>
      </c>
    </row>
    <row r="31" spans="1:20" hidden="1" x14ac:dyDescent="0.2">
      <c r="A31" t="s">
        <v>1904</v>
      </c>
      <c r="B31" t="s">
        <v>14</v>
      </c>
      <c r="C31" t="s">
        <v>15</v>
      </c>
      <c r="D31" t="s">
        <v>1905</v>
      </c>
      <c r="E31" t="s">
        <v>1906</v>
      </c>
      <c r="F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1" s="27">
        <f t="shared" si="0"/>
        <v>40029</v>
      </c>
      <c r="H31" s="7" t="str">
        <f t="shared" si="1"/>
        <v>20:26:21</v>
      </c>
      <c r="I31" s="8" t="str">
        <f t="shared" si="2"/>
        <v>Evening</v>
      </c>
      <c r="L31">
        <v>1</v>
      </c>
      <c r="M31">
        <v>0</v>
      </c>
      <c r="N31">
        <v>0</v>
      </c>
      <c r="O31" s="4">
        <f t="shared" si="3"/>
        <v>1</v>
      </c>
      <c r="P31" s="5" t="str">
        <f t="shared" si="4"/>
        <v>Low engagement</v>
      </c>
      <c r="Q31" t="b">
        <v>0</v>
      </c>
      <c r="R31" t="b">
        <v>0</v>
      </c>
      <c r="S31" t="b">
        <v>1</v>
      </c>
      <c r="T31" s="24" t="str">
        <f t="shared" si="5"/>
        <v>Link</v>
      </c>
    </row>
    <row r="32" spans="1:20" hidden="1" x14ac:dyDescent="0.2">
      <c r="A32" t="s">
        <v>1871</v>
      </c>
      <c r="B32" t="s">
        <v>14</v>
      </c>
      <c r="C32" t="s">
        <v>15</v>
      </c>
      <c r="D32" t="s">
        <v>1872</v>
      </c>
      <c r="E32" t="s">
        <v>1873</v>
      </c>
      <c r="F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2" s="27">
        <f t="shared" si="0"/>
        <v>40037</v>
      </c>
      <c r="H32" s="7" t="str">
        <f t="shared" si="1"/>
        <v>17:14:17</v>
      </c>
      <c r="I32" s="8" t="str">
        <f t="shared" si="2"/>
        <v>Afternoon</v>
      </c>
      <c r="J32" t="s">
        <v>1870</v>
      </c>
      <c r="L32">
        <v>1</v>
      </c>
      <c r="M32">
        <v>0</v>
      </c>
      <c r="N32">
        <v>0</v>
      </c>
      <c r="O32" s="4">
        <f t="shared" si="3"/>
        <v>1</v>
      </c>
      <c r="P32" s="5" t="str">
        <f t="shared" si="4"/>
        <v>Low engagement</v>
      </c>
      <c r="Q32" t="b">
        <v>0</v>
      </c>
      <c r="R32" t="b">
        <v>0</v>
      </c>
      <c r="S32" t="b">
        <v>0</v>
      </c>
      <c r="T32" s="24" t="str">
        <f t="shared" si="5"/>
        <v>Text only</v>
      </c>
    </row>
    <row r="33" spans="1:20" hidden="1" x14ac:dyDescent="0.2">
      <c r="A33" t="s">
        <v>1838</v>
      </c>
      <c r="B33" t="s">
        <v>14</v>
      </c>
      <c r="C33" t="s">
        <v>15</v>
      </c>
      <c r="D33" t="s">
        <v>1839</v>
      </c>
      <c r="E33" t="s">
        <v>1840</v>
      </c>
      <c r="F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3" s="27">
        <f t="shared" si="0"/>
        <v>40044</v>
      </c>
      <c r="H33" s="7" t="str">
        <f t="shared" si="1"/>
        <v>16:15:47</v>
      </c>
      <c r="I33" s="8" t="str">
        <f t="shared" si="2"/>
        <v>Afternoon</v>
      </c>
      <c r="L33">
        <v>1</v>
      </c>
      <c r="M33">
        <v>0</v>
      </c>
      <c r="N33">
        <v>0</v>
      </c>
      <c r="O33" s="4">
        <f t="shared" si="3"/>
        <v>1</v>
      </c>
      <c r="P33" s="5" t="str">
        <f t="shared" si="4"/>
        <v>Low engagement</v>
      </c>
      <c r="Q33" t="b">
        <v>0</v>
      </c>
      <c r="R33" t="b">
        <v>0</v>
      </c>
      <c r="S33" t="b">
        <v>1</v>
      </c>
      <c r="T33" s="24" t="str">
        <f t="shared" si="5"/>
        <v>Link</v>
      </c>
    </row>
    <row r="34" spans="1:20" hidden="1" x14ac:dyDescent="0.2">
      <c r="A34" t="s">
        <v>1819</v>
      </c>
      <c r="B34" t="s">
        <v>14</v>
      </c>
      <c r="C34" t="s">
        <v>15</v>
      </c>
      <c r="D34" t="s">
        <v>1820</v>
      </c>
      <c r="E34" t="s">
        <v>1821</v>
      </c>
      <c r="F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4" s="27">
        <f t="shared" si="0"/>
        <v>40046</v>
      </c>
      <c r="H34" s="7" t="str">
        <f t="shared" si="1"/>
        <v>15:54:07</v>
      </c>
      <c r="I34" s="8" t="str">
        <f t="shared" si="2"/>
        <v>Afternoon</v>
      </c>
      <c r="L34">
        <v>1</v>
      </c>
      <c r="M34">
        <v>0</v>
      </c>
      <c r="N34">
        <v>0</v>
      </c>
      <c r="O34" s="4">
        <f t="shared" si="3"/>
        <v>1</v>
      </c>
      <c r="P34" s="5" t="str">
        <f t="shared" si="4"/>
        <v>Low engagement</v>
      </c>
      <c r="Q34" t="b">
        <v>0</v>
      </c>
      <c r="R34" t="b">
        <v>0</v>
      </c>
      <c r="S34" t="b">
        <v>1</v>
      </c>
      <c r="T34" s="24" t="str">
        <f t="shared" si="5"/>
        <v>Link</v>
      </c>
    </row>
    <row r="35" spans="1:20" hidden="1" x14ac:dyDescent="0.2">
      <c r="A35" t="s">
        <v>1744</v>
      </c>
      <c r="B35" t="s">
        <v>14</v>
      </c>
      <c r="C35" t="s">
        <v>15</v>
      </c>
      <c r="D35" t="s">
        <v>1745</v>
      </c>
      <c r="E35" t="s">
        <v>1746</v>
      </c>
      <c r="F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5" s="27">
        <f t="shared" si="0"/>
        <v>40057</v>
      </c>
      <c r="H35" s="7" t="str">
        <f t="shared" si="1"/>
        <v>19:45:59</v>
      </c>
      <c r="I35" s="8" t="str">
        <f t="shared" si="2"/>
        <v>Evening</v>
      </c>
      <c r="L35">
        <v>1</v>
      </c>
      <c r="M35">
        <v>0</v>
      </c>
      <c r="N35">
        <v>0</v>
      </c>
      <c r="O35" s="4">
        <f t="shared" si="3"/>
        <v>1</v>
      </c>
      <c r="P35" s="5" t="str">
        <f t="shared" si="4"/>
        <v>Low engagement</v>
      </c>
      <c r="Q35" t="b">
        <v>0</v>
      </c>
      <c r="R35" t="b">
        <v>0</v>
      </c>
      <c r="S35" t="b">
        <v>1</v>
      </c>
      <c r="T35" s="24" t="str">
        <f t="shared" si="5"/>
        <v>Link</v>
      </c>
    </row>
    <row r="36" spans="1:20" hidden="1" x14ac:dyDescent="0.2">
      <c r="A36" t="s">
        <v>1687</v>
      </c>
      <c r="B36" t="s">
        <v>14</v>
      </c>
      <c r="C36" t="s">
        <v>15</v>
      </c>
      <c r="D36" t="s">
        <v>1688</v>
      </c>
      <c r="E36" t="s">
        <v>1689</v>
      </c>
      <c r="F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6" s="27">
        <f t="shared" si="0"/>
        <v>40067</v>
      </c>
      <c r="H36" s="7" t="str">
        <f t="shared" si="1"/>
        <v>15:24:12</v>
      </c>
      <c r="I36" s="8" t="str">
        <f t="shared" si="2"/>
        <v>Afternoon</v>
      </c>
      <c r="L36">
        <v>1</v>
      </c>
      <c r="M36">
        <v>0</v>
      </c>
      <c r="N36">
        <v>0</v>
      </c>
      <c r="O36" s="4">
        <f t="shared" si="3"/>
        <v>1</v>
      </c>
      <c r="P36" s="5" t="str">
        <f t="shared" si="4"/>
        <v>Low engagement</v>
      </c>
      <c r="Q36" t="b">
        <v>0</v>
      </c>
      <c r="R36" t="b">
        <v>0</v>
      </c>
      <c r="S36" t="b">
        <v>1</v>
      </c>
      <c r="T36" s="24" t="str">
        <f t="shared" si="5"/>
        <v>Link</v>
      </c>
    </row>
    <row r="37" spans="1:20" hidden="1" x14ac:dyDescent="0.2">
      <c r="A37" t="s">
        <v>1667</v>
      </c>
      <c r="B37" t="s">
        <v>14</v>
      </c>
      <c r="C37" t="s">
        <v>15</v>
      </c>
      <c r="D37" t="s">
        <v>1668</v>
      </c>
      <c r="E37" t="s">
        <v>1669</v>
      </c>
      <c r="F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7" s="27">
        <f t="shared" si="0"/>
        <v>40072</v>
      </c>
      <c r="H37" s="7" t="str">
        <f t="shared" si="1"/>
        <v>18:11:02</v>
      </c>
      <c r="I37" s="8" t="str">
        <f t="shared" si="2"/>
        <v>Evening</v>
      </c>
      <c r="L37">
        <v>1</v>
      </c>
      <c r="M37">
        <v>0</v>
      </c>
      <c r="N37">
        <v>0</v>
      </c>
      <c r="O37" s="4">
        <f t="shared" si="3"/>
        <v>1</v>
      </c>
      <c r="P37" s="5" t="str">
        <f t="shared" si="4"/>
        <v>Low engagement</v>
      </c>
      <c r="Q37" t="b">
        <v>0</v>
      </c>
      <c r="R37" t="b">
        <v>0</v>
      </c>
      <c r="S37" t="b">
        <v>1</v>
      </c>
      <c r="T37" s="24" t="str">
        <f t="shared" si="5"/>
        <v>Link</v>
      </c>
    </row>
    <row r="38" spans="1:20" hidden="1" x14ac:dyDescent="0.2">
      <c r="A38" t="s">
        <v>1603</v>
      </c>
      <c r="B38" t="s">
        <v>14</v>
      </c>
      <c r="C38" t="s">
        <v>15</v>
      </c>
      <c r="D38" t="s">
        <v>1604</v>
      </c>
      <c r="E38" t="s">
        <v>1605</v>
      </c>
      <c r="F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8" s="27">
        <f t="shared" si="0"/>
        <v>40080</v>
      </c>
      <c r="H38" s="7" t="str">
        <f t="shared" si="1"/>
        <v>16:10:02</v>
      </c>
      <c r="I38" s="8" t="str">
        <f t="shared" si="2"/>
        <v>Afternoon</v>
      </c>
      <c r="L38">
        <v>1</v>
      </c>
      <c r="M38">
        <v>0</v>
      </c>
      <c r="N38">
        <v>0</v>
      </c>
      <c r="O38" s="4">
        <f t="shared" si="3"/>
        <v>1</v>
      </c>
      <c r="P38" s="5" t="str">
        <f t="shared" si="4"/>
        <v>Low engagement</v>
      </c>
      <c r="Q38" t="b">
        <v>0</v>
      </c>
      <c r="R38" t="b">
        <v>0</v>
      </c>
      <c r="S38" t="b">
        <v>1</v>
      </c>
      <c r="T38" s="24" t="str">
        <f t="shared" si="5"/>
        <v>Link</v>
      </c>
    </row>
    <row r="39" spans="1:20" hidden="1" x14ac:dyDescent="0.2">
      <c r="A39" t="s">
        <v>1582</v>
      </c>
      <c r="B39" t="s">
        <v>14</v>
      </c>
      <c r="C39" t="s">
        <v>15</v>
      </c>
      <c r="D39" t="s">
        <v>1583</v>
      </c>
      <c r="E39" t="s">
        <v>1584</v>
      </c>
      <c r="F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39" s="27">
        <f t="shared" si="0"/>
        <v>40080</v>
      </c>
      <c r="H39" s="7" t="str">
        <f t="shared" si="1"/>
        <v>16:52:13</v>
      </c>
      <c r="I39" s="8" t="str">
        <f t="shared" si="2"/>
        <v>Afternoon</v>
      </c>
      <c r="L39">
        <v>1</v>
      </c>
      <c r="M39">
        <v>0</v>
      </c>
      <c r="N39">
        <v>0</v>
      </c>
      <c r="O39" s="4">
        <f t="shared" si="3"/>
        <v>1</v>
      </c>
      <c r="P39" s="5" t="str">
        <f t="shared" si="4"/>
        <v>Low engagement</v>
      </c>
      <c r="Q39" t="b">
        <v>0</v>
      </c>
      <c r="R39" t="b">
        <v>0</v>
      </c>
      <c r="S39" t="b">
        <v>1</v>
      </c>
      <c r="T39" s="24" t="str">
        <f t="shared" si="5"/>
        <v>Link</v>
      </c>
    </row>
    <row r="40" spans="1:20" hidden="1" x14ac:dyDescent="0.2">
      <c r="A40" t="s">
        <v>1565</v>
      </c>
      <c r="B40" t="s">
        <v>14</v>
      </c>
      <c r="C40" t="s">
        <v>15</v>
      </c>
      <c r="D40" t="s">
        <v>1566</v>
      </c>
      <c r="E40" t="s">
        <v>1567</v>
      </c>
      <c r="F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0" s="27">
        <f t="shared" si="0"/>
        <v>40080</v>
      </c>
      <c r="H40" s="7" t="str">
        <f t="shared" si="1"/>
        <v>21:32:34</v>
      </c>
      <c r="I40" s="8" t="str">
        <f t="shared" si="2"/>
        <v>Evening</v>
      </c>
      <c r="L40">
        <v>1</v>
      </c>
      <c r="M40">
        <v>0</v>
      </c>
      <c r="N40">
        <v>0</v>
      </c>
      <c r="O40" s="4">
        <f t="shared" si="3"/>
        <v>1</v>
      </c>
      <c r="P40" s="5" t="str">
        <f t="shared" si="4"/>
        <v>Low engagement</v>
      </c>
      <c r="Q40" t="b">
        <v>0</v>
      </c>
      <c r="R40" t="b">
        <v>0</v>
      </c>
      <c r="S40" t="b">
        <v>1</v>
      </c>
      <c r="T40" s="24" t="str">
        <f t="shared" si="5"/>
        <v>Link</v>
      </c>
    </row>
    <row r="41" spans="1:20" hidden="1" x14ac:dyDescent="0.2">
      <c r="A41" t="s">
        <v>1553</v>
      </c>
      <c r="B41" t="s">
        <v>14</v>
      </c>
      <c r="C41" t="s">
        <v>15</v>
      </c>
      <c r="D41" t="s">
        <v>1552</v>
      </c>
      <c r="E41" t="s">
        <v>1554</v>
      </c>
      <c r="F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1" s="27">
        <f t="shared" si="0"/>
        <v>40081</v>
      </c>
      <c r="H41" s="7" t="str">
        <f t="shared" si="1"/>
        <v>20:23:33</v>
      </c>
      <c r="I41" s="8" t="str">
        <f t="shared" si="2"/>
        <v>Evening</v>
      </c>
      <c r="L41">
        <v>1</v>
      </c>
      <c r="M41">
        <v>0</v>
      </c>
      <c r="N41">
        <v>0</v>
      </c>
      <c r="O41" s="4">
        <f t="shared" si="3"/>
        <v>1</v>
      </c>
      <c r="P41" s="5" t="str">
        <f t="shared" si="4"/>
        <v>Low engagement</v>
      </c>
      <c r="Q41" t="b">
        <v>0</v>
      </c>
      <c r="R41" t="b">
        <v>0</v>
      </c>
      <c r="S41" t="b">
        <v>1</v>
      </c>
      <c r="T41" s="24" t="str">
        <f t="shared" si="5"/>
        <v>Link</v>
      </c>
    </row>
    <row r="42" spans="1:20" hidden="1" x14ac:dyDescent="0.2">
      <c r="A42" t="s">
        <v>1537</v>
      </c>
      <c r="B42" t="s">
        <v>14</v>
      </c>
      <c r="C42" t="s">
        <v>15</v>
      </c>
      <c r="D42" t="s">
        <v>1538</v>
      </c>
      <c r="E42" t="s">
        <v>1539</v>
      </c>
      <c r="F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2" s="27">
        <f t="shared" si="0"/>
        <v>40084</v>
      </c>
      <c r="H42" s="7" t="str">
        <f t="shared" si="1"/>
        <v>23:20:44</v>
      </c>
      <c r="I42" s="8" t="str">
        <f t="shared" si="2"/>
        <v>Evening</v>
      </c>
      <c r="L42">
        <v>1</v>
      </c>
      <c r="M42">
        <v>0</v>
      </c>
      <c r="N42">
        <v>0</v>
      </c>
      <c r="O42" s="4">
        <f t="shared" si="3"/>
        <v>1</v>
      </c>
      <c r="P42" s="5" t="str">
        <f t="shared" si="4"/>
        <v>Low engagement</v>
      </c>
      <c r="Q42" t="b">
        <v>0</v>
      </c>
      <c r="R42" t="b">
        <v>0</v>
      </c>
      <c r="S42" t="b">
        <v>1</v>
      </c>
      <c r="T42" s="24" t="str">
        <f t="shared" si="5"/>
        <v>Link</v>
      </c>
    </row>
    <row r="43" spans="1:20" hidden="1" x14ac:dyDescent="0.2">
      <c r="A43" t="s">
        <v>2343</v>
      </c>
      <c r="B43" t="s">
        <v>14</v>
      </c>
      <c r="C43" t="s">
        <v>15</v>
      </c>
      <c r="D43" t="s">
        <v>2344</v>
      </c>
      <c r="E43" t="s">
        <v>2345</v>
      </c>
      <c r="F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3" s="27">
        <f t="shared" si="0"/>
        <v>39962</v>
      </c>
      <c r="H43" s="7" t="str">
        <f t="shared" si="1"/>
        <v>21:15:39</v>
      </c>
      <c r="I43" s="8" t="str">
        <f t="shared" si="2"/>
        <v>Evening</v>
      </c>
      <c r="L43">
        <v>0</v>
      </c>
      <c r="M43">
        <v>0</v>
      </c>
      <c r="N43">
        <v>0</v>
      </c>
      <c r="O43" s="4">
        <f t="shared" si="3"/>
        <v>0</v>
      </c>
      <c r="P43" s="5" t="str">
        <f t="shared" si="4"/>
        <v>No engagement</v>
      </c>
      <c r="Q43" t="b">
        <v>0</v>
      </c>
      <c r="R43" t="b">
        <v>0</v>
      </c>
      <c r="S43" t="b">
        <v>1</v>
      </c>
      <c r="T43" s="24" t="str">
        <f t="shared" si="5"/>
        <v>Link</v>
      </c>
    </row>
    <row r="44" spans="1:20" hidden="1" x14ac:dyDescent="0.2">
      <c r="A44" t="s">
        <v>2340</v>
      </c>
      <c r="B44" t="s">
        <v>14</v>
      </c>
      <c r="C44" t="s">
        <v>15</v>
      </c>
      <c r="D44" t="s">
        <v>2341</v>
      </c>
      <c r="E44" t="s">
        <v>2342</v>
      </c>
      <c r="F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4" s="27">
        <f t="shared" si="0"/>
        <v>39962</v>
      </c>
      <c r="H44" s="7" t="str">
        <f t="shared" si="1"/>
        <v>21:18:12</v>
      </c>
      <c r="I44" s="8" t="str">
        <f t="shared" si="2"/>
        <v>Evening</v>
      </c>
      <c r="L44">
        <v>0</v>
      </c>
      <c r="M44">
        <v>0</v>
      </c>
      <c r="N44">
        <v>0</v>
      </c>
      <c r="O44" s="4">
        <f t="shared" si="3"/>
        <v>0</v>
      </c>
      <c r="P44" s="5" t="str">
        <f t="shared" si="4"/>
        <v>No engagement</v>
      </c>
      <c r="Q44" t="b">
        <v>0</v>
      </c>
      <c r="R44" t="b">
        <v>0</v>
      </c>
      <c r="S44" t="b">
        <v>1</v>
      </c>
      <c r="T44" s="24" t="str">
        <f t="shared" si="5"/>
        <v>Link</v>
      </c>
    </row>
    <row r="45" spans="1:20" hidden="1" x14ac:dyDescent="0.2">
      <c r="A45" t="s">
        <v>2337</v>
      </c>
      <c r="B45" t="s">
        <v>14</v>
      </c>
      <c r="C45" t="s">
        <v>15</v>
      </c>
      <c r="D45" t="s">
        <v>2338</v>
      </c>
      <c r="E45" t="s">
        <v>2339</v>
      </c>
      <c r="F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5" s="27">
        <f t="shared" si="0"/>
        <v>39962</v>
      </c>
      <c r="H45" s="7" t="str">
        <f t="shared" si="1"/>
        <v>21:54:05</v>
      </c>
      <c r="I45" s="8" t="str">
        <f t="shared" si="2"/>
        <v>Evening</v>
      </c>
      <c r="L45">
        <v>0</v>
      </c>
      <c r="M45">
        <v>0</v>
      </c>
      <c r="N45">
        <v>0</v>
      </c>
      <c r="O45" s="4">
        <f t="shared" si="3"/>
        <v>0</v>
      </c>
      <c r="P45" s="5" t="str">
        <f t="shared" si="4"/>
        <v>No engagement</v>
      </c>
      <c r="Q45" t="b">
        <v>0</v>
      </c>
      <c r="R45" t="b">
        <v>0</v>
      </c>
      <c r="S45" t="b">
        <v>1</v>
      </c>
      <c r="T45" s="24" t="str">
        <f t="shared" si="5"/>
        <v>Link</v>
      </c>
    </row>
    <row r="46" spans="1:20" hidden="1" x14ac:dyDescent="0.2">
      <c r="A46" t="s">
        <v>2334</v>
      </c>
      <c r="B46" t="s">
        <v>14</v>
      </c>
      <c r="C46" t="s">
        <v>15</v>
      </c>
      <c r="D46" t="s">
        <v>2335</v>
      </c>
      <c r="E46" t="s">
        <v>2336</v>
      </c>
      <c r="F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6" s="27">
        <f t="shared" si="0"/>
        <v>39965</v>
      </c>
      <c r="H46" s="7" t="str">
        <f t="shared" si="1"/>
        <v>14:35:12</v>
      </c>
      <c r="I46" s="8" t="str">
        <f t="shared" si="2"/>
        <v>Afternoon</v>
      </c>
      <c r="L46">
        <v>0</v>
      </c>
      <c r="M46">
        <v>0</v>
      </c>
      <c r="N46">
        <v>0</v>
      </c>
      <c r="O46" s="4">
        <f t="shared" si="3"/>
        <v>0</v>
      </c>
      <c r="P46" s="5" t="str">
        <f t="shared" si="4"/>
        <v>No engagement</v>
      </c>
      <c r="Q46" t="b">
        <v>0</v>
      </c>
      <c r="R46" t="b">
        <v>0</v>
      </c>
      <c r="S46" t="b">
        <v>1</v>
      </c>
      <c r="T46" s="24" t="str">
        <f t="shared" si="5"/>
        <v>Link</v>
      </c>
    </row>
    <row r="47" spans="1:20" hidden="1" x14ac:dyDescent="0.2">
      <c r="A47" t="s">
        <v>2331</v>
      </c>
      <c r="B47" t="s">
        <v>14</v>
      </c>
      <c r="C47" t="s">
        <v>15</v>
      </c>
      <c r="D47" t="s">
        <v>2332</v>
      </c>
      <c r="E47" t="s">
        <v>2333</v>
      </c>
      <c r="F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7" s="27">
        <f t="shared" si="0"/>
        <v>39965</v>
      </c>
      <c r="H47" s="7" t="str">
        <f t="shared" si="1"/>
        <v>21:52:26</v>
      </c>
      <c r="I47" s="8" t="str">
        <f t="shared" si="2"/>
        <v>Evening</v>
      </c>
      <c r="L47">
        <v>0</v>
      </c>
      <c r="M47">
        <v>0</v>
      </c>
      <c r="N47">
        <v>0</v>
      </c>
      <c r="O47" s="4">
        <f t="shared" si="3"/>
        <v>0</v>
      </c>
      <c r="P47" s="5" t="str">
        <f t="shared" si="4"/>
        <v>No engagement</v>
      </c>
      <c r="Q47" t="b">
        <v>0</v>
      </c>
      <c r="R47" t="b">
        <v>0</v>
      </c>
      <c r="S47" t="b">
        <v>0</v>
      </c>
      <c r="T47" s="24" t="str">
        <f t="shared" si="5"/>
        <v>Text only</v>
      </c>
    </row>
    <row r="48" spans="1:20" hidden="1" x14ac:dyDescent="0.2">
      <c r="A48" t="s">
        <v>2328</v>
      </c>
      <c r="B48" t="s">
        <v>14</v>
      </c>
      <c r="C48" t="s">
        <v>15</v>
      </c>
      <c r="D48" t="s">
        <v>2329</v>
      </c>
      <c r="E48" t="s">
        <v>2330</v>
      </c>
      <c r="F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8" s="27">
        <f t="shared" si="0"/>
        <v>39965</v>
      </c>
      <c r="H48" s="7" t="str">
        <f t="shared" si="1"/>
        <v>22:34:52</v>
      </c>
      <c r="I48" s="8" t="str">
        <f t="shared" si="2"/>
        <v>Evening</v>
      </c>
      <c r="J48" t="s">
        <v>476</v>
      </c>
      <c r="L48">
        <v>0</v>
      </c>
      <c r="M48">
        <v>0</v>
      </c>
      <c r="N48">
        <v>0</v>
      </c>
      <c r="O48" s="4">
        <f t="shared" si="3"/>
        <v>0</v>
      </c>
      <c r="P48" s="5" t="str">
        <f t="shared" si="4"/>
        <v>No engagement</v>
      </c>
      <c r="Q48" t="b">
        <v>0</v>
      </c>
      <c r="R48" t="b">
        <v>0</v>
      </c>
      <c r="S48" t="b">
        <v>0</v>
      </c>
      <c r="T48" s="24" t="str">
        <f t="shared" si="5"/>
        <v>Text only</v>
      </c>
    </row>
    <row r="49" spans="1:20" hidden="1" x14ac:dyDescent="0.2">
      <c r="A49" t="s">
        <v>2325</v>
      </c>
      <c r="B49" t="s">
        <v>14</v>
      </c>
      <c r="C49" t="s">
        <v>15</v>
      </c>
      <c r="D49" t="s">
        <v>2326</v>
      </c>
      <c r="E49" t="s">
        <v>2327</v>
      </c>
      <c r="F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49" s="27">
        <f t="shared" si="0"/>
        <v>39965</v>
      </c>
      <c r="H49" s="7" t="str">
        <f t="shared" si="1"/>
        <v>22:36:05</v>
      </c>
      <c r="I49" s="8" t="str">
        <f t="shared" si="2"/>
        <v>Evening</v>
      </c>
      <c r="L49">
        <v>0</v>
      </c>
      <c r="M49">
        <v>0</v>
      </c>
      <c r="N49">
        <v>0</v>
      </c>
      <c r="O49" s="4">
        <f t="shared" si="3"/>
        <v>0</v>
      </c>
      <c r="P49" s="5" t="str">
        <f t="shared" si="4"/>
        <v>No engagement</v>
      </c>
      <c r="Q49" t="b">
        <v>0</v>
      </c>
      <c r="R49" t="b">
        <v>0</v>
      </c>
      <c r="S49" t="b">
        <v>0</v>
      </c>
      <c r="T49" s="24" t="str">
        <f t="shared" si="5"/>
        <v>Text only</v>
      </c>
    </row>
    <row r="50" spans="1:20" hidden="1" x14ac:dyDescent="0.2">
      <c r="A50" t="s">
        <v>2322</v>
      </c>
      <c r="B50" t="s">
        <v>14</v>
      </c>
      <c r="C50" t="s">
        <v>15</v>
      </c>
      <c r="D50" t="s">
        <v>2323</v>
      </c>
      <c r="E50" t="s">
        <v>2324</v>
      </c>
      <c r="F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0" s="27">
        <f t="shared" si="0"/>
        <v>39966</v>
      </c>
      <c r="H50" s="7" t="str">
        <f t="shared" si="1"/>
        <v>15:00:17</v>
      </c>
      <c r="I50" s="8" t="str">
        <f t="shared" si="2"/>
        <v>Afternoon</v>
      </c>
      <c r="L50">
        <v>0</v>
      </c>
      <c r="M50">
        <v>0</v>
      </c>
      <c r="N50">
        <v>0</v>
      </c>
      <c r="O50" s="4">
        <f t="shared" si="3"/>
        <v>0</v>
      </c>
      <c r="P50" s="5" t="str">
        <f t="shared" si="4"/>
        <v>No engagement</v>
      </c>
      <c r="Q50" t="b">
        <v>0</v>
      </c>
      <c r="R50" t="b">
        <v>0</v>
      </c>
      <c r="S50" t="b">
        <v>1</v>
      </c>
      <c r="T50" s="24" t="str">
        <f t="shared" si="5"/>
        <v>Link</v>
      </c>
    </row>
    <row r="51" spans="1:20" hidden="1" x14ac:dyDescent="0.2">
      <c r="A51" t="s">
        <v>2319</v>
      </c>
      <c r="B51" t="s">
        <v>14</v>
      </c>
      <c r="C51" t="s">
        <v>15</v>
      </c>
      <c r="D51" t="s">
        <v>2320</v>
      </c>
      <c r="E51" t="s">
        <v>2321</v>
      </c>
      <c r="F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1" s="27">
        <f t="shared" si="0"/>
        <v>39966</v>
      </c>
      <c r="H51" s="7" t="str">
        <f t="shared" si="1"/>
        <v>15:44:38</v>
      </c>
      <c r="I51" s="8" t="str">
        <f t="shared" si="2"/>
        <v>Afternoon</v>
      </c>
      <c r="L51">
        <v>0</v>
      </c>
      <c r="M51">
        <v>0</v>
      </c>
      <c r="N51">
        <v>0</v>
      </c>
      <c r="O51" s="4">
        <f t="shared" si="3"/>
        <v>0</v>
      </c>
      <c r="P51" s="5" t="str">
        <f t="shared" si="4"/>
        <v>No engagement</v>
      </c>
      <c r="Q51" t="b">
        <v>0</v>
      </c>
      <c r="R51" t="b">
        <v>0</v>
      </c>
      <c r="S51" t="b">
        <v>1</v>
      </c>
      <c r="T51" s="24" t="str">
        <f t="shared" si="5"/>
        <v>Link</v>
      </c>
    </row>
    <row r="52" spans="1:20" hidden="1" x14ac:dyDescent="0.2">
      <c r="A52" t="s">
        <v>2316</v>
      </c>
      <c r="B52" t="s">
        <v>14</v>
      </c>
      <c r="C52" t="s">
        <v>15</v>
      </c>
      <c r="D52" t="s">
        <v>2317</v>
      </c>
      <c r="E52" t="s">
        <v>2318</v>
      </c>
      <c r="F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2" s="27">
        <f t="shared" si="0"/>
        <v>39966</v>
      </c>
      <c r="H52" s="7" t="str">
        <f t="shared" si="1"/>
        <v>17:57:25</v>
      </c>
      <c r="I52" s="8" t="str">
        <f t="shared" si="2"/>
        <v>Afternoon</v>
      </c>
      <c r="L52">
        <v>0</v>
      </c>
      <c r="M52">
        <v>0</v>
      </c>
      <c r="N52">
        <v>0</v>
      </c>
      <c r="O52" s="4">
        <f t="shared" si="3"/>
        <v>0</v>
      </c>
      <c r="P52" s="5" t="str">
        <f t="shared" si="4"/>
        <v>No engagement</v>
      </c>
      <c r="Q52" t="b">
        <v>0</v>
      </c>
      <c r="R52" t="b">
        <v>0</v>
      </c>
      <c r="S52" t="b">
        <v>1</v>
      </c>
      <c r="T52" s="24" t="str">
        <f t="shared" si="5"/>
        <v>Link</v>
      </c>
    </row>
    <row r="53" spans="1:20" hidden="1" x14ac:dyDescent="0.2">
      <c r="A53" t="s">
        <v>2313</v>
      </c>
      <c r="B53" t="s">
        <v>14</v>
      </c>
      <c r="C53" t="s">
        <v>15</v>
      </c>
      <c r="D53" t="s">
        <v>2314</v>
      </c>
      <c r="E53" t="s">
        <v>2315</v>
      </c>
      <c r="F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3" s="27">
        <f t="shared" si="0"/>
        <v>39966</v>
      </c>
      <c r="H53" s="7" t="str">
        <f t="shared" si="1"/>
        <v>21:04:49</v>
      </c>
      <c r="I53" s="8" t="str">
        <f t="shared" si="2"/>
        <v>Evening</v>
      </c>
      <c r="L53">
        <v>0</v>
      </c>
      <c r="M53">
        <v>0</v>
      </c>
      <c r="N53">
        <v>0</v>
      </c>
      <c r="O53" s="4">
        <f t="shared" si="3"/>
        <v>0</v>
      </c>
      <c r="P53" s="5" t="str">
        <f t="shared" si="4"/>
        <v>No engagement</v>
      </c>
      <c r="Q53" t="b">
        <v>0</v>
      </c>
      <c r="R53" t="b">
        <v>0</v>
      </c>
      <c r="S53" t="b">
        <v>1</v>
      </c>
      <c r="T53" s="24" t="str">
        <f t="shared" si="5"/>
        <v>Link</v>
      </c>
    </row>
    <row r="54" spans="1:20" hidden="1" x14ac:dyDescent="0.2">
      <c r="A54" t="s">
        <v>2309</v>
      </c>
      <c r="B54" t="s">
        <v>14</v>
      </c>
      <c r="C54" t="s">
        <v>15</v>
      </c>
      <c r="D54" t="s">
        <v>2310</v>
      </c>
      <c r="E54" t="s">
        <v>2311</v>
      </c>
      <c r="F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4" s="27">
        <f t="shared" si="0"/>
        <v>39969</v>
      </c>
      <c r="H54" s="7" t="str">
        <f t="shared" si="1"/>
        <v>05:40:09</v>
      </c>
      <c r="I54" s="8" t="str">
        <f t="shared" si="2"/>
        <v>Early morning</v>
      </c>
      <c r="J54" t="s">
        <v>2312</v>
      </c>
      <c r="L54">
        <v>0</v>
      </c>
      <c r="M54">
        <v>0</v>
      </c>
      <c r="N54">
        <v>0</v>
      </c>
      <c r="O54" s="4">
        <f t="shared" si="3"/>
        <v>0</v>
      </c>
      <c r="P54" s="5" t="str">
        <f t="shared" si="4"/>
        <v>No engagement</v>
      </c>
      <c r="Q54" t="b">
        <v>0</v>
      </c>
      <c r="R54" t="b">
        <v>0</v>
      </c>
      <c r="S54" t="b">
        <v>0</v>
      </c>
      <c r="T54" s="24" t="str">
        <f t="shared" si="5"/>
        <v>Text only</v>
      </c>
    </row>
    <row r="55" spans="1:20" hidden="1" x14ac:dyDescent="0.2">
      <c r="A55" t="s">
        <v>2303</v>
      </c>
      <c r="B55" t="s">
        <v>14</v>
      </c>
      <c r="C55" t="s">
        <v>15</v>
      </c>
      <c r="D55" t="s">
        <v>2304</v>
      </c>
      <c r="E55" t="s">
        <v>2305</v>
      </c>
      <c r="F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5" s="27">
        <f t="shared" si="0"/>
        <v>39969</v>
      </c>
      <c r="H55" s="7" t="str">
        <f t="shared" si="1"/>
        <v>18:13:19</v>
      </c>
      <c r="I55" s="8" t="str">
        <f t="shared" si="2"/>
        <v>Evening</v>
      </c>
      <c r="J55" t="s">
        <v>2302</v>
      </c>
      <c r="L55">
        <v>0</v>
      </c>
      <c r="M55">
        <v>0</v>
      </c>
      <c r="N55">
        <v>0</v>
      </c>
      <c r="O55" s="4">
        <f t="shared" si="3"/>
        <v>0</v>
      </c>
      <c r="P55" s="5" t="str">
        <f t="shared" si="4"/>
        <v>No engagement</v>
      </c>
      <c r="Q55" t="b">
        <v>0</v>
      </c>
      <c r="R55" t="b">
        <v>0</v>
      </c>
      <c r="S55" t="b">
        <v>1</v>
      </c>
      <c r="T55" s="24" t="str">
        <f t="shared" si="5"/>
        <v>Link</v>
      </c>
    </row>
    <row r="56" spans="1:20" hidden="1" x14ac:dyDescent="0.2">
      <c r="A56" t="s">
        <v>2299</v>
      </c>
      <c r="B56" t="s">
        <v>14</v>
      </c>
      <c r="C56" t="s">
        <v>15</v>
      </c>
      <c r="D56" t="s">
        <v>2300</v>
      </c>
      <c r="E56" t="s">
        <v>2301</v>
      </c>
      <c r="F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6" s="27">
        <f t="shared" si="0"/>
        <v>39969</v>
      </c>
      <c r="H56" s="7" t="str">
        <f t="shared" si="1"/>
        <v>18:24:58</v>
      </c>
      <c r="I56" s="8" t="str">
        <f t="shared" si="2"/>
        <v>Evening</v>
      </c>
      <c r="J56" t="s">
        <v>2302</v>
      </c>
      <c r="L56">
        <v>0</v>
      </c>
      <c r="M56">
        <v>0</v>
      </c>
      <c r="N56">
        <v>0</v>
      </c>
      <c r="O56" s="4">
        <f t="shared" si="3"/>
        <v>0</v>
      </c>
      <c r="P56" s="5" t="str">
        <f t="shared" si="4"/>
        <v>No engagement</v>
      </c>
      <c r="Q56" t="b">
        <v>0</v>
      </c>
      <c r="R56" t="b">
        <v>0</v>
      </c>
      <c r="S56" t="b">
        <v>1</v>
      </c>
      <c r="T56" s="24" t="str">
        <f t="shared" si="5"/>
        <v>Link</v>
      </c>
    </row>
    <row r="57" spans="1:20" hidden="1" x14ac:dyDescent="0.2">
      <c r="A57" t="s">
        <v>2295</v>
      </c>
      <c r="B57" t="s">
        <v>14</v>
      </c>
      <c r="C57" t="s">
        <v>15</v>
      </c>
      <c r="D57" t="s">
        <v>2296</v>
      </c>
      <c r="E57" t="s">
        <v>2297</v>
      </c>
      <c r="F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7" s="27">
        <f t="shared" si="0"/>
        <v>39970</v>
      </c>
      <c r="H57" s="7" t="str">
        <f t="shared" si="1"/>
        <v>17:44:59</v>
      </c>
      <c r="I57" s="8" t="str">
        <f t="shared" si="2"/>
        <v>Afternoon</v>
      </c>
      <c r="J57" t="s">
        <v>2298</v>
      </c>
      <c r="L57">
        <v>0</v>
      </c>
      <c r="M57">
        <v>0</v>
      </c>
      <c r="N57">
        <v>0</v>
      </c>
      <c r="O57" s="4">
        <f t="shared" si="3"/>
        <v>0</v>
      </c>
      <c r="P57" s="5" t="str">
        <f t="shared" si="4"/>
        <v>No engagement</v>
      </c>
      <c r="Q57" t="b">
        <v>0</v>
      </c>
      <c r="R57" t="b">
        <v>0</v>
      </c>
      <c r="S57" t="b">
        <v>0</v>
      </c>
      <c r="T57" s="24" t="str">
        <f t="shared" si="5"/>
        <v>Text only</v>
      </c>
    </row>
    <row r="58" spans="1:20" hidden="1" x14ac:dyDescent="0.2">
      <c r="A58" t="s">
        <v>2291</v>
      </c>
      <c r="B58" t="s">
        <v>14</v>
      </c>
      <c r="C58" t="s">
        <v>15</v>
      </c>
      <c r="D58" t="s">
        <v>2292</v>
      </c>
      <c r="E58" t="s">
        <v>2293</v>
      </c>
      <c r="F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8" s="27">
        <f t="shared" si="0"/>
        <v>39970</v>
      </c>
      <c r="H58" s="7" t="str">
        <f t="shared" si="1"/>
        <v>17:45:12</v>
      </c>
      <c r="I58" s="8" t="str">
        <f t="shared" si="2"/>
        <v>Afternoon</v>
      </c>
      <c r="J58" t="s">
        <v>2294</v>
      </c>
      <c r="L58">
        <v>0</v>
      </c>
      <c r="M58">
        <v>0</v>
      </c>
      <c r="N58">
        <v>0</v>
      </c>
      <c r="O58" s="4">
        <f t="shared" si="3"/>
        <v>0</v>
      </c>
      <c r="P58" s="5" t="str">
        <f t="shared" si="4"/>
        <v>No engagement</v>
      </c>
      <c r="Q58" t="b">
        <v>0</v>
      </c>
      <c r="R58" t="b">
        <v>0</v>
      </c>
      <c r="S58" t="b">
        <v>0</v>
      </c>
      <c r="T58" s="24" t="str">
        <f t="shared" si="5"/>
        <v>Text only</v>
      </c>
    </row>
    <row r="59" spans="1:20" hidden="1" x14ac:dyDescent="0.2">
      <c r="A59" t="s">
        <v>2287</v>
      </c>
      <c r="B59" t="s">
        <v>14</v>
      </c>
      <c r="C59" t="s">
        <v>15</v>
      </c>
      <c r="D59" t="s">
        <v>2288</v>
      </c>
      <c r="E59" t="s">
        <v>2289</v>
      </c>
      <c r="F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59" s="27">
        <f t="shared" si="0"/>
        <v>39972</v>
      </c>
      <c r="H59" s="7" t="str">
        <f t="shared" si="1"/>
        <v>15:19:12</v>
      </c>
      <c r="I59" s="8" t="str">
        <f t="shared" si="2"/>
        <v>Afternoon</v>
      </c>
      <c r="J59" t="s">
        <v>2290</v>
      </c>
      <c r="L59">
        <v>0</v>
      </c>
      <c r="M59">
        <v>0</v>
      </c>
      <c r="N59">
        <v>0</v>
      </c>
      <c r="O59" s="4">
        <f t="shared" si="3"/>
        <v>0</v>
      </c>
      <c r="P59" s="5" t="str">
        <f t="shared" si="4"/>
        <v>No engagement</v>
      </c>
      <c r="Q59" t="b">
        <v>0</v>
      </c>
      <c r="R59" t="b">
        <v>0</v>
      </c>
      <c r="S59" t="b">
        <v>1</v>
      </c>
      <c r="T59" s="24" t="str">
        <f t="shared" si="5"/>
        <v>Link</v>
      </c>
    </row>
    <row r="60" spans="1:20" hidden="1" x14ac:dyDescent="0.2">
      <c r="A60" t="s">
        <v>2284</v>
      </c>
      <c r="B60" t="s">
        <v>14</v>
      </c>
      <c r="C60" t="s">
        <v>15</v>
      </c>
      <c r="D60" t="s">
        <v>2285</v>
      </c>
      <c r="E60" t="s">
        <v>2286</v>
      </c>
      <c r="F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0" s="27">
        <f t="shared" si="0"/>
        <v>39972</v>
      </c>
      <c r="H60" s="7" t="str">
        <f t="shared" si="1"/>
        <v>16:25:35</v>
      </c>
      <c r="I60" s="8" t="str">
        <f t="shared" si="2"/>
        <v>Afternoon</v>
      </c>
      <c r="L60">
        <v>0</v>
      </c>
      <c r="M60">
        <v>0</v>
      </c>
      <c r="N60">
        <v>0</v>
      </c>
      <c r="O60" s="4">
        <f t="shared" si="3"/>
        <v>0</v>
      </c>
      <c r="P60" s="5" t="str">
        <f t="shared" si="4"/>
        <v>No engagement</v>
      </c>
      <c r="Q60" t="b">
        <v>0</v>
      </c>
      <c r="R60" t="b">
        <v>0</v>
      </c>
      <c r="S60" t="b">
        <v>1</v>
      </c>
      <c r="T60" s="24" t="str">
        <f t="shared" si="5"/>
        <v>Link</v>
      </c>
    </row>
    <row r="61" spans="1:20" hidden="1" x14ac:dyDescent="0.2">
      <c r="A61" t="s">
        <v>2281</v>
      </c>
      <c r="B61" t="s">
        <v>14</v>
      </c>
      <c r="C61" t="s">
        <v>15</v>
      </c>
      <c r="D61" t="s">
        <v>2282</v>
      </c>
      <c r="E61" t="s">
        <v>2283</v>
      </c>
      <c r="F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1" s="27">
        <f t="shared" si="0"/>
        <v>39972</v>
      </c>
      <c r="H61" s="7" t="str">
        <f t="shared" si="1"/>
        <v>18:22:39</v>
      </c>
      <c r="I61" s="8" t="str">
        <f t="shared" si="2"/>
        <v>Evening</v>
      </c>
      <c r="L61">
        <v>0</v>
      </c>
      <c r="M61">
        <v>0</v>
      </c>
      <c r="N61">
        <v>0</v>
      </c>
      <c r="O61" s="4">
        <f t="shared" si="3"/>
        <v>0</v>
      </c>
      <c r="P61" s="5" t="str">
        <f t="shared" si="4"/>
        <v>No engagement</v>
      </c>
      <c r="Q61" t="b">
        <v>0</v>
      </c>
      <c r="R61" t="b">
        <v>0</v>
      </c>
      <c r="S61" t="b">
        <v>1</v>
      </c>
      <c r="T61" s="24" t="str">
        <f t="shared" si="5"/>
        <v>Link</v>
      </c>
    </row>
    <row r="62" spans="1:20" hidden="1" x14ac:dyDescent="0.2">
      <c r="A62" t="s">
        <v>2278</v>
      </c>
      <c r="B62" t="s">
        <v>14</v>
      </c>
      <c r="C62" t="s">
        <v>15</v>
      </c>
      <c r="D62" t="s">
        <v>2279</v>
      </c>
      <c r="E62" t="s">
        <v>2280</v>
      </c>
      <c r="F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2" s="27">
        <f t="shared" si="0"/>
        <v>39972</v>
      </c>
      <c r="H62" s="7" t="str">
        <f t="shared" si="1"/>
        <v>20:23:14</v>
      </c>
      <c r="I62" s="8" t="str">
        <f t="shared" si="2"/>
        <v>Evening</v>
      </c>
      <c r="L62">
        <v>0</v>
      </c>
      <c r="M62">
        <v>0</v>
      </c>
      <c r="N62">
        <v>0</v>
      </c>
      <c r="O62" s="4">
        <f t="shared" si="3"/>
        <v>0</v>
      </c>
      <c r="P62" s="5" t="str">
        <f t="shared" si="4"/>
        <v>No engagement</v>
      </c>
      <c r="Q62" t="b">
        <v>0</v>
      </c>
      <c r="R62" t="b">
        <v>0</v>
      </c>
      <c r="S62" t="b">
        <v>1</v>
      </c>
      <c r="T62" s="24" t="str">
        <f t="shared" si="5"/>
        <v>Link</v>
      </c>
    </row>
    <row r="63" spans="1:20" hidden="1" x14ac:dyDescent="0.2">
      <c r="A63" t="s">
        <v>2274</v>
      </c>
      <c r="B63" t="s">
        <v>14</v>
      </c>
      <c r="C63" t="s">
        <v>15</v>
      </c>
      <c r="D63" t="s">
        <v>2275</v>
      </c>
      <c r="E63" t="s">
        <v>2276</v>
      </c>
      <c r="F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3" s="27">
        <f t="shared" si="0"/>
        <v>39972</v>
      </c>
      <c r="H63" s="7" t="str">
        <f t="shared" si="1"/>
        <v>20:30:51</v>
      </c>
      <c r="I63" s="8" t="str">
        <f t="shared" si="2"/>
        <v>Evening</v>
      </c>
      <c r="J63" t="s">
        <v>2277</v>
      </c>
      <c r="L63">
        <v>0</v>
      </c>
      <c r="M63">
        <v>0</v>
      </c>
      <c r="N63">
        <v>0</v>
      </c>
      <c r="O63" s="4">
        <f t="shared" si="3"/>
        <v>0</v>
      </c>
      <c r="P63" s="5" t="str">
        <f t="shared" si="4"/>
        <v>No engagement</v>
      </c>
      <c r="Q63" t="b">
        <v>0</v>
      </c>
      <c r="R63" t="b">
        <v>0</v>
      </c>
      <c r="S63" t="b">
        <v>0</v>
      </c>
      <c r="T63" s="24" t="str">
        <f t="shared" si="5"/>
        <v>Text only</v>
      </c>
    </row>
    <row r="64" spans="1:20" hidden="1" x14ac:dyDescent="0.2">
      <c r="A64" t="s">
        <v>2265</v>
      </c>
      <c r="B64" t="s">
        <v>14</v>
      </c>
      <c r="C64" t="s">
        <v>15</v>
      </c>
      <c r="D64" t="s">
        <v>2266</v>
      </c>
      <c r="E64" t="s">
        <v>2267</v>
      </c>
      <c r="F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4" s="27">
        <f t="shared" si="0"/>
        <v>39973</v>
      </c>
      <c r="H64" s="7" t="str">
        <f t="shared" si="1"/>
        <v>15:06:54</v>
      </c>
      <c r="I64" s="8" t="str">
        <f t="shared" si="2"/>
        <v>Afternoon</v>
      </c>
      <c r="J64" t="s">
        <v>2261</v>
      </c>
      <c r="L64">
        <v>0</v>
      </c>
      <c r="M64">
        <v>0</v>
      </c>
      <c r="N64">
        <v>0</v>
      </c>
      <c r="O64" s="4">
        <f t="shared" si="3"/>
        <v>0</v>
      </c>
      <c r="P64" s="5" t="str">
        <f t="shared" si="4"/>
        <v>No engagement</v>
      </c>
      <c r="Q64" t="b">
        <v>0</v>
      </c>
      <c r="R64" t="b">
        <v>0</v>
      </c>
      <c r="S64" t="b">
        <v>1</v>
      </c>
      <c r="T64" s="24" t="str">
        <f t="shared" si="5"/>
        <v>Link</v>
      </c>
    </row>
    <row r="65" spans="1:20" hidden="1" x14ac:dyDescent="0.2">
      <c r="A65" t="s">
        <v>2262</v>
      </c>
      <c r="B65" t="s">
        <v>14</v>
      </c>
      <c r="C65" t="s">
        <v>15</v>
      </c>
      <c r="D65" t="s">
        <v>2263</v>
      </c>
      <c r="E65" t="s">
        <v>2264</v>
      </c>
      <c r="F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5" s="27">
        <f t="shared" si="0"/>
        <v>39973</v>
      </c>
      <c r="H65" s="7" t="str">
        <f t="shared" si="1"/>
        <v>15:16:48</v>
      </c>
      <c r="I65" s="8" t="str">
        <f t="shared" si="2"/>
        <v>Afternoon</v>
      </c>
      <c r="J65" t="s">
        <v>2261</v>
      </c>
      <c r="L65">
        <v>0</v>
      </c>
      <c r="M65">
        <v>0</v>
      </c>
      <c r="N65">
        <v>0</v>
      </c>
      <c r="O65" s="4">
        <f t="shared" si="3"/>
        <v>0</v>
      </c>
      <c r="P65" s="5" t="str">
        <f t="shared" si="4"/>
        <v>No engagement</v>
      </c>
      <c r="Q65" t="b">
        <v>0</v>
      </c>
      <c r="R65" t="b">
        <v>0</v>
      </c>
      <c r="S65" t="b">
        <v>0</v>
      </c>
      <c r="T65" s="24" t="str">
        <f t="shared" si="5"/>
        <v>Text only</v>
      </c>
    </row>
    <row r="66" spans="1:20" hidden="1" x14ac:dyDescent="0.2">
      <c r="A66" t="s">
        <v>2258</v>
      </c>
      <c r="B66" t="s">
        <v>14</v>
      </c>
      <c r="C66" t="s">
        <v>15</v>
      </c>
      <c r="D66" t="s">
        <v>2259</v>
      </c>
      <c r="E66" t="s">
        <v>2260</v>
      </c>
      <c r="F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6" s="27">
        <f t="shared" ref="G66:G129" si="6">DATEVALUE((LEFT(E66,10)))</f>
        <v>39973</v>
      </c>
      <c r="H66" s="7" t="str">
        <f t="shared" ref="H66:H129" si="7">MID(E66,12,8)</f>
        <v>15:22:13</v>
      </c>
      <c r="I66" s="8" t="str">
        <f t="shared" ref="I66:I129" si="8">IF(HOUR(H66)&lt;7,"Early morning",
IF(HOUR(H66)&lt;11,"Morning",
IF(HOUR(H66)&lt;14,"Mid-day",
IF(HOUR(H66)&lt;18,"Afternoon","Evening"))))</f>
        <v>Afternoon</v>
      </c>
      <c r="J66" t="s">
        <v>2261</v>
      </c>
      <c r="L66">
        <v>0</v>
      </c>
      <c r="M66">
        <v>0</v>
      </c>
      <c r="N66">
        <v>0</v>
      </c>
      <c r="O66" s="4">
        <f t="shared" ref="O66:O129" si="9">L66+M66+N66</f>
        <v>0</v>
      </c>
      <c r="P66" s="5" t="str">
        <f t="shared" ref="P66:P129" si="10">IF(O66&lt;1,"No engagement", IF(O66&lt;5,"Low engagement", IF(O66&lt;10,"Moderate engagement", "High engagement")))</f>
        <v>No engagement</v>
      </c>
      <c r="Q66" t="b">
        <v>0</v>
      </c>
      <c r="R66" t="b">
        <v>0</v>
      </c>
      <c r="S66" t="b">
        <v>0</v>
      </c>
      <c r="T66" s="24" t="str">
        <f t="shared" ref="T66:T129" si="11">IF(Q66=TRUE,"Photo",IF(R66=TRUE,"Video",IF(S66=TRUE,"Link",("Text only"))))</f>
        <v>Text only</v>
      </c>
    </row>
    <row r="67" spans="1:20" hidden="1" x14ac:dyDescent="0.2">
      <c r="A67" t="s">
        <v>2255</v>
      </c>
      <c r="B67" t="s">
        <v>14</v>
      </c>
      <c r="C67" t="s">
        <v>15</v>
      </c>
      <c r="D67" t="s">
        <v>2256</v>
      </c>
      <c r="E67" t="s">
        <v>2257</v>
      </c>
      <c r="F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7" s="27">
        <f t="shared" si="6"/>
        <v>39973</v>
      </c>
      <c r="H67" s="7" t="str">
        <f t="shared" si="7"/>
        <v>15:29:54</v>
      </c>
      <c r="I67" s="8" t="str">
        <f t="shared" si="8"/>
        <v>Afternoon</v>
      </c>
      <c r="L67">
        <v>0</v>
      </c>
      <c r="M67">
        <v>0</v>
      </c>
      <c r="N67">
        <v>0</v>
      </c>
      <c r="O67" s="4">
        <f t="shared" si="9"/>
        <v>0</v>
      </c>
      <c r="P67" s="5" t="str">
        <f t="shared" si="10"/>
        <v>No engagement</v>
      </c>
      <c r="Q67" t="b">
        <v>0</v>
      </c>
      <c r="R67" t="b">
        <v>0</v>
      </c>
      <c r="S67" t="b">
        <v>1</v>
      </c>
      <c r="T67" s="24" t="str">
        <f t="shared" si="11"/>
        <v>Link</v>
      </c>
    </row>
    <row r="68" spans="1:20" hidden="1" x14ac:dyDescent="0.2">
      <c r="A68" t="s">
        <v>2251</v>
      </c>
      <c r="B68" t="s">
        <v>14</v>
      </c>
      <c r="C68" t="s">
        <v>15</v>
      </c>
      <c r="D68" t="s">
        <v>2252</v>
      </c>
      <c r="E68" t="s">
        <v>2253</v>
      </c>
      <c r="F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8" s="27">
        <f t="shared" si="6"/>
        <v>39973</v>
      </c>
      <c r="H68" s="7" t="str">
        <f t="shared" si="7"/>
        <v>17:31:21</v>
      </c>
      <c r="I68" s="8" t="str">
        <f t="shared" si="8"/>
        <v>Afternoon</v>
      </c>
      <c r="J68" t="s">
        <v>2254</v>
      </c>
      <c r="L68">
        <v>0</v>
      </c>
      <c r="M68">
        <v>0</v>
      </c>
      <c r="N68">
        <v>0</v>
      </c>
      <c r="O68" s="4">
        <f t="shared" si="9"/>
        <v>0</v>
      </c>
      <c r="P68" s="5" t="str">
        <f t="shared" si="10"/>
        <v>No engagement</v>
      </c>
      <c r="Q68" t="b">
        <v>0</v>
      </c>
      <c r="R68" t="b">
        <v>0</v>
      </c>
      <c r="S68" t="b">
        <v>0</v>
      </c>
      <c r="T68" s="24" t="str">
        <f t="shared" si="11"/>
        <v>Text only</v>
      </c>
    </row>
    <row r="69" spans="1:20" hidden="1" x14ac:dyDescent="0.2">
      <c r="A69" t="s">
        <v>2245</v>
      </c>
      <c r="B69" t="s">
        <v>14</v>
      </c>
      <c r="C69" t="s">
        <v>15</v>
      </c>
      <c r="D69" t="s">
        <v>2246</v>
      </c>
      <c r="E69" t="s">
        <v>2247</v>
      </c>
      <c r="F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69" s="27">
        <f t="shared" si="6"/>
        <v>39973</v>
      </c>
      <c r="H69" s="7" t="str">
        <f t="shared" si="7"/>
        <v>18:20:54</v>
      </c>
      <c r="I69" s="8" t="str">
        <f t="shared" si="8"/>
        <v>Evening</v>
      </c>
      <c r="L69">
        <v>0</v>
      </c>
      <c r="M69">
        <v>0</v>
      </c>
      <c r="N69">
        <v>0</v>
      </c>
      <c r="O69" s="4">
        <f t="shared" si="9"/>
        <v>0</v>
      </c>
      <c r="P69" s="5" t="str">
        <f t="shared" si="10"/>
        <v>No engagement</v>
      </c>
      <c r="Q69" t="b">
        <v>0</v>
      </c>
      <c r="R69" t="b">
        <v>0</v>
      </c>
      <c r="S69" t="b">
        <v>1</v>
      </c>
      <c r="T69" s="24" t="str">
        <f t="shared" si="11"/>
        <v>Link</v>
      </c>
    </row>
    <row r="70" spans="1:20" hidden="1" x14ac:dyDescent="0.2">
      <c r="A70" t="s">
        <v>2239</v>
      </c>
      <c r="B70" t="s">
        <v>14</v>
      </c>
      <c r="C70" t="s">
        <v>15</v>
      </c>
      <c r="D70" t="s">
        <v>2240</v>
      </c>
      <c r="E70" t="s">
        <v>2241</v>
      </c>
      <c r="F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0" s="27">
        <f t="shared" si="6"/>
        <v>39975</v>
      </c>
      <c r="H70" s="7" t="str">
        <f t="shared" si="7"/>
        <v>21:16:59</v>
      </c>
      <c r="I70" s="8" t="str">
        <f t="shared" si="8"/>
        <v>Evening</v>
      </c>
      <c r="J70" t="s">
        <v>1504</v>
      </c>
      <c r="L70">
        <v>0</v>
      </c>
      <c r="M70">
        <v>0</v>
      </c>
      <c r="N70">
        <v>0</v>
      </c>
      <c r="O70" s="4">
        <f t="shared" si="9"/>
        <v>0</v>
      </c>
      <c r="P70" s="5" t="str">
        <f t="shared" si="10"/>
        <v>No engagement</v>
      </c>
      <c r="Q70" t="b">
        <v>0</v>
      </c>
      <c r="R70" t="b">
        <v>0</v>
      </c>
      <c r="S70" t="b">
        <v>0</v>
      </c>
      <c r="T70" s="24" t="str">
        <f t="shared" si="11"/>
        <v>Text only</v>
      </c>
    </row>
    <row r="71" spans="1:20" hidden="1" x14ac:dyDescent="0.2">
      <c r="A71" t="s">
        <v>2236</v>
      </c>
      <c r="B71" t="s">
        <v>14</v>
      </c>
      <c r="C71" t="s">
        <v>15</v>
      </c>
      <c r="D71" t="s">
        <v>2237</v>
      </c>
      <c r="E71" t="s">
        <v>2238</v>
      </c>
      <c r="F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1" s="27">
        <f t="shared" si="6"/>
        <v>39976</v>
      </c>
      <c r="H71" s="7" t="str">
        <f t="shared" si="7"/>
        <v>16:54:31</v>
      </c>
      <c r="I71" s="8" t="str">
        <f t="shared" si="8"/>
        <v>Afternoon</v>
      </c>
      <c r="L71">
        <v>0</v>
      </c>
      <c r="M71">
        <v>0</v>
      </c>
      <c r="N71">
        <v>0</v>
      </c>
      <c r="O71" s="4">
        <f t="shared" si="9"/>
        <v>0</v>
      </c>
      <c r="P71" s="5" t="str">
        <f t="shared" si="10"/>
        <v>No engagement</v>
      </c>
      <c r="Q71" t="b">
        <v>0</v>
      </c>
      <c r="R71" t="b">
        <v>0</v>
      </c>
      <c r="S71" t="b">
        <v>1</v>
      </c>
      <c r="T71" s="24" t="str">
        <f t="shared" si="11"/>
        <v>Link</v>
      </c>
    </row>
    <row r="72" spans="1:20" hidden="1" x14ac:dyDescent="0.2">
      <c r="A72" t="s">
        <v>2233</v>
      </c>
      <c r="B72" t="s">
        <v>14</v>
      </c>
      <c r="C72" t="s">
        <v>15</v>
      </c>
      <c r="D72" t="s">
        <v>2234</v>
      </c>
      <c r="E72" t="s">
        <v>2235</v>
      </c>
      <c r="F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2" s="27">
        <f t="shared" si="6"/>
        <v>39976</v>
      </c>
      <c r="H72" s="7" t="str">
        <f t="shared" si="7"/>
        <v>21:17:45</v>
      </c>
      <c r="I72" s="8" t="str">
        <f t="shared" si="8"/>
        <v>Evening</v>
      </c>
      <c r="L72">
        <v>0</v>
      </c>
      <c r="M72">
        <v>0</v>
      </c>
      <c r="N72">
        <v>0</v>
      </c>
      <c r="O72" s="4">
        <f t="shared" si="9"/>
        <v>0</v>
      </c>
      <c r="P72" s="5" t="str">
        <f t="shared" si="10"/>
        <v>No engagement</v>
      </c>
      <c r="Q72" t="b">
        <v>0</v>
      </c>
      <c r="R72" t="b">
        <v>0</v>
      </c>
      <c r="S72" t="b">
        <v>0</v>
      </c>
      <c r="T72" s="24" t="str">
        <f t="shared" si="11"/>
        <v>Text only</v>
      </c>
    </row>
    <row r="73" spans="1:20" hidden="1" x14ac:dyDescent="0.2">
      <c r="A73" t="s">
        <v>2229</v>
      </c>
      <c r="B73" t="s">
        <v>14</v>
      </c>
      <c r="C73" t="s">
        <v>15</v>
      </c>
      <c r="D73" t="s">
        <v>2230</v>
      </c>
      <c r="E73" t="s">
        <v>2231</v>
      </c>
      <c r="F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3" s="27">
        <f t="shared" si="6"/>
        <v>39976</v>
      </c>
      <c r="H73" s="7" t="str">
        <f t="shared" si="7"/>
        <v>21:47:56</v>
      </c>
      <c r="I73" s="8" t="str">
        <f t="shared" si="8"/>
        <v>Evening</v>
      </c>
      <c r="J73" t="s">
        <v>2232</v>
      </c>
      <c r="L73">
        <v>0</v>
      </c>
      <c r="M73">
        <v>0</v>
      </c>
      <c r="N73">
        <v>0</v>
      </c>
      <c r="O73" s="4">
        <f t="shared" si="9"/>
        <v>0</v>
      </c>
      <c r="P73" s="5" t="str">
        <f t="shared" si="10"/>
        <v>No engagement</v>
      </c>
      <c r="Q73" t="b">
        <v>0</v>
      </c>
      <c r="R73" t="b">
        <v>0</v>
      </c>
      <c r="S73" t="b">
        <v>1</v>
      </c>
      <c r="T73" s="24" t="str">
        <f t="shared" si="11"/>
        <v>Link</v>
      </c>
    </row>
    <row r="74" spans="1:20" hidden="1" x14ac:dyDescent="0.2">
      <c r="A74" t="s">
        <v>2225</v>
      </c>
      <c r="B74" t="s">
        <v>14</v>
      </c>
      <c r="C74" t="s">
        <v>15</v>
      </c>
      <c r="D74" t="s">
        <v>2226</v>
      </c>
      <c r="E74" t="s">
        <v>2227</v>
      </c>
      <c r="F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4" s="27">
        <f t="shared" si="6"/>
        <v>39978</v>
      </c>
      <c r="H74" s="7" t="str">
        <f t="shared" si="7"/>
        <v>00:01:58</v>
      </c>
      <c r="I74" s="8" t="str">
        <f t="shared" si="8"/>
        <v>Early morning</v>
      </c>
      <c r="J74" t="s">
        <v>2228</v>
      </c>
      <c r="L74">
        <v>0</v>
      </c>
      <c r="M74">
        <v>0</v>
      </c>
      <c r="N74">
        <v>0</v>
      </c>
      <c r="O74" s="4">
        <f t="shared" si="9"/>
        <v>0</v>
      </c>
      <c r="P74" s="5" t="str">
        <f t="shared" si="10"/>
        <v>No engagement</v>
      </c>
      <c r="Q74" t="b">
        <v>0</v>
      </c>
      <c r="R74" t="b">
        <v>0</v>
      </c>
      <c r="S74" t="b">
        <v>0</v>
      </c>
      <c r="T74" s="24" t="str">
        <f t="shared" si="11"/>
        <v>Text only</v>
      </c>
    </row>
    <row r="75" spans="1:20" hidden="1" x14ac:dyDescent="0.2">
      <c r="A75" t="s">
        <v>2222</v>
      </c>
      <c r="B75" t="s">
        <v>14</v>
      </c>
      <c r="C75" t="s">
        <v>15</v>
      </c>
      <c r="D75" t="s">
        <v>2223</v>
      </c>
      <c r="E75" t="s">
        <v>2224</v>
      </c>
      <c r="F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5" s="27">
        <f t="shared" si="6"/>
        <v>39979</v>
      </c>
      <c r="H75" s="7" t="str">
        <f t="shared" si="7"/>
        <v>18:06:25</v>
      </c>
      <c r="I75" s="8" t="str">
        <f t="shared" si="8"/>
        <v>Evening</v>
      </c>
      <c r="K75" t="s">
        <v>2359</v>
      </c>
      <c r="L75">
        <v>0</v>
      </c>
      <c r="M75">
        <v>0</v>
      </c>
      <c r="N75">
        <v>0</v>
      </c>
      <c r="O75" s="4">
        <f t="shared" si="9"/>
        <v>0</v>
      </c>
      <c r="P75" s="5" t="str">
        <f t="shared" si="10"/>
        <v>No engagement</v>
      </c>
      <c r="Q75" t="b">
        <v>0</v>
      </c>
      <c r="R75" t="b">
        <v>0</v>
      </c>
      <c r="S75" t="b">
        <v>1</v>
      </c>
      <c r="T75" s="24" t="str">
        <f t="shared" si="11"/>
        <v>Link</v>
      </c>
    </row>
    <row r="76" spans="1:20" hidden="1" x14ac:dyDescent="0.2">
      <c r="A76" t="s">
        <v>2219</v>
      </c>
      <c r="B76" t="s">
        <v>14</v>
      </c>
      <c r="C76" t="s">
        <v>15</v>
      </c>
      <c r="D76" t="s">
        <v>2220</v>
      </c>
      <c r="E76" t="s">
        <v>2221</v>
      </c>
      <c r="F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6" s="27">
        <f t="shared" si="6"/>
        <v>39979</v>
      </c>
      <c r="H76" s="7" t="str">
        <f t="shared" si="7"/>
        <v>20:24:05</v>
      </c>
      <c r="I76" s="8" t="str">
        <f t="shared" si="8"/>
        <v>Evening</v>
      </c>
      <c r="L76">
        <v>0</v>
      </c>
      <c r="M76">
        <v>0</v>
      </c>
      <c r="N76">
        <v>0</v>
      </c>
      <c r="O76" s="4">
        <f t="shared" si="9"/>
        <v>0</v>
      </c>
      <c r="P76" s="5" t="str">
        <f t="shared" si="10"/>
        <v>No engagement</v>
      </c>
      <c r="Q76" t="b">
        <v>0</v>
      </c>
      <c r="R76" t="b">
        <v>0</v>
      </c>
      <c r="S76" t="b">
        <v>1</v>
      </c>
      <c r="T76" s="24" t="str">
        <f t="shared" si="11"/>
        <v>Link</v>
      </c>
    </row>
    <row r="77" spans="1:20" hidden="1" x14ac:dyDescent="0.2">
      <c r="A77" t="s">
        <v>2213</v>
      </c>
      <c r="B77" t="s">
        <v>14</v>
      </c>
      <c r="C77" t="s">
        <v>15</v>
      </c>
      <c r="D77" t="s">
        <v>2214</v>
      </c>
      <c r="E77" t="s">
        <v>2215</v>
      </c>
      <c r="F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7" s="27">
        <f t="shared" si="6"/>
        <v>39979</v>
      </c>
      <c r="H77" s="7" t="str">
        <f t="shared" si="7"/>
        <v>22:38:11</v>
      </c>
      <c r="I77" s="8" t="str">
        <f t="shared" si="8"/>
        <v>Evening</v>
      </c>
      <c r="L77">
        <v>0</v>
      </c>
      <c r="M77">
        <v>0</v>
      </c>
      <c r="N77">
        <v>0</v>
      </c>
      <c r="O77" s="4">
        <f t="shared" si="9"/>
        <v>0</v>
      </c>
      <c r="P77" s="5" t="str">
        <f t="shared" si="10"/>
        <v>No engagement</v>
      </c>
      <c r="Q77" t="b">
        <v>0</v>
      </c>
      <c r="R77" t="b">
        <v>0</v>
      </c>
      <c r="S77" t="b">
        <v>1</v>
      </c>
      <c r="T77" s="24" t="str">
        <f t="shared" si="11"/>
        <v>Link</v>
      </c>
    </row>
    <row r="78" spans="1:20" hidden="1" x14ac:dyDescent="0.2">
      <c r="A78" t="s">
        <v>2210</v>
      </c>
      <c r="B78" t="s">
        <v>14</v>
      </c>
      <c r="C78" t="s">
        <v>15</v>
      </c>
      <c r="D78" t="s">
        <v>2211</v>
      </c>
      <c r="E78" t="s">
        <v>2212</v>
      </c>
      <c r="F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8" s="27">
        <f t="shared" si="6"/>
        <v>39979</v>
      </c>
      <c r="H78" s="7" t="str">
        <f t="shared" si="7"/>
        <v>22:43:12</v>
      </c>
      <c r="I78" s="8" t="str">
        <f t="shared" si="8"/>
        <v>Evening</v>
      </c>
      <c r="L78">
        <v>0</v>
      </c>
      <c r="M78">
        <v>0</v>
      </c>
      <c r="N78">
        <v>0</v>
      </c>
      <c r="O78" s="4">
        <f t="shared" si="9"/>
        <v>0</v>
      </c>
      <c r="P78" s="5" t="str">
        <f t="shared" si="10"/>
        <v>No engagement</v>
      </c>
      <c r="Q78" t="b">
        <v>0</v>
      </c>
      <c r="R78" t="b">
        <v>0</v>
      </c>
      <c r="S78" t="b">
        <v>1</v>
      </c>
      <c r="T78" s="24" t="str">
        <f t="shared" si="11"/>
        <v>Link</v>
      </c>
    </row>
    <row r="79" spans="1:20" hidden="1" x14ac:dyDescent="0.2">
      <c r="A79" t="s">
        <v>2207</v>
      </c>
      <c r="B79" t="s">
        <v>14</v>
      </c>
      <c r="C79" t="s">
        <v>15</v>
      </c>
      <c r="D79" t="s">
        <v>2208</v>
      </c>
      <c r="E79" t="s">
        <v>2209</v>
      </c>
      <c r="F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79" s="27">
        <f t="shared" si="6"/>
        <v>39979</v>
      </c>
      <c r="H79" s="7" t="str">
        <f t="shared" si="7"/>
        <v>22:46:48</v>
      </c>
      <c r="I79" s="8" t="str">
        <f t="shared" si="8"/>
        <v>Evening</v>
      </c>
      <c r="L79">
        <v>0</v>
      </c>
      <c r="M79">
        <v>0</v>
      </c>
      <c r="N79">
        <v>0</v>
      </c>
      <c r="O79" s="4">
        <f t="shared" si="9"/>
        <v>0</v>
      </c>
      <c r="P79" s="5" t="str">
        <f t="shared" si="10"/>
        <v>No engagement</v>
      </c>
      <c r="Q79" t="b">
        <v>0</v>
      </c>
      <c r="R79" t="b">
        <v>0</v>
      </c>
      <c r="S79" t="b">
        <v>1</v>
      </c>
      <c r="T79" s="24" t="str">
        <f t="shared" si="11"/>
        <v>Link</v>
      </c>
    </row>
    <row r="80" spans="1:20" hidden="1" x14ac:dyDescent="0.2">
      <c r="A80" t="s">
        <v>2204</v>
      </c>
      <c r="B80" t="s">
        <v>14</v>
      </c>
      <c r="C80" t="s">
        <v>15</v>
      </c>
      <c r="D80" t="s">
        <v>2205</v>
      </c>
      <c r="E80" t="s">
        <v>2206</v>
      </c>
      <c r="F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0" s="27">
        <f t="shared" si="6"/>
        <v>39980</v>
      </c>
      <c r="H80" s="7" t="str">
        <f t="shared" si="7"/>
        <v>15:18:04</v>
      </c>
      <c r="I80" s="8" t="str">
        <f t="shared" si="8"/>
        <v>Afternoon</v>
      </c>
      <c r="L80">
        <v>0</v>
      </c>
      <c r="M80">
        <v>0</v>
      </c>
      <c r="N80">
        <v>0</v>
      </c>
      <c r="O80" s="4">
        <f t="shared" si="9"/>
        <v>0</v>
      </c>
      <c r="P80" s="5" t="str">
        <f t="shared" si="10"/>
        <v>No engagement</v>
      </c>
      <c r="Q80" t="b">
        <v>0</v>
      </c>
      <c r="R80" t="b">
        <v>0</v>
      </c>
      <c r="S80" t="b">
        <v>0</v>
      </c>
      <c r="T80" s="24" t="str">
        <f t="shared" si="11"/>
        <v>Text only</v>
      </c>
    </row>
    <row r="81" spans="1:20" hidden="1" x14ac:dyDescent="0.2">
      <c r="A81" t="s">
        <v>2197</v>
      </c>
      <c r="B81" t="s">
        <v>14</v>
      </c>
      <c r="C81" t="s">
        <v>15</v>
      </c>
      <c r="D81" t="s">
        <v>2198</v>
      </c>
      <c r="E81" t="s">
        <v>2199</v>
      </c>
      <c r="F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1" s="27">
        <f t="shared" si="6"/>
        <v>39980</v>
      </c>
      <c r="H81" s="7" t="str">
        <f t="shared" si="7"/>
        <v>16:00:30</v>
      </c>
      <c r="I81" s="8" t="str">
        <f t="shared" si="8"/>
        <v>Afternoon</v>
      </c>
      <c r="J81" t="s">
        <v>2200</v>
      </c>
      <c r="L81">
        <v>0</v>
      </c>
      <c r="M81">
        <v>0</v>
      </c>
      <c r="N81">
        <v>0</v>
      </c>
      <c r="O81" s="4">
        <f t="shared" si="9"/>
        <v>0</v>
      </c>
      <c r="P81" s="5" t="str">
        <f t="shared" si="10"/>
        <v>No engagement</v>
      </c>
      <c r="Q81" t="b">
        <v>0</v>
      </c>
      <c r="R81" t="b">
        <v>0</v>
      </c>
      <c r="S81" t="b">
        <v>0</v>
      </c>
      <c r="T81" s="24" t="str">
        <f t="shared" si="11"/>
        <v>Text only</v>
      </c>
    </row>
    <row r="82" spans="1:20" hidden="1" x14ac:dyDescent="0.2">
      <c r="A82" t="s">
        <v>2194</v>
      </c>
      <c r="B82" t="s">
        <v>14</v>
      </c>
      <c r="C82" t="s">
        <v>15</v>
      </c>
      <c r="D82" t="s">
        <v>2195</v>
      </c>
      <c r="E82" t="s">
        <v>2196</v>
      </c>
      <c r="F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2" s="27">
        <f t="shared" si="6"/>
        <v>39980</v>
      </c>
      <c r="H82" s="7" t="str">
        <f t="shared" si="7"/>
        <v>16:06:49</v>
      </c>
      <c r="I82" s="8" t="str">
        <f t="shared" si="8"/>
        <v>Afternoon</v>
      </c>
      <c r="L82">
        <v>0</v>
      </c>
      <c r="M82">
        <v>0</v>
      </c>
      <c r="N82">
        <v>0</v>
      </c>
      <c r="O82" s="4">
        <f t="shared" si="9"/>
        <v>0</v>
      </c>
      <c r="P82" s="5" t="str">
        <f t="shared" si="10"/>
        <v>No engagement</v>
      </c>
      <c r="Q82" t="b">
        <v>0</v>
      </c>
      <c r="R82" t="b">
        <v>0</v>
      </c>
      <c r="S82" t="b">
        <v>1</v>
      </c>
      <c r="T82" s="24" t="str">
        <f t="shared" si="11"/>
        <v>Link</v>
      </c>
    </row>
    <row r="83" spans="1:20" hidden="1" x14ac:dyDescent="0.2">
      <c r="A83" t="s">
        <v>2191</v>
      </c>
      <c r="B83" t="s">
        <v>14</v>
      </c>
      <c r="C83" t="s">
        <v>15</v>
      </c>
      <c r="D83" t="s">
        <v>2192</v>
      </c>
      <c r="E83" t="s">
        <v>2193</v>
      </c>
      <c r="F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3" s="27">
        <f t="shared" si="6"/>
        <v>39980</v>
      </c>
      <c r="H83" s="7" t="str">
        <f t="shared" si="7"/>
        <v>18:10:56</v>
      </c>
      <c r="I83" s="8" t="str">
        <f t="shared" si="8"/>
        <v>Evening</v>
      </c>
      <c r="L83">
        <v>0</v>
      </c>
      <c r="M83">
        <v>0</v>
      </c>
      <c r="N83">
        <v>0</v>
      </c>
      <c r="O83" s="4">
        <f t="shared" si="9"/>
        <v>0</v>
      </c>
      <c r="P83" s="5" t="str">
        <f t="shared" si="10"/>
        <v>No engagement</v>
      </c>
      <c r="Q83" t="b">
        <v>0</v>
      </c>
      <c r="R83" t="b">
        <v>0</v>
      </c>
      <c r="S83" t="b">
        <v>0</v>
      </c>
      <c r="T83" s="24" t="str">
        <f t="shared" si="11"/>
        <v>Text only</v>
      </c>
    </row>
    <row r="84" spans="1:20" hidden="1" x14ac:dyDescent="0.2">
      <c r="A84" t="s">
        <v>2185</v>
      </c>
      <c r="B84" t="s">
        <v>14</v>
      </c>
      <c r="C84" t="s">
        <v>15</v>
      </c>
      <c r="D84" t="s">
        <v>2186</v>
      </c>
      <c r="E84" t="s">
        <v>2187</v>
      </c>
      <c r="F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4" s="27">
        <f t="shared" si="6"/>
        <v>39981</v>
      </c>
      <c r="H84" s="7" t="str">
        <f t="shared" si="7"/>
        <v>17:02:45</v>
      </c>
      <c r="I84" s="8" t="str">
        <f t="shared" si="8"/>
        <v>Afternoon</v>
      </c>
      <c r="L84">
        <v>0</v>
      </c>
      <c r="M84">
        <v>0</v>
      </c>
      <c r="N84">
        <v>0</v>
      </c>
      <c r="O84" s="4">
        <f t="shared" si="9"/>
        <v>0</v>
      </c>
      <c r="P84" s="5" t="str">
        <f t="shared" si="10"/>
        <v>No engagement</v>
      </c>
      <c r="Q84" t="b">
        <v>0</v>
      </c>
      <c r="R84" t="b">
        <v>0</v>
      </c>
      <c r="S84" t="b">
        <v>0</v>
      </c>
      <c r="T84" s="24" t="str">
        <f t="shared" si="11"/>
        <v>Text only</v>
      </c>
    </row>
    <row r="85" spans="1:20" hidden="1" x14ac:dyDescent="0.2">
      <c r="A85" t="s">
        <v>2182</v>
      </c>
      <c r="B85" t="s">
        <v>14</v>
      </c>
      <c r="C85" t="s">
        <v>15</v>
      </c>
      <c r="D85" t="s">
        <v>2183</v>
      </c>
      <c r="E85" t="s">
        <v>2184</v>
      </c>
      <c r="F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5" s="27">
        <f t="shared" si="6"/>
        <v>39982</v>
      </c>
      <c r="H85" s="7" t="str">
        <f t="shared" si="7"/>
        <v>15:19:03</v>
      </c>
      <c r="I85" s="8" t="str">
        <f t="shared" si="8"/>
        <v>Afternoon</v>
      </c>
      <c r="L85">
        <v>0</v>
      </c>
      <c r="M85">
        <v>0</v>
      </c>
      <c r="N85">
        <v>0</v>
      </c>
      <c r="O85" s="4">
        <f t="shared" si="9"/>
        <v>0</v>
      </c>
      <c r="P85" s="5" t="str">
        <f t="shared" si="10"/>
        <v>No engagement</v>
      </c>
      <c r="Q85" t="b">
        <v>0</v>
      </c>
      <c r="R85" t="b">
        <v>0</v>
      </c>
      <c r="S85" t="b">
        <v>0</v>
      </c>
      <c r="T85" s="24" t="str">
        <f t="shared" si="11"/>
        <v>Text only</v>
      </c>
    </row>
    <row r="86" spans="1:20" hidden="1" x14ac:dyDescent="0.2">
      <c r="A86" t="s">
        <v>2179</v>
      </c>
      <c r="B86" t="s">
        <v>14</v>
      </c>
      <c r="C86" t="s">
        <v>15</v>
      </c>
      <c r="D86" t="s">
        <v>2180</v>
      </c>
      <c r="E86" t="s">
        <v>2181</v>
      </c>
      <c r="F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6" s="27">
        <f t="shared" si="6"/>
        <v>39986</v>
      </c>
      <c r="H86" s="7" t="str">
        <f t="shared" si="7"/>
        <v>15:04:26</v>
      </c>
      <c r="I86" s="8" t="str">
        <f t="shared" si="8"/>
        <v>Afternoon</v>
      </c>
      <c r="L86">
        <v>0</v>
      </c>
      <c r="M86">
        <v>0</v>
      </c>
      <c r="N86">
        <v>0</v>
      </c>
      <c r="O86" s="4">
        <f t="shared" si="9"/>
        <v>0</v>
      </c>
      <c r="P86" s="5" t="str">
        <f t="shared" si="10"/>
        <v>No engagement</v>
      </c>
      <c r="Q86" t="b">
        <v>0</v>
      </c>
      <c r="R86" t="b">
        <v>0</v>
      </c>
      <c r="S86" t="b">
        <v>0</v>
      </c>
      <c r="T86" s="24" t="str">
        <f t="shared" si="11"/>
        <v>Text only</v>
      </c>
    </row>
    <row r="87" spans="1:20" hidden="1" x14ac:dyDescent="0.2">
      <c r="A87" t="s">
        <v>2176</v>
      </c>
      <c r="B87" t="s">
        <v>14</v>
      </c>
      <c r="C87" t="s">
        <v>15</v>
      </c>
      <c r="D87" t="s">
        <v>2177</v>
      </c>
      <c r="E87" t="s">
        <v>2178</v>
      </c>
      <c r="F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7" s="27">
        <f t="shared" si="6"/>
        <v>39986</v>
      </c>
      <c r="H87" s="7" t="str">
        <f t="shared" si="7"/>
        <v>15:08:40</v>
      </c>
      <c r="I87" s="8" t="str">
        <f t="shared" si="8"/>
        <v>Afternoon</v>
      </c>
      <c r="L87">
        <v>0</v>
      </c>
      <c r="M87">
        <v>0</v>
      </c>
      <c r="N87">
        <v>0</v>
      </c>
      <c r="O87" s="4">
        <f t="shared" si="9"/>
        <v>0</v>
      </c>
      <c r="P87" s="5" t="str">
        <f t="shared" si="10"/>
        <v>No engagement</v>
      </c>
      <c r="Q87" t="b">
        <v>0</v>
      </c>
      <c r="R87" t="b">
        <v>0</v>
      </c>
      <c r="S87" t="b">
        <v>1</v>
      </c>
      <c r="T87" s="24" t="str">
        <f t="shared" si="11"/>
        <v>Link</v>
      </c>
    </row>
    <row r="88" spans="1:20" hidden="1" x14ac:dyDescent="0.2">
      <c r="A88" t="s">
        <v>2173</v>
      </c>
      <c r="B88" t="s">
        <v>14</v>
      </c>
      <c r="C88" t="s">
        <v>15</v>
      </c>
      <c r="D88" t="s">
        <v>2174</v>
      </c>
      <c r="E88" t="s">
        <v>2175</v>
      </c>
      <c r="F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8" s="27">
        <f t="shared" si="6"/>
        <v>39986</v>
      </c>
      <c r="H88" s="7" t="str">
        <f t="shared" si="7"/>
        <v>17:13:29</v>
      </c>
      <c r="I88" s="8" t="str">
        <f t="shared" si="8"/>
        <v>Afternoon</v>
      </c>
      <c r="K88" t="s">
        <v>998</v>
      </c>
      <c r="L88">
        <v>0</v>
      </c>
      <c r="M88">
        <v>0</v>
      </c>
      <c r="N88">
        <v>0</v>
      </c>
      <c r="O88" s="4">
        <f t="shared" si="9"/>
        <v>0</v>
      </c>
      <c r="P88" s="5" t="str">
        <f t="shared" si="10"/>
        <v>No engagement</v>
      </c>
      <c r="Q88" t="b">
        <v>0</v>
      </c>
      <c r="R88" t="b">
        <v>0</v>
      </c>
      <c r="S88" t="b">
        <v>1</v>
      </c>
      <c r="T88" s="24" t="str">
        <f t="shared" si="11"/>
        <v>Link</v>
      </c>
    </row>
    <row r="89" spans="1:20" hidden="1" x14ac:dyDescent="0.2">
      <c r="A89" t="s">
        <v>2170</v>
      </c>
      <c r="B89" t="s">
        <v>14</v>
      </c>
      <c r="C89" t="s">
        <v>15</v>
      </c>
      <c r="D89" t="s">
        <v>2171</v>
      </c>
      <c r="E89" t="s">
        <v>2172</v>
      </c>
      <c r="F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89" s="27">
        <f t="shared" si="6"/>
        <v>39986</v>
      </c>
      <c r="H89" s="7" t="str">
        <f t="shared" si="7"/>
        <v>17:15:54</v>
      </c>
      <c r="I89" s="8" t="str">
        <f t="shared" si="8"/>
        <v>Afternoon</v>
      </c>
      <c r="K89" t="s">
        <v>2357</v>
      </c>
      <c r="L89">
        <v>0</v>
      </c>
      <c r="M89">
        <v>0</v>
      </c>
      <c r="N89">
        <v>0</v>
      </c>
      <c r="O89" s="4">
        <f t="shared" si="9"/>
        <v>0</v>
      </c>
      <c r="P89" s="5" t="str">
        <f t="shared" si="10"/>
        <v>No engagement</v>
      </c>
      <c r="Q89" t="b">
        <v>0</v>
      </c>
      <c r="R89" t="b">
        <v>0</v>
      </c>
      <c r="S89" t="b">
        <v>0</v>
      </c>
      <c r="T89" s="24" t="str">
        <f t="shared" si="11"/>
        <v>Text only</v>
      </c>
    </row>
    <row r="90" spans="1:20" hidden="1" x14ac:dyDescent="0.2">
      <c r="A90" t="s">
        <v>2167</v>
      </c>
      <c r="B90" t="s">
        <v>14</v>
      </c>
      <c r="C90" t="s">
        <v>15</v>
      </c>
      <c r="D90" t="s">
        <v>2168</v>
      </c>
      <c r="E90" t="s">
        <v>2169</v>
      </c>
      <c r="F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0" s="27">
        <f t="shared" si="6"/>
        <v>39986</v>
      </c>
      <c r="H90" s="7" t="str">
        <f t="shared" si="7"/>
        <v>17:26:30</v>
      </c>
      <c r="I90" s="8" t="str">
        <f t="shared" si="8"/>
        <v>Afternoon</v>
      </c>
      <c r="L90">
        <v>0</v>
      </c>
      <c r="M90">
        <v>0</v>
      </c>
      <c r="N90">
        <v>0</v>
      </c>
      <c r="O90" s="4">
        <f t="shared" si="9"/>
        <v>0</v>
      </c>
      <c r="P90" s="5" t="str">
        <f t="shared" si="10"/>
        <v>No engagement</v>
      </c>
      <c r="Q90" t="b">
        <v>0</v>
      </c>
      <c r="R90" t="b">
        <v>0</v>
      </c>
      <c r="S90" t="b">
        <v>1</v>
      </c>
      <c r="T90" s="24" t="str">
        <f t="shared" si="11"/>
        <v>Link</v>
      </c>
    </row>
    <row r="91" spans="1:20" hidden="1" x14ac:dyDescent="0.2">
      <c r="A91" t="s">
        <v>2165</v>
      </c>
      <c r="B91" t="s">
        <v>14</v>
      </c>
      <c r="C91" t="s">
        <v>15</v>
      </c>
      <c r="D91" t="s">
        <v>2350</v>
      </c>
      <c r="E91" t="s">
        <v>2166</v>
      </c>
      <c r="F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1" s="27">
        <f t="shared" si="6"/>
        <v>39986</v>
      </c>
      <c r="H91" s="7" t="str">
        <f t="shared" si="7"/>
        <v>20:14:04</v>
      </c>
      <c r="I91" s="8" t="str">
        <f t="shared" si="8"/>
        <v>Evening</v>
      </c>
      <c r="L91">
        <v>0</v>
      </c>
      <c r="M91">
        <v>0</v>
      </c>
      <c r="N91">
        <v>0</v>
      </c>
      <c r="O91" s="4">
        <f t="shared" si="9"/>
        <v>0</v>
      </c>
      <c r="P91" s="5" t="str">
        <f t="shared" si="10"/>
        <v>No engagement</v>
      </c>
      <c r="Q91" t="b">
        <v>0</v>
      </c>
      <c r="R91" t="b">
        <v>0</v>
      </c>
      <c r="S91" t="b">
        <v>1</v>
      </c>
      <c r="T91" s="24" t="str">
        <f t="shared" si="11"/>
        <v>Link</v>
      </c>
    </row>
    <row r="92" spans="1:20" hidden="1" x14ac:dyDescent="0.2">
      <c r="A92" t="s">
        <v>2162</v>
      </c>
      <c r="B92" t="s">
        <v>14</v>
      </c>
      <c r="C92" t="s">
        <v>15</v>
      </c>
      <c r="D92" t="s">
        <v>2163</v>
      </c>
      <c r="E92" t="s">
        <v>2164</v>
      </c>
      <c r="F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2" s="27">
        <f t="shared" si="6"/>
        <v>39987</v>
      </c>
      <c r="H92" s="7" t="str">
        <f t="shared" si="7"/>
        <v>15:48:21</v>
      </c>
      <c r="I92" s="8" t="str">
        <f t="shared" si="8"/>
        <v>Afternoon</v>
      </c>
      <c r="L92">
        <v>0</v>
      </c>
      <c r="M92">
        <v>0</v>
      </c>
      <c r="N92">
        <v>0</v>
      </c>
      <c r="O92" s="4">
        <f t="shared" si="9"/>
        <v>0</v>
      </c>
      <c r="P92" s="5" t="str">
        <f t="shared" si="10"/>
        <v>No engagement</v>
      </c>
      <c r="Q92" t="b">
        <v>0</v>
      </c>
      <c r="R92" t="b">
        <v>0</v>
      </c>
      <c r="S92" t="b">
        <v>1</v>
      </c>
      <c r="T92" s="24" t="str">
        <f t="shared" si="11"/>
        <v>Link</v>
      </c>
    </row>
    <row r="93" spans="1:20" hidden="1" x14ac:dyDescent="0.2">
      <c r="A93" t="s">
        <v>2159</v>
      </c>
      <c r="B93" t="s">
        <v>14</v>
      </c>
      <c r="C93" t="s">
        <v>15</v>
      </c>
      <c r="D93" t="s">
        <v>2160</v>
      </c>
      <c r="E93" t="s">
        <v>2161</v>
      </c>
      <c r="F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3" s="27">
        <f t="shared" si="6"/>
        <v>39987</v>
      </c>
      <c r="H93" s="7" t="str">
        <f t="shared" si="7"/>
        <v>17:13:29</v>
      </c>
      <c r="I93" s="8" t="str">
        <f t="shared" si="8"/>
        <v>Afternoon</v>
      </c>
      <c r="L93">
        <v>0</v>
      </c>
      <c r="M93">
        <v>0</v>
      </c>
      <c r="N93">
        <v>0</v>
      </c>
      <c r="O93" s="4">
        <f t="shared" si="9"/>
        <v>0</v>
      </c>
      <c r="P93" s="5" t="str">
        <f t="shared" si="10"/>
        <v>No engagement</v>
      </c>
      <c r="Q93" t="b">
        <v>0</v>
      </c>
      <c r="R93" t="b">
        <v>0</v>
      </c>
      <c r="S93" t="b">
        <v>1</v>
      </c>
      <c r="T93" s="24" t="str">
        <f t="shared" si="11"/>
        <v>Link</v>
      </c>
    </row>
    <row r="94" spans="1:20" hidden="1" x14ac:dyDescent="0.2">
      <c r="A94" t="s">
        <v>2156</v>
      </c>
      <c r="B94" t="s">
        <v>14</v>
      </c>
      <c r="C94" t="s">
        <v>15</v>
      </c>
      <c r="D94" t="s">
        <v>2157</v>
      </c>
      <c r="E94" t="s">
        <v>2158</v>
      </c>
      <c r="F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4" s="27">
        <f t="shared" si="6"/>
        <v>39988</v>
      </c>
      <c r="H94" s="7" t="str">
        <f t="shared" si="7"/>
        <v>02:36:17</v>
      </c>
      <c r="I94" s="8" t="str">
        <f t="shared" si="8"/>
        <v>Early morning</v>
      </c>
      <c r="L94">
        <v>0</v>
      </c>
      <c r="M94">
        <v>0</v>
      </c>
      <c r="N94">
        <v>0</v>
      </c>
      <c r="O94" s="4">
        <f t="shared" si="9"/>
        <v>0</v>
      </c>
      <c r="P94" s="5" t="str">
        <f t="shared" si="10"/>
        <v>No engagement</v>
      </c>
      <c r="Q94" t="b">
        <v>0</v>
      </c>
      <c r="R94" t="b">
        <v>0</v>
      </c>
      <c r="S94" t="b">
        <v>0</v>
      </c>
      <c r="T94" s="24" t="str">
        <f t="shared" si="11"/>
        <v>Text only</v>
      </c>
    </row>
    <row r="95" spans="1:20" hidden="1" x14ac:dyDescent="0.2">
      <c r="A95" t="s">
        <v>2153</v>
      </c>
      <c r="B95" t="s">
        <v>14</v>
      </c>
      <c r="C95" t="s">
        <v>15</v>
      </c>
      <c r="D95" t="s">
        <v>2154</v>
      </c>
      <c r="E95" t="s">
        <v>2155</v>
      </c>
      <c r="F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5" s="27">
        <f t="shared" si="6"/>
        <v>39988</v>
      </c>
      <c r="H95" s="7" t="str">
        <f t="shared" si="7"/>
        <v>16:31:40</v>
      </c>
      <c r="I95" s="8" t="str">
        <f t="shared" si="8"/>
        <v>Afternoon</v>
      </c>
      <c r="J95" t="s">
        <v>673</v>
      </c>
      <c r="L95">
        <v>0</v>
      </c>
      <c r="M95">
        <v>0</v>
      </c>
      <c r="N95">
        <v>0</v>
      </c>
      <c r="O95" s="4">
        <f t="shared" si="9"/>
        <v>0</v>
      </c>
      <c r="P95" s="5" t="str">
        <f t="shared" si="10"/>
        <v>No engagement</v>
      </c>
      <c r="Q95" t="b">
        <v>0</v>
      </c>
      <c r="R95" t="b">
        <v>0</v>
      </c>
      <c r="S95" t="b">
        <v>0</v>
      </c>
      <c r="T95" s="24" t="str">
        <f t="shared" si="11"/>
        <v>Text only</v>
      </c>
    </row>
    <row r="96" spans="1:20" hidden="1" x14ac:dyDescent="0.2">
      <c r="A96" t="s">
        <v>2150</v>
      </c>
      <c r="B96" t="s">
        <v>14</v>
      </c>
      <c r="C96" t="s">
        <v>15</v>
      </c>
      <c r="D96" t="s">
        <v>2151</v>
      </c>
      <c r="E96" t="s">
        <v>2152</v>
      </c>
      <c r="F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6" s="27">
        <f t="shared" si="6"/>
        <v>39988</v>
      </c>
      <c r="H96" s="7" t="str">
        <f t="shared" si="7"/>
        <v>20:55:18</v>
      </c>
      <c r="I96" s="8" t="str">
        <f t="shared" si="8"/>
        <v>Evening</v>
      </c>
      <c r="L96">
        <v>0</v>
      </c>
      <c r="M96">
        <v>0</v>
      </c>
      <c r="N96">
        <v>0</v>
      </c>
      <c r="O96" s="4">
        <f t="shared" si="9"/>
        <v>0</v>
      </c>
      <c r="P96" s="5" t="str">
        <f t="shared" si="10"/>
        <v>No engagement</v>
      </c>
      <c r="Q96" t="b">
        <v>0</v>
      </c>
      <c r="R96" t="b">
        <v>0</v>
      </c>
      <c r="S96" t="b">
        <v>1</v>
      </c>
      <c r="T96" s="24" t="str">
        <f t="shared" si="11"/>
        <v>Link</v>
      </c>
    </row>
    <row r="97" spans="1:20" hidden="1" x14ac:dyDescent="0.2">
      <c r="A97" t="s">
        <v>2147</v>
      </c>
      <c r="B97" t="s">
        <v>14</v>
      </c>
      <c r="C97" t="s">
        <v>15</v>
      </c>
      <c r="D97" t="s">
        <v>2148</v>
      </c>
      <c r="E97" t="s">
        <v>2149</v>
      </c>
      <c r="F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7" s="27">
        <f t="shared" si="6"/>
        <v>39988</v>
      </c>
      <c r="H97" s="7" t="str">
        <f t="shared" si="7"/>
        <v>21:45:00</v>
      </c>
      <c r="I97" s="8" t="str">
        <f t="shared" si="8"/>
        <v>Evening</v>
      </c>
      <c r="L97">
        <v>0</v>
      </c>
      <c r="M97">
        <v>0</v>
      </c>
      <c r="N97">
        <v>0</v>
      </c>
      <c r="O97" s="4">
        <f t="shared" si="9"/>
        <v>0</v>
      </c>
      <c r="P97" s="5" t="str">
        <f t="shared" si="10"/>
        <v>No engagement</v>
      </c>
      <c r="Q97" t="b">
        <v>0</v>
      </c>
      <c r="R97" t="b">
        <v>0</v>
      </c>
      <c r="S97" t="b">
        <v>1</v>
      </c>
      <c r="T97" s="24" t="str">
        <f t="shared" si="11"/>
        <v>Link</v>
      </c>
    </row>
    <row r="98" spans="1:20" hidden="1" x14ac:dyDescent="0.2">
      <c r="A98" t="s">
        <v>2144</v>
      </c>
      <c r="B98" t="s">
        <v>14</v>
      </c>
      <c r="C98" t="s">
        <v>15</v>
      </c>
      <c r="D98" t="s">
        <v>2145</v>
      </c>
      <c r="E98" t="s">
        <v>2146</v>
      </c>
      <c r="F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8" s="27">
        <f t="shared" si="6"/>
        <v>39989</v>
      </c>
      <c r="H98" s="7" t="str">
        <f t="shared" si="7"/>
        <v>16:53:13</v>
      </c>
      <c r="I98" s="8" t="str">
        <f t="shared" si="8"/>
        <v>Afternoon</v>
      </c>
      <c r="L98">
        <v>0</v>
      </c>
      <c r="M98">
        <v>0</v>
      </c>
      <c r="N98">
        <v>0</v>
      </c>
      <c r="O98" s="4">
        <f t="shared" si="9"/>
        <v>0</v>
      </c>
      <c r="P98" s="5" t="str">
        <f t="shared" si="10"/>
        <v>No engagement</v>
      </c>
      <c r="Q98" t="b">
        <v>0</v>
      </c>
      <c r="R98" t="b">
        <v>0</v>
      </c>
      <c r="S98" t="b">
        <v>1</v>
      </c>
      <c r="T98" s="24" t="str">
        <f t="shared" si="11"/>
        <v>Link</v>
      </c>
    </row>
    <row r="99" spans="1:20" hidden="1" x14ac:dyDescent="0.2">
      <c r="A99" t="s">
        <v>2141</v>
      </c>
      <c r="B99" t="s">
        <v>14</v>
      </c>
      <c r="C99" t="s">
        <v>15</v>
      </c>
      <c r="D99" t="s">
        <v>2142</v>
      </c>
      <c r="E99" t="s">
        <v>2143</v>
      </c>
      <c r="F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99" s="27">
        <f t="shared" si="6"/>
        <v>39993</v>
      </c>
      <c r="H99" s="7" t="str">
        <f t="shared" si="7"/>
        <v>15:00:28</v>
      </c>
      <c r="I99" s="8" t="str">
        <f t="shared" si="8"/>
        <v>Afternoon</v>
      </c>
      <c r="L99">
        <v>0</v>
      </c>
      <c r="M99">
        <v>0</v>
      </c>
      <c r="N99">
        <v>0</v>
      </c>
      <c r="O99" s="4">
        <f t="shared" si="9"/>
        <v>0</v>
      </c>
      <c r="P99" s="5" t="str">
        <f t="shared" si="10"/>
        <v>No engagement</v>
      </c>
      <c r="Q99" t="b">
        <v>0</v>
      </c>
      <c r="R99" t="b">
        <v>0</v>
      </c>
      <c r="S99" t="b">
        <v>1</v>
      </c>
      <c r="T99" s="24" t="str">
        <f t="shared" si="11"/>
        <v>Link</v>
      </c>
    </row>
    <row r="100" spans="1:20" hidden="1" x14ac:dyDescent="0.2">
      <c r="A100" t="s">
        <v>2138</v>
      </c>
      <c r="B100" t="s">
        <v>14</v>
      </c>
      <c r="C100" t="s">
        <v>15</v>
      </c>
      <c r="D100" t="s">
        <v>2139</v>
      </c>
      <c r="E100" t="s">
        <v>2140</v>
      </c>
      <c r="F1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0" s="27">
        <f t="shared" si="6"/>
        <v>39993</v>
      </c>
      <c r="H100" s="7" t="str">
        <f t="shared" si="7"/>
        <v>20:34:00</v>
      </c>
      <c r="I100" s="8" t="str">
        <f t="shared" si="8"/>
        <v>Evening</v>
      </c>
      <c r="L100">
        <v>0</v>
      </c>
      <c r="M100">
        <v>0</v>
      </c>
      <c r="N100">
        <v>0</v>
      </c>
      <c r="O100" s="4">
        <f t="shared" si="9"/>
        <v>0</v>
      </c>
      <c r="P100" s="5" t="str">
        <f t="shared" si="10"/>
        <v>No engagement</v>
      </c>
      <c r="Q100" t="b">
        <v>0</v>
      </c>
      <c r="R100" t="b">
        <v>0</v>
      </c>
      <c r="S100" t="b">
        <v>1</v>
      </c>
      <c r="T100" s="24" t="str">
        <f t="shared" si="11"/>
        <v>Link</v>
      </c>
    </row>
    <row r="101" spans="1:20" hidden="1" x14ac:dyDescent="0.2">
      <c r="A101" t="s">
        <v>2135</v>
      </c>
      <c r="B101" t="s">
        <v>14</v>
      </c>
      <c r="C101" t="s">
        <v>15</v>
      </c>
      <c r="D101" t="s">
        <v>2136</v>
      </c>
      <c r="E101" t="s">
        <v>2137</v>
      </c>
      <c r="F1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1" s="27">
        <f t="shared" si="6"/>
        <v>39993</v>
      </c>
      <c r="H101" s="7" t="str">
        <f t="shared" si="7"/>
        <v>22:58:00</v>
      </c>
      <c r="I101" s="8" t="str">
        <f t="shared" si="8"/>
        <v>Evening</v>
      </c>
      <c r="L101">
        <v>0</v>
      </c>
      <c r="M101">
        <v>0</v>
      </c>
      <c r="N101">
        <v>0</v>
      </c>
      <c r="O101" s="4">
        <f t="shared" si="9"/>
        <v>0</v>
      </c>
      <c r="P101" s="5" t="str">
        <f t="shared" si="10"/>
        <v>No engagement</v>
      </c>
      <c r="Q101" t="b">
        <v>0</v>
      </c>
      <c r="R101" t="b">
        <v>0</v>
      </c>
      <c r="S101" t="b">
        <v>0</v>
      </c>
      <c r="T101" s="24" t="str">
        <f t="shared" si="11"/>
        <v>Text only</v>
      </c>
    </row>
    <row r="102" spans="1:20" hidden="1" x14ac:dyDescent="0.2">
      <c r="A102" t="s">
        <v>2131</v>
      </c>
      <c r="B102" t="s">
        <v>14</v>
      </c>
      <c r="C102" t="s">
        <v>15</v>
      </c>
      <c r="D102" t="s">
        <v>2132</v>
      </c>
      <c r="E102" t="s">
        <v>2133</v>
      </c>
      <c r="F1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2" s="27">
        <f t="shared" si="6"/>
        <v>39994</v>
      </c>
      <c r="H102" s="7" t="str">
        <f t="shared" si="7"/>
        <v>14:47:15</v>
      </c>
      <c r="I102" s="8" t="str">
        <f t="shared" si="8"/>
        <v>Afternoon</v>
      </c>
      <c r="J102" t="s">
        <v>2134</v>
      </c>
      <c r="L102">
        <v>0</v>
      </c>
      <c r="M102">
        <v>0</v>
      </c>
      <c r="N102">
        <v>0</v>
      </c>
      <c r="O102" s="4">
        <f t="shared" si="9"/>
        <v>0</v>
      </c>
      <c r="P102" s="5" t="str">
        <f t="shared" si="10"/>
        <v>No engagement</v>
      </c>
      <c r="Q102" t="b">
        <v>0</v>
      </c>
      <c r="R102" t="b">
        <v>0</v>
      </c>
      <c r="S102" t="b">
        <v>0</v>
      </c>
      <c r="T102" s="24" t="str">
        <f t="shared" si="11"/>
        <v>Text only</v>
      </c>
    </row>
    <row r="103" spans="1:20" hidden="1" x14ac:dyDescent="0.2">
      <c r="A103" t="s">
        <v>2128</v>
      </c>
      <c r="B103" t="s">
        <v>14</v>
      </c>
      <c r="C103" t="s">
        <v>15</v>
      </c>
      <c r="D103" t="s">
        <v>2129</v>
      </c>
      <c r="E103" t="s">
        <v>2130</v>
      </c>
      <c r="F1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3" s="27">
        <f t="shared" si="6"/>
        <v>39994</v>
      </c>
      <c r="H103" s="7" t="str">
        <f t="shared" si="7"/>
        <v>14:48:43</v>
      </c>
      <c r="I103" s="8" t="str">
        <f t="shared" si="8"/>
        <v>Afternoon</v>
      </c>
      <c r="J103" t="s">
        <v>1756</v>
      </c>
      <c r="L103">
        <v>0</v>
      </c>
      <c r="M103">
        <v>0</v>
      </c>
      <c r="N103">
        <v>0</v>
      </c>
      <c r="O103" s="4">
        <f t="shared" si="9"/>
        <v>0</v>
      </c>
      <c r="P103" s="5" t="str">
        <f t="shared" si="10"/>
        <v>No engagement</v>
      </c>
      <c r="Q103" t="b">
        <v>0</v>
      </c>
      <c r="R103" t="b">
        <v>0</v>
      </c>
      <c r="S103" t="b">
        <v>0</v>
      </c>
      <c r="T103" s="24" t="str">
        <f t="shared" si="11"/>
        <v>Text only</v>
      </c>
    </row>
    <row r="104" spans="1:20" hidden="1" x14ac:dyDescent="0.2">
      <c r="A104" t="s">
        <v>2125</v>
      </c>
      <c r="B104" t="s">
        <v>14</v>
      </c>
      <c r="C104" t="s">
        <v>15</v>
      </c>
      <c r="D104" t="s">
        <v>2126</v>
      </c>
      <c r="E104" t="s">
        <v>2127</v>
      </c>
      <c r="F1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4" s="27">
        <f t="shared" si="6"/>
        <v>39994</v>
      </c>
      <c r="H104" s="7" t="str">
        <f t="shared" si="7"/>
        <v>15:08:15</v>
      </c>
      <c r="I104" s="8" t="str">
        <f t="shared" si="8"/>
        <v>Afternoon</v>
      </c>
      <c r="J104" t="s">
        <v>1756</v>
      </c>
      <c r="L104">
        <v>0</v>
      </c>
      <c r="M104">
        <v>0</v>
      </c>
      <c r="N104">
        <v>0</v>
      </c>
      <c r="O104" s="4">
        <f t="shared" si="9"/>
        <v>0</v>
      </c>
      <c r="P104" s="5" t="str">
        <f t="shared" si="10"/>
        <v>No engagement</v>
      </c>
      <c r="Q104" t="b">
        <v>0</v>
      </c>
      <c r="R104" t="b">
        <v>0</v>
      </c>
      <c r="S104" t="b">
        <v>1</v>
      </c>
      <c r="T104" s="24" t="str">
        <f t="shared" si="11"/>
        <v>Link</v>
      </c>
    </row>
    <row r="105" spans="1:20" hidden="1" x14ac:dyDescent="0.2">
      <c r="A105" t="s">
        <v>2121</v>
      </c>
      <c r="B105" t="s">
        <v>14</v>
      </c>
      <c r="C105" t="s">
        <v>15</v>
      </c>
      <c r="D105" t="s">
        <v>2122</v>
      </c>
      <c r="E105" t="s">
        <v>2123</v>
      </c>
      <c r="F1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5" s="27">
        <f t="shared" si="6"/>
        <v>39994</v>
      </c>
      <c r="H105" s="7" t="str">
        <f t="shared" si="7"/>
        <v>15:17:38</v>
      </c>
      <c r="I105" s="8" t="str">
        <f t="shared" si="8"/>
        <v>Afternoon</v>
      </c>
      <c r="J105" t="s">
        <v>2124</v>
      </c>
      <c r="L105">
        <v>0</v>
      </c>
      <c r="M105">
        <v>0</v>
      </c>
      <c r="N105">
        <v>0</v>
      </c>
      <c r="O105" s="4">
        <f t="shared" si="9"/>
        <v>0</v>
      </c>
      <c r="P105" s="5" t="str">
        <f t="shared" si="10"/>
        <v>No engagement</v>
      </c>
      <c r="Q105" t="b">
        <v>0</v>
      </c>
      <c r="R105" t="b">
        <v>0</v>
      </c>
      <c r="S105" t="b">
        <v>0</v>
      </c>
      <c r="T105" s="24" t="str">
        <f t="shared" si="11"/>
        <v>Text only</v>
      </c>
    </row>
    <row r="106" spans="1:20" hidden="1" x14ac:dyDescent="0.2">
      <c r="A106" t="s">
        <v>2118</v>
      </c>
      <c r="B106" t="s">
        <v>14</v>
      </c>
      <c r="C106" t="s">
        <v>15</v>
      </c>
      <c r="D106" t="s">
        <v>2119</v>
      </c>
      <c r="E106" t="s">
        <v>2120</v>
      </c>
      <c r="F1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6" s="27">
        <f t="shared" si="6"/>
        <v>39994</v>
      </c>
      <c r="H106" s="7" t="str">
        <f t="shared" si="7"/>
        <v>16:00:17</v>
      </c>
      <c r="I106" s="8" t="str">
        <f t="shared" si="8"/>
        <v>Afternoon</v>
      </c>
      <c r="J106" t="s">
        <v>1756</v>
      </c>
      <c r="L106">
        <v>0</v>
      </c>
      <c r="M106">
        <v>0</v>
      </c>
      <c r="N106">
        <v>0</v>
      </c>
      <c r="O106" s="4">
        <f t="shared" si="9"/>
        <v>0</v>
      </c>
      <c r="P106" s="5" t="str">
        <f t="shared" si="10"/>
        <v>No engagement</v>
      </c>
      <c r="Q106" t="b">
        <v>0</v>
      </c>
      <c r="R106" t="b">
        <v>0</v>
      </c>
      <c r="S106" t="b">
        <v>1</v>
      </c>
      <c r="T106" s="24" t="str">
        <f t="shared" si="11"/>
        <v>Link</v>
      </c>
    </row>
    <row r="107" spans="1:20" hidden="1" x14ac:dyDescent="0.2">
      <c r="A107" t="s">
        <v>2112</v>
      </c>
      <c r="B107" t="s">
        <v>14</v>
      </c>
      <c r="C107" t="s">
        <v>15</v>
      </c>
      <c r="D107" t="s">
        <v>2113</v>
      </c>
      <c r="E107" t="s">
        <v>2114</v>
      </c>
      <c r="F1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7" s="27">
        <f t="shared" si="6"/>
        <v>39994</v>
      </c>
      <c r="H107" s="7" t="str">
        <f t="shared" si="7"/>
        <v>17:34:29</v>
      </c>
      <c r="I107" s="8" t="str">
        <f t="shared" si="8"/>
        <v>Afternoon</v>
      </c>
      <c r="L107">
        <v>0</v>
      </c>
      <c r="M107">
        <v>0</v>
      </c>
      <c r="N107">
        <v>0</v>
      </c>
      <c r="O107" s="4">
        <f t="shared" si="9"/>
        <v>0</v>
      </c>
      <c r="P107" s="5" t="str">
        <f t="shared" si="10"/>
        <v>No engagement</v>
      </c>
      <c r="Q107" t="b">
        <v>0</v>
      </c>
      <c r="R107" t="b">
        <v>0</v>
      </c>
      <c r="S107" t="b">
        <v>1</v>
      </c>
      <c r="T107" s="24" t="str">
        <f t="shared" si="11"/>
        <v>Link</v>
      </c>
    </row>
    <row r="108" spans="1:20" hidden="1" x14ac:dyDescent="0.2">
      <c r="A108" t="s">
        <v>2106</v>
      </c>
      <c r="B108" t="s">
        <v>14</v>
      </c>
      <c r="C108" t="s">
        <v>15</v>
      </c>
      <c r="D108" t="s">
        <v>2107</v>
      </c>
      <c r="E108" t="s">
        <v>2108</v>
      </c>
      <c r="F1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8" s="27">
        <f t="shared" si="6"/>
        <v>39995</v>
      </c>
      <c r="H108" s="7" t="str">
        <f t="shared" si="7"/>
        <v>16:52:10</v>
      </c>
      <c r="I108" s="8" t="str">
        <f t="shared" si="8"/>
        <v>Afternoon</v>
      </c>
      <c r="L108">
        <v>0</v>
      </c>
      <c r="M108">
        <v>0</v>
      </c>
      <c r="N108">
        <v>0</v>
      </c>
      <c r="O108" s="4">
        <f t="shared" si="9"/>
        <v>0</v>
      </c>
      <c r="P108" s="5" t="str">
        <f t="shared" si="10"/>
        <v>No engagement</v>
      </c>
      <c r="Q108" t="b">
        <v>0</v>
      </c>
      <c r="R108" t="b">
        <v>0</v>
      </c>
      <c r="S108" t="b">
        <v>1</v>
      </c>
      <c r="T108" s="24" t="str">
        <f t="shared" si="11"/>
        <v>Link</v>
      </c>
    </row>
    <row r="109" spans="1:20" hidden="1" x14ac:dyDescent="0.2">
      <c r="A109" t="s">
        <v>2102</v>
      </c>
      <c r="B109" t="s">
        <v>14</v>
      </c>
      <c r="C109" t="s">
        <v>15</v>
      </c>
      <c r="D109" t="s">
        <v>2103</v>
      </c>
      <c r="E109" t="s">
        <v>2104</v>
      </c>
      <c r="F1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09" s="27">
        <f t="shared" si="6"/>
        <v>39995</v>
      </c>
      <c r="H109" s="7" t="str">
        <f t="shared" si="7"/>
        <v>17:09:02</v>
      </c>
      <c r="I109" s="8" t="str">
        <f t="shared" si="8"/>
        <v>Afternoon</v>
      </c>
      <c r="J109" t="s">
        <v>2105</v>
      </c>
      <c r="L109">
        <v>0</v>
      </c>
      <c r="M109">
        <v>0</v>
      </c>
      <c r="N109">
        <v>0</v>
      </c>
      <c r="O109" s="4">
        <f t="shared" si="9"/>
        <v>0</v>
      </c>
      <c r="P109" s="5" t="str">
        <f t="shared" si="10"/>
        <v>No engagement</v>
      </c>
      <c r="Q109" t="b">
        <v>0</v>
      </c>
      <c r="R109" t="b">
        <v>0</v>
      </c>
      <c r="S109" t="b">
        <v>0</v>
      </c>
      <c r="T109" s="24" t="str">
        <f t="shared" si="11"/>
        <v>Text only</v>
      </c>
    </row>
    <row r="110" spans="1:20" hidden="1" x14ac:dyDescent="0.2">
      <c r="A110" t="s">
        <v>2093</v>
      </c>
      <c r="B110" t="s">
        <v>14</v>
      </c>
      <c r="C110" t="s">
        <v>15</v>
      </c>
      <c r="D110" t="s">
        <v>2094</v>
      </c>
      <c r="E110" t="s">
        <v>2095</v>
      </c>
      <c r="F1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0" s="27">
        <f t="shared" si="6"/>
        <v>39995</v>
      </c>
      <c r="H110" s="7" t="str">
        <f t="shared" si="7"/>
        <v>20:38:38</v>
      </c>
      <c r="I110" s="8" t="str">
        <f t="shared" si="8"/>
        <v>Evening</v>
      </c>
      <c r="L110">
        <v>0</v>
      </c>
      <c r="M110">
        <v>0</v>
      </c>
      <c r="N110">
        <v>0</v>
      </c>
      <c r="O110" s="4">
        <f t="shared" si="9"/>
        <v>0</v>
      </c>
      <c r="P110" s="5" t="str">
        <f t="shared" si="10"/>
        <v>No engagement</v>
      </c>
      <c r="Q110" t="b">
        <v>0</v>
      </c>
      <c r="R110" t="b">
        <v>0</v>
      </c>
      <c r="S110" t="b">
        <v>1</v>
      </c>
      <c r="T110" s="24" t="str">
        <f t="shared" si="11"/>
        <v>Link</v>
      </c>
    </row>
    <row r="111" spans="1:20" hidden="1" x14ac:dyDescent="0.2">
      <c r="A111" t="s">
        <v>2090</v>
      </c>
      <c r="B111" t="s">
        <v>14</v>
      </c>
      <c r="C111" t="s">
        <v>15</v>
      </c>
      <c r="D111" t="s">
        <v>2091</v>
      </c>
      <c r="E111" t="s">
        <v>2092</v>
      </c>
      <c r="F1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1" s="27">
        <f t="shared" si="6"/>
        <v>39995</v>
      </c>
      <c r="H111" s="7" t="str">
        <f t="shared" si="7"/>
        <v>21:12:49</v>
      </c>
      <c r="I111" s="8" t="str">
        <f t="shared" si="8"/>
        <v>Evening</v>
      </c>
      <c r="J111" t="s">
        <v>2036</v>
      </c>
      <c r="L111">
        <v>0</v>
      </c>
      <c r="M111">
        <v>0</v>
      </c>
      <c r="N111">
        <v>0</v>
      </c>
      <c r="O111" s="4">
        <f t="shared" si="9"/>
        <v>0</v>
      </c>
      <c r="P111" s="5" t="str">
        <f t="shared" si="10"/>
        <v>No engagement</v>
      </c>
      <c r="Q111" t="b">
        <v>0</v>
      </c>
      <c r="R111" t="b">
        <v>0</v>
      </c>
      <c r="S111" t="b">
        <v>1</v>
      </c>
      <c r="T111" s="24" t="str">
        <f t="shared" si="11"/>
        <v>Link</v>
      </c>
    </row>
    <row r="112" spans="1:20" hidden="1" x14ac:dyDescent="0.2">
      <c r="A112" t="s">
        <v>2087</v>
      </c>
      <c r="B112" t="s">
        <v>14</v>
      </c>
      <c r="C112" t="s">
        <v>15</v>
      </c>
      <c r="D112" t="s">
        <v>2088</v>
      </c>
      <c r="E112" t="s">
        <v>2089</v>
      </c>
      <c r="F1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2" s="27">
        <f t="shared" si="6"/>
        <v>39995</v>
      </c>
      <c r="H112" s="7" t="str">
        <f t="shared" si="7"/>
        <v>21:47:18</v>
      </c>
      <c r="I112" s="8" t="str">
        <f t="shared" si="8"/>
        <v>Evening</v>
      </c>
      <c r="J112" t="s">
        <v>2036</v>
      </c>
      <c r="L112">
        <v>0</v>
      </c>
      <c r="M112">
        <v>0</v>
      </c>
      <c r="N112">
        <v>0</v>
      </c>
      <c r="O112" s="4">
        <f t="shared" si="9"/>
        <v>0</v>
      </c>
      <c r="P112" s="5" t="str">
        <f t="shared" si="10"/>
        <v>No engagement</v>
      </c>
      <c r="Q112" t="b">
        <v>0</v>
      </c>
      <c r="R112" t="b">
        <v>0</v>
      </c>
      <c r="S112" t="b">
        <v>0</v>
      </c>
      <c r="T112" s="24" t="str">
        <f t="shared" si="11"/>
        <v>Text only</v>
      </c>
    </row>
    <row r="113" spans="1:20" hidden="1" x14ac:dyDescent="0.2">
      <c r="A113" t="s">
        <v>2084</v>
      </c>
      <c r="B113" t="s">
        <v>14</v>
      </c>
      <c r="C113" t="s">
        <v>15</v>
      </c>
      <c r="D113" t="s">
        <v>2085</v>
      </c>
      <c r="E113" t="s">
        <v>2086</v>
      </c>
      <c r="F1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3" s="27">
        <f t="shared" si="6"/>
        <v>39995</v>
      </c>
      <c r="H113" s="7" t="str">
        <f t="shared" si="7"/>
        <v>22:15:11</v>
      </c>
      <c r="I113" s="8" t="str">
        <f t="shared" si="8"/>
        <v>Evening</v>
      </c>
      <c r="K113" t="s">
        <v>2356</v>
      </c>
      <c r="L113">
        <v>0</v>
      </c>
      <c r="M113">
        <v>0</v>
      </c>
      <c r="N113">
        <v>0</v>
      </c>
      <c r="O113" s="4">
        <f t="shared" si="9"/>
        <v>0</v>
      </c>
      <c r="P113" s="5" t="str">
        <f t="shared" si="10"/>
        <v>No engagement</v>
      </c>
      <c r="Q113" t="b">
        <v>0</v>
      </c>
      <c r="R113" t="b">
        <v>0</v>
      </c>
      <c r="S113" t="b">
        <v>0</v>
      </c>
      <c r="T113" s="24" t="str">
        <f t="shared" si="11"/>
        <v>Text only</v>
      </c>
    </row>
    <row r="114" spans="1:20" hidden="1" x14ac:dyDescent="0.2">
      <c r="A114" t="s">
        <v>2081</v>
      </c>
      <c r="B114" t="s">
        <v>14</v>
      </c>
      <c r="C114" t="s">
        <v>15</v>
      </c>
      <c r="D114" t="s">
        <v>2082</v>
      </c>
      <c r="E114" t="s">
        <v>2083</v>
      </c>
      <c r="F1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4" s="27">
        <f t="shared" si="6"/>
        <v>39995</v>
      </c>
      <c r="H114" s="7" t="str">
        <f t="shared" si="7"/>
        <v>22:54:44</v>
      </c>
      <c r="I114" s="8" t="str">
        <f t="shared" si="8"/>
        <v>Evening</v>
      </c>
      <c r="L114">
        <v>0</v>
      </c>
      <c r="M114">
        <v>0</v>
      </c>
      <c r="N114">
        <v>0</v>
      </c>
      <c r="O114" s="4">
        <f t="shared" si="9"/>
        <v>0</v>
      </c>
      <c r="P114" s="5" t="str">
        <f t="shared" si="10"/>
        <v>No engagement</v>
      </c>
      <c r="Q114" t="b">
        <v>0</v>
      </c>
      <c r="R114" t="b">
        <v>0</v>
      </c>
      <c r="S114" t="b">
        <v>0</v>
      </c>
      <c r="T114" s="24" t="str">
        <f t="shared" si="11"/>
        <v>Text only</v>
      </c>
    </row>
    <row r="115" spans="1:20" hidden="1" x14ac:dyDescent="0.2">
      <c r="A115" t="s">
        <v>2077</v>
      </c>
      <c r="B115" t="s">
        <v>14</v>
      </c>
      <c r="C115" t="s">
        <v>15</v>
      </c>
      <c r="D115" t="s">
        <v>2078</v>
      </c>
      <c r="E115" t="s">
        <v>2079</v>
      </c>
      <c r="F1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5" s="27">
        <f t="shared" si="6"/>
        <v>39995</v>
      </c>
      <c r="H115" s="7" t="str">
        <f t="shared" si="7"/>
        <v>22:59:36</v>
      </c>
      <c r="I115" s="8" t="str">
        <f t="shared" si="8"/>
        <v>Evening</v>
      </c>
      <c r="J115" t="s">
        <v>2080</v>
      </c>
      <c r="L115">
        <v>0</v>
      </c>
      <c r="M115">
        <v>0</v>
      </c>
      <c r="N115">
        <v>0</v>
      </c>
      <c r="O115" s="4">
        <f t="shared" si="9"/>
        <v>0</v>
      </c>
      <c r="P115" s="5" t="str">
        <f t="shared" si="10"/>
        <v>No engagement</v>
      </c>
      <c r="Q115" t="b">
        <v>0</v>
      </c>
      <c r="R115" t="b">
        <v>0</v>
      </c>
      <c r="S115" t="b">
        <v>0</v>
      </c>
      <c r="T115" s="24" t="str">
        <f t="shared" si="11"/>
        <v>Text only</v>
      </c>
    </row>
    <row r="116" spans="1:20" hidden="1" x14ac:dyDescent="0.2">
      <c r="A116" t="s">
        <v>2074</v>
      </c>
      <c r="B116" t="s">
        <v>14</v>
      </c>
      <c r="C116" t="s">
        <v>15</v>
      </c>
      <c r="D116" t="s">
        <v>2075</v>
      </c>
      <c r="E116" t="s">
        <v>2076</v>
      </c>
      <c r="F1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6" s="27">
        <f t="shared" si="6"/>
        <v>39995</v>
      </c>
      <c r="H116" s="7" t="str">
        <f t="shared" si="7"/>
        <v>23:25:14</v>
      </c>
      <c r="I116" s="8" t="str">
        <f t="shared" si="8"/>
        <v>Evening</v>
      </c>
      <c r="L116">
        <v>0</v>
      </c>
      <c r="M116">
        <v>0</v>
      </c>
      <c r="N116">
        <v>0</v>
      </c>
      <c r="O116" s="4">
        <f t="shared" si="9"/>
        <v>0</v>
      </c>
      <c r="P116" s="5" t="str">
        <f t="shared" si="10"/>
        <v>No engagement</v>
      </c>
      <c r="Q116" t="b">
        <v>0</v>
      </c>
      <c r="R116" t="b">
        <v>0</v>
      </c>
      <c r="S116" t="b">
        <v>0</v>
      </c>
      <c r="T116" s="24" t="str">
        <f t="shared" si="11"/>
        <v>Text only</v>
      </c>
    </row>
    <row r="117" spans="1:20" hidden="1" x14ac:dyDescent="0.2">
      <c r="A117" t="s">
        <v>2068</v>
      </c>
      <c r="B117" t="s">
        <v>14</v>
      </c>
      <c r="C117" t="s">
        <v>15</v>
      </c>
      <c r="D117" t="s">
        <v>2069</v>
      </c>
      <c r="E117" t="s">
        <v>2070</v>
      </c>
      <c r="F1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7" s="27">
        <f t="shared" si="6"/>
        <v>39996</v>
      </c>
      <c r="H117" s="7" t="str">
        <f t="shared" si="7"/>
        <v>17:25:47</v>
      </c>
      <c r="I117" s="8" t="str">
        <f t="shared" si="8"/>
        <v>Afternoon</v>
      </c>
      <c r="L117">
        <v>0</v>
      </c>
      <c r="M117">
        <v>0</v>
      </c>
      <c r="N117">
        <v>0</v>
      </c>
      <c r="O117" s="4">
        <f t="shared" si="9"/>
        <v>0</v>
      </c>
      <c r="P117" s="5" t="str">
        <f t="shared" si="10"/>
        <v>No engagement</v>
      </c>
      <c r="Q117" t="b">
        <v>0</v>
      </c>
      <c r="R117" t="b">
        <v>0</v>
      </c>
      <c r="S117" t="b">
        <v>1</v>
      </c>
      <c r="T117" s="24" t="str">
        <f t="shared" si="11"/>
        <v>Link</v>
      </c>
    </row>
    <row r="118" spans="1:20" hidden="1" x14ac:dyDescent="0.2">
      <c r="A118" t="s">
        <v>2061</v>
      </c>
      <c r="B118" t="s">
        <v>14</v>
      </c>
      <c r="C118" t="s">
        <v>15</v>
      </c>
      <c r="D118" t="s">
        <v>2062</v>
      </c>
      <c r="E118" t="s">
        <v>2063</v>
      </c>
      <c r="F1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8" s="27">
        <f t="shared" si="6"/>
        <v>39996</v>
      </c>
      <c r="H118" s="7" t="str">
        <f t="shared" si="7"/>
        <v>22:23:17</v>
      </c>
      <c r="I118" s="8" t="str">
        <f t="shared" si="8"/>
        <v>Evening</v>
      </c>
      <c r="J118" t="s">
        <v>2064</v>
      </c>
      <c r="L118">
        <v>0</v>
      </c>
      <c r="M118">
        <v>0</v>
      </c>
      <c r="N118">
        <v>0</v>
      </c>
      <c r="O118" s="4">
        <f t="shared" si="9"/>
        <v>0</v>
      </c>
      <c r="P118" s="5" t="str">
        <f t="shared" si="10"/>
        <v>No engagement</v>
      </c>
      <c r="Q118" t="b">
        <v>0</v>
      </c>
      <c r="R118" t="b">
        <v>0</v>
      </c>
      <c r="S118" t="b">
        <v>1</v>
      </c>
      <c r="T118" s="24" t="str">
        <f t="shared" si="11"/>
        <v>Link</v>
      </c>
    </row>
    <row r="119" spans="1:20" hidden="1" x14ac:dyDescent="0.2">
      <c r="A119" t="s">
        <v>2055</v>
      </c>
      <c r="B119" t="s">
        <v>14</v>
      </c>
      <c r="C119" t="s">
        <v>15</v>
      </c>
      <c r="D119" t="s">
        <v>2056</v>
      </c>
      <c r="E119" t="s">
        <v>2057</v>
      </c>
      <c r="F1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19" s="27">
        <f t="shared" si="6"/>
        <v>40000</v>
      </c>
      <c r="H119" s="7" t="str">
        <f t="shared" si="7"/>
        <v>18:05:03</v>
      </c>
      <c r="I119" s="8" t="str">
        <f t="shared" si="8"/>
        <v>Evening</v>
      </c>
      <c r="L119">
        <v>0</v>
      </c>
      <c r="M119">
        <v>0</v>
      </c>
      <c r="N119">
        <v>0</v>
      </c>
      <c r="O119" s="4">
        <f t="shared" si="9"/>
        <v>0</v>
      </c>
      <c r="P119" s="5" t="str">
        <f t="shared" si="10"/>
        <v>No engagement</v>
      </c>
      <c r="Q119" t="b">
        <v>0</v>
      </c>
      <c r="R119" t="b">
        <v>0</v>
      </c>
      <c r="S119" t="b">
        <v>1</v>
      </c>
      <c r="T119" s="24" t="str">
        <f t="shared" si="11"/>
        <v>Link</v>
      </c>
    </row>
    <row r="120" spans="1:20" hidden="1" x14ac:dyDescent="0.2">
      <c r="A120" t="s">
        <v>2052</v>
      </c>
      <c r="B120" t="s">
        <v>14</v>
      </c>
      <c r="C120" t="s">
        <v>15</v>
      </c>
      <c r="D120" t="s">
        <v>2053</v>
      </c>
      <c r="E120" t="s">
        <v>2054</v>
      </c>
      <c r="F1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0" s="27">
        <f t="shared" si="6"/>
        <v>40000</v>
      </c>
      <c r="H120" s="7" t="str">
        <f t="shared" si="7"/>
        <v>20:45:12</v>
      </c>
      <c r="I120" s="8" t="str">
        <f t="shared" si="8"/>
        <v>Evening</v>
      </c>
      <c r="J120" t="s">
        <v>1305</v>
      </c>
      <c r="L120">
        <v>0</v>
      </c>
      <c r="M120">
        <v>0</v>
      </c>
      <c r="N120">
        <v>0</v>
      </c>
      <c r="O120" s="4">
        <f t="shared" si="9"/>
        <v>0</v>
      </c>
      <c r="P120" s="5" t="str">
        <f t="shared" si="10"/>
        <v>No engagement</v>
      </c>
      <c r="Q120" t="b">
        <v>0</v>
      </c>
      <c r="R120" t="b">
        <v>0</v>
      </c>
      <c r="S120" t="b">
        <v>0</v>
      </c>
      <c r="T120" s="24" t="str">
        <f t="shared" si="11"/>
        <v>Text only</v>
      </c>
    </row>
    <row r="121" spans="1:20" hidden="1" x14ac:dyDescent="0.2">
      <c r="A121" t="s">
        <v>2049</v>
      </c>
      <c r="B121" t="s">
        <v>14</v>
      </c>
      <c r="C121" t="s">
        <v>15</v>
      </c>
      <c r="D121" t="s">
        <v>2050</v>
      </c>
      <c r="E121" t="s">
        <v>2051</v>
      </c>
      <c r="F1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1" s="27">
        <f t="shared" si="6"/>
        <v>40000</v>
      </c>
      <c r="H121" s="7" t="str">
        <f t="shared" si="7"/>
        <v>20:58:21</v>
      </c>
      <c r="I121" s="8" t="str">
        <f t="shared" si="8"/>
        <v>Evening</v>
      </c>
      <c r="J121" t="s">
        <v>2035</v>
      </c>
      <c r="L121">
        <v>0</v>
      </c>
      <c r="M121">
        <v>0</v>
      </c>
      <c r="N121">
        <v>0</v>
      </c>
      <c r="O121" s="4">
        <f t="shared" si="9"/>
        <v>0</v>
      </c>
      <c r="P121" s="5" t="str">
        <f t="shared" si="10"/>
        <v>No engagement</v>
      </c>
      <c r="Q121" t="b">
        <v>0</v>
      </c>
      <c r="R121" t="b">
        <v>0</v>
      </c>
      <c r="S121" t="b">
        <v>0</v>
      </c>
      <c r="T121" s="24" t="str">
        <f t="shared" si="11"/>
        <v>Text only</v>
      </c>
    </row>
    <row r="122" spans="1:20" hidden="1" x14ac:dyDescent="0.2">
      <c r="A122" t="s">
        <v>2046</v>
      </c>
      <c r="B122" t="s">
        <v>14</v>
      </c>
      <c r="C122" t="s">
        <v>15</v>
      </c>
      <c r="D122" t="s">
        <v>2047</v>
      </c>
      <c r="E122" t="s">
        <v>2048</v>
      </c>
      <c r="F1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2" s="27">
        <f t="shared" si="6"/>
        <v>40000</v>
      </c>
      <c r="H122" s="7" t="str">
        <f t="shared" si="7"/>
        <v>21:39:01</v>
      </c>
      <c r="I122" s="8" t="str">
        <f t="shared" si="8"/>
        <v>Evening</v>
      </c>
      <c r="J122" t="s">
        <v>1756</v>
      </c>
      <c r="L122">
        <v>0</v>
      </c>
      <c r="M122">
        <v>0</v>
      </c>
      <c r="N122">
        <v>0</v>
      </c>
      <c r="O122" s="4">
        <f t="shared" si="9"/>
        <v>0</v>
      </c>
      <c r="P122" s="5" t="str">
        <f t="shared" si="10"/>
        <v>No engagement</v>
      </c>
      <c r="Q122" t="b">
        <v>0</v>
      </c>
      <c r="R122" t="b">
        <v>0</v>
      </c>
      <c r="S122" t="b">
        <v>0</v>
      </c>
      <c r="T122" s="24" t="str">
        <f t="shared" si="11"/>
        <v>Text only</v>
      </c>
    </row>
    <row r="123" spans="1:20" hidden="1" x14ac:dyDescent="0.2">
      <c r="A123" t="s">
        <v>2043</v>
      </c>
      <c r="B123" t="s">
        <v>14</v>
      </c>
      <c r="C123" t="s">
        <v>15</v>
      </c>
      <c r="D123" t="s">
        <v>2044</v>
      </c>
      <c r="E123" t="s">
        <v>2045</v>
      </c>
      <c r="F1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3" s="27">
        <f t="shared" si="6"/>
        <v>40000</v>
      </c>
      <c r="H123" s="7" t="str">
        <f t="shared" si="7"/>
        <v>22:29:36</v>
      </c>
      <c r="I123" s="8" t="str">
        <f t="shared" si="8"/>
        <v>Evening</v>
      </c>
      <c r="L123">
        <v>0</v>
      </c>
      <c r="M123">
        <v>0</v>
      </c>
      <c r="N123">
        <v>0</v>
      </c>
      <c r="O123" s="4">
        <f t="shared" si="9"/>
        <v>0</v>
      </c>
      <c r="P123" s="5" t="str">
        <f t="shared" si="10"/>
        <v>No engagement</v>
      </c>
      <c r="Q123" t="b">
        <v>0</v>
      </c>
      <c r="R123" t="b">
        <v>0</v>
      </c>
      <c r="S123" t="b">
        <v>1</v>
      </c>
      <c r="T123" s="24" t="str">
        <f t="shared" si="11"/>
        <v>Link</v>
      </c>
    </row>
    <row r="124" spans="1:20" hidden="1" x14ac:dyDescent="0.2">
      <c r="A124" t="s">
        <v>2040</v>
      </c>
      <c r="B124" t="s">
        <v>14</v>
      </c>
      <c r="C124" t="s">
        <v>15</v>
      </c>
      <c r="D124" t="s">
        <v>2041</v>
      </c>
      <c r="E124" t="s">
        <v>2042</v>
      </c>
      <c r="F1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4" s="27">
        <f t="shared" si="6"/>
        <v>40001</v>
      </c>
      <c r="H124" s="7" t="str">
        <f t="shared" si="7"/>
        <v>00:58:36</v>
      </c>
      <c r="I124" s="8" t="str">
        <f t="shared" si="8"/>
        <v>Early morning</v>
      </c>
      <c r="J124" t="s">
        <v>2035</v>
      </c>
      <c r="L124">
        <v>0</v>
      </c>
      <c r="M124">
        <v>0</v>
      </c>
      <c r="N124">
        <v>0</v>
      </c>
      <c r="O124" s="4">
        <f t="shared" si="9"/>
        <v>0</v>
      </c>
      <c r="P124" s="5" t="str">
        <f t="shared" si="10"/>
        <v>No engagement</v>
      </c>
      <c r="Q124" t="b">
        <v>0</v>
      </c>
      <c r="R124" t="b">
        <v>0</v>
      </c>
      <c r="S124" t="b">
        <v>0</v>
      </c>
      <c r="T124" s="24" t="str">
        <f t="shared" si="11"/>
        <v>Text only</v>
      </c>
    </row>
    <row r="125" spans="1:20" hidden="1" x14ac:dyDescent="0.2">
      <c r="A125" t="s">
        <v>2037</v>
      </c>
      <c r="B125" t="s">
        <v>14</v>
      </c>
      <c r="C125" t="s">
        <v>15</v>
      </c>
      <c r="D125" t="s">
        <v>2038</v>
      </c>
      <c r="E125" t="s">
        <v>2039</v>
      </c>
      <c r="F1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5" s="27">
        <f t="shared" si="6"/>
        <v>40003</v>
      </c>
      <c r="H125" s="7" t="str">
        <f t="shared" si="7"/>
        <v>23:07:50</v>
      </c>
      <c r="I125" s="8" t="str">
        <f t="shared" si="8"/>
        <v>Evening</v>
      </c>
      <c r="L125">
        <v>0</v>
      </c>
      <c r="M125">
        <v>0</v>
      </c>
      <c r="N125">
        <v>0</v>
      </c>
      <c r="O125" s="4">
        <f t="shared" si="9"/>
        <v>0</v>
      </c>
      <c r="P125" s="5" t="str">
        <f t="shared" si="10"/>
        <v>No engagement</v>
      </c>
      <c r="Q125" t="b">
        <v>0</v>
      </c>
      <c r="R125" t="b">
        <v>0</v>
      </c>
      <c r="S125" t="b">
        <v>1</v>
      </c>
      <c r="T125" s="24" t="str">
        <f t="shared" si="11"/>
        <v>Link</v>
      </c>
    </row>
    <row r="126" spans="1:20" hidden="1" x14ac:dyDescent="0.2">
      <c r="A126" t="s">
        <v>2032</v>
      </c>
      <c r="B126" t="s">
        <v>14</v>
      </c>
      <c r="C126" t="s">
        <v>15</v>
      </c>
      <c r="D126" t="s">
        <v>2033</v>
      </c>
      <c r="E126" t="s">
        <v>2034</v>
      </c>
      <c r="F1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6" s="27">
        <f t="shared" si="6"/>
        <v>40007</v>
      </c>
      <c r="H126" s="7" t="str">
        <f t="shared" si="7"/>
        <v>15:28:29</v>
      </c>
      <c r="I126" s="8" t="str">
        <f t="shared" si="8"/>
        <v>Afternoon</v>
      </c>
      <c r="L126">
        <v>0</v>
      </c>
      <c r="M126">
        <v>0</v>
      </c>
      <c r="N126">
        <v>0</v>
      </c>
      <c r="O126" s="4">
        <f t="shared" si="9"/>
        <v>0</v>
      </c>
      <c r="P126" s="5" t="str">
        <f t="shared" si="10"/>
        <v>No engagement</v>
      </c>
      <c r="Q126" t="b">
        <v>0</v>
      </c>
      <c r="R126" t="b">
        <v>0</v>
      </c>
      <c r="S126" t="b">
        <v>0</v>
      </c>
      <c r="T126" s="24" t="str">
        <f t="shared" si="11"/>
        <v>Text only</v>
      </c>
    </row>
    <row r="127" spans="1:20" hidden="1" x14ac:dyDescent="0.2">
      <c r="A127" t="s">
        <v>2026</v>
      </c>
      <c r="B127" t="s">
        <v>14</v>
      </c>
      <c r="C127" t="s">
        <v>15</v>
      </c>
      <c r="D127" t="s">
        <v>2027</v>
      </c>
      <c r="E127" t="s">
        <v>2028</v>
      </c>
      <c r="F1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7" s="27">
        <f t="shared" si="6"/>
        <v>40007</v>
      </c>
      <c r="H127" s="7" t="str">
        <f t="shared" si="7"/>
        <v>22:01:23</v>
      </c>
      <c r="I127" s="8" t="str">
        <f t="shared" si="8"/>
        <v>Evening</v>
      </c>
      <c r="J127" t="s">
        <v>2025</v>
      </c>
      <c r="L127">
        <v>0</v>
      </c>
      <c r="M127">
        <v>0</v>
      </c>
      <c r="N127">
        <v>0</v>
      </c>
      <c r="O127" s="4">
        <f t="shared" si="9"/>
        <v>0</v>
      </c>
      <c r="P127" s="5" t="str">
        <f t="shared" si="10"/>
        <v>No engagement</v>
      </c>
      <c r="Q127" t="b">
        <v>0</v>
      </c>
      <c r="R127" t="b">
        <v>0</v>
      </c>
      <c r="S127" t="b">
        <v>0</v>
      </c>
      <c r="T127" s="24" t="str">
        <f t="shared" si="11"/>
        <v>Text only</v>
      </c>
    </row>
    <row r="128" spans="1:20" hidden="1" x14ac:dyDescent="0.2">
      <c r="A128" t="s">
        <v>2022</v>
      </c>
      <c r="B128" t="s">
        <v>14</v>
      </c>
      <c r="C128" t="s">
        <v>15</v>
      </c>
      <c r="D128" t="s">
        <v>2023</v>
      </c>
      <c r="E128" t="s">
        <v>2024</v>
      </c>
      <c r="F1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8" s="27">
        <f t="shared" si="6"/>
        <v>40008</v>
      </c>
      <c r="H128" s="7" t="str">
        <f t="shared" si="7"/>
        <v>14:30:59</v>
      </c>
      <c r="I128" s="8" t="str">
        <f t="shared" si="8"/>
        <v>Afternoon</v>
      </c>
      <c r="L128">
        <v>0</v>
      </c>
      <c r="M128">
        <v>0</v>
      </c>
      <c r="N128">
        <v>0</v>
      </c>
      <c r="O128" s="4">
        <f t="shared" si="9"/>
        <v>0</v>
      </c>
      <c r="P128" s="5" t="str">
        <f t="shared" si="10"/>
        <v>No engagement</v>
      </c>
      <c r="Q128" t="b">
        <v>0</v>
      </c>
      <c r="R128" t="b">
        <v>0</v>
      </c>
      <c r="S128" t="b">
        <v>1</v>
      </c>
      <c r="T128" s="24" t="str">
        <f t="shared" si="11"/>
        <v>Link</v>
      </c>
    </row>
    <row r="129" spans="1:20" hidden="1" x14ac:dyDescent="0.2">
      <c r="A129" t="s">
        <v>2014</v>
      </c>
      <c r="B129" t="s">
        <v>14</v>
      </c>
      <c r="C129" t="s">
        <v>15</v>
      </c>
      <c r="D129" t="s">
        <v>2015</v>
      </c>
      <c r="E129" t="s">
        <v>2016</v>
      </c>
      <c r="F1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29" s="27">
        <f t="shared" si="6"/>
        <v>40008</v>
      </c>
      <c r="H129" s="7" t="str">
        <f t="shared" si="7"/>
        <v>17:10:58</v>
      </c>
      <c r="I129" s="8" t="str">
        <f t="shared" si="8"/>
        <v>Afternoon</v>
      </c>
      <c r="J129" t="s">
        <v>2010</v>
      </c>
      <c r="L129">
        <v>0</v>
      </c>
      <c r="M129">
        <v>0</v>
      </c>
      <c r="N129">
        <v>0</v>
      </c>
      <c r="O129" s="4">
        <f t="shared" si="9"/>
        <v>0</v>
      </c>
      <c r="P129" s="5" t="str">
        <f t="shared" si="10"/>
        <v>No engagement</v>
      </c>
      <c r="Q129" t="b">
        <v>0</v>
      </c>
      <c r="R129" t="b">
        <v>0</v>
      </c>
      <c r="S129" t="b">
        <v>0</v>
      </c>
      <c r="T129" s="24" t="str">
        <f t="shared" si="11"/>
        <v>Text only</v>
      </c>
    </row>
    <row r="130" spans="1:20" hidden="1" x14ac:dyDescent="0.2">
      <c r="A130" t="s">
        <v>2011</v>
      </c>
      <c r="B130" t="s">
        <v>14</v>
      </c>
      <c r="C130" t="s">
        <v>15</v>
      </c>
      <c r="D130" t="s">
        <v>2012</v>
      </c>
      <c r="E130" t="s">
        <v>2013</v>
      </c>
      <c r="F1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0" s="27">
        <f t="shared" ref="G130:G193" si="12">DATEVALUE((LEFT(E130,10)))</f>
        <v>40008</v>
      </c>
      <c r="H130" s="7" t="str">
        <f t="shared" ref="H130:H193" si="13">MID(E130,12,8)</f>
        <v>17:31:08</v>
      </c>
      <c r="I130" s="8" t="str">
        <f t="shared" ref="I130:I193" si="14">IF(HOUR(H130)&lt;7,"Early morning",
IF(HOUR(H130)&lt;11,"Morning",
IF(HOUR(H130)&lt;14,"Mid-day",
IF(HOUR(H130)&lt;18,"Afternoon","Evening"))))</f>
        <v>Afternoon</v>
      </c>
      <c r="J130" t="s">
        <v>2010</v>
      </c>
      <c r="L130">
        <v>0</v>
      </c>
      <c r="M130">
        <v>0</v>
      </c>
      <c r="N130">
        <v>0</v>
      </c>
      <c r="O130" s="4">
        <f t="shared" ref="O130:O193" si="15">L130+M130+N130</f>
        <v>0</v>
      </c>
      <c r="P130" s="5" t="str">
        <f t="shared" ref="P130:P193" si="16">IF(O130&lt;1,"No engagement", IF(O130&lt;5,"Low engagement", IF(O130&lt;10,"Moderate engagement", "High engagement")))</f>
        <v>No engagement</v>
      </c>
      <c r="Q130" t="b">
        <v>0</v>
      </c>
      <c r="R130" t="b">
        <v>0</v>
      </c>
      <c r="S130" t="b">
        <v>0</v>
      </c>
      <c r="T130" s="24" t="str">
        <f t="shared" ref="T130:T193" si="17">IF(Q130=TRUE,"Photo",IF(R130=TRUE,"Video",IF(S130=TRUE,"Link",("Text only"))))</f>
        <v>Text only</v>
      </c>
    </row>
    <row r="131" spans="1:20" hidden="1" x14ac:dyDescent="0.2">
      <c r="A131" t="s">
        <v>2007</v>
      </c>
      <c r="B131" t="s">
        <v>14</v>
      </c>
      <c r="C131" t="s">
        <v>15</v>
      </c>
      <c r="D131" t="s">
        <v>2008</v>
      </c>
      <c r="E131" t="s">
        <v>2009</v>
      </c>
      <c r="F1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1" s="27">
        <f t="shared" si="12"/>
        <v>40008</v>
      </c>
      <c r="H131" s="7" t="str">
        <f t="shared" si="13"/>
        <v>17:58:33</v>
      </c>
      <c r="I131" s="8" t="str">
        <f t="shared" si="14"/>
        <v>Afternoon</v>
      </c>
      <c r="J131" t="s">
        <v>2010</v>
      </c>
      <c r="L131">
        <v>0</v>
      </c>
      <c r="M131">
        <v>0</v>
      </c>
      <c r="N131">
        <v>0</v>
      </c>
      <c r="O131" s="4">
        <f t="shared" si="15"/>
        <v>0</v>
      </c>
      <c r="P131" s="5" t="str">
        <f t="shared" si="16"/>
        <v>No engagement</v>
      </c>
      <c r="Q131" t="b">
        <v>0</v>
      </c>
      <c r="R131" t="b">
        <v>0</v>
      </c>
      <c r="S131" t="b">
        <v>0</v>
      </c>
      <c r="T131" s="24" t="str">
        <f t="shared" si="17"/>
        <v>Text only</v>
      </c>
    </row>
    <row r="132" spans="1:20" hidden="1" x14ac:dyDescent="0.2">
      <c r="A132" t="s">
        <v>2004</v>
      </c>
      <c r="B132" t="s">
        <v>14</v>
      </c>
      <c r="C132" t="s">
        <v>15</v>
      </c>
      <c r="D132" t="s">
        <v>2005</v>
      </c>
      <c r="E132" t="s">
        <v>2006</v>
      </c>
      <c r="F1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2" s="27">
        <f t="shared" si="12"/>
        <v>40008</v>
      </c>
      <c r="H132" s="7" t="str">
        <f t="shared" si="13"/>
        <v>20:03:21</v>
      </c>
      <c r="I132" s="8" t="str">
        <f t="shared" si="14"/>
        <v>Evening</v>
      </c>
      <c r="L132">
        <v>0</v>
      </c>
      <c r="M132">
        <v>0</v>
      </c>
      <c r="N132">
        <v>0</v>
      </c>
      <c r="O132" s="4">
        <f t="shared" si="15"/>
        <v>0</v>
      </c>
      <c r="P132" s="5" t="str">
        <f t="shared" si="16"/>
        <v>No engagement</v>
      </c>
      <c r="Q132" t="b">
        <v>0</v>
      </c>
      <c r="R132" t="b">
        <v>0</v>
      </c>
      <c r="S132" t="b">
        <v>1</v>
      </c>
      <c r="T132" s="24" t="str">
        <f t="shared" si="17"/>
        <v>Link</v>
      </c>
    </row>
    <row r="133" spans="1:20" hidden="1" x14ac:dyDescent="0.2">
      <c r="A133" t="s">
        <v>1998</v>
      </c>
      <c r="B133" t="s">
        <v>14</v>
      </c>
      <c r="C133" t="s">
        <v>15</v>
      </c>
      <c r="D133" t="s">
        <v>1999</v>
      </c>
      <c r="E133" t="s">
        <v>2000</v>
      </c>
      <c r="F1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3" s="27">
        <f t="shared" si="12"/>
        <v>40008</v>
      </c>
      <c r="H133" s="7" t="str">
        <f t="shared" si="13"/>
        <v>21:46:51</v>
      </c>
      <c r="I133" s="8" t="str">
        <f t="shared" si="14"/>
        <v>Evening</v>
      </c>
      <c r="L133">
        <v>0</v>
      </c>
      <c r="M133">
        <v>0</v>
      </c>
      <c r="N133">
        <v>0</v>
      </c>
      <c r="O133" s="4">
        <f t="shared" si="15"/>
        <v>0</v>
      </c>
      <c r="P133" s="5" t="str">
        <f t="shared" si="16"/>
        <v>No engagement</v>
      </c>
      <c r="Q133" t="b">
        <v>0</v>
      </c>
      <c r="R133" t="b">
        <v>0</v>
      </c>
      <c r="S133" t="b">
        <v>1</v>
      </c>
      <c r="T133" s="24" t="str">
        <f t="shared" si="17"/>
        <v>Link</v>
      </c>
    </row>
    <row r="134" spans="1:20" hidden="1" x14ac:dyDescent="0.2">
      <c r="A134" t="s">
        <v>1995</v>
      </c>
      <c r="B134" t="s">
        <v>14</v>
      </c>
      <c r="C134" t="s">
        <v>15</v>
      </c>
      <c r="D134" t="s">
        <v>1996</v>
      </c>
      <c r="E134" t="s">
        <v>1997</v>
      </c>
      <c r="F1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4" s="27">
        <f t="shared" si="12"/>
        <v>40008</v>
      </c>
      <c r="H134" s="7" t="str">
        <f t="shared" si="13"/>
        <v>22:41:28</v>
      </c>
      <c r="I134" s="8" t="str">
        <f t="shared" si="14"/>
        <v>Evening</v>
      </c>
      <c r="L134">
        <v>0</v>
      </c>
      <c r="M134">
        <v>0</v>
      </c>
      <c r="N134">
        <v>0</v>
      </c>
      <c r="O134" s="4">
        <f t="shared" si="15"/>
        <v>0</v>
      </c>
      <c r="P134" s="5" t="str">
        <f t="shared" si="16"/>
        <v>No engagement</v>
      </c>
      <c r="Q134" t="b">
        <v>0</v>
      </c>
      <c r="R134" t="b">
        <v>0</v>
      </c>
      <c r="S134" t="b">
        <v>1</v>
      </c>
      <c r="T134" s="24" t="str">
        <f t="shared" si="17"/>
        <v>Link</v>
      </c>
    </row>
    <row r="135" spans="1:20" hidden="1" x14ac:dyDescent="0.2">
      <c r="A135" t="s">
        <v>1992</v>
      </c>
      <c r="B135" t="s">
        <v>14</v>
      </c>
      <c r="C135" t="s">
        <v>15</v>
      </c>
      <c r="D135" t="s">
        <v>1993</v>
      </c>
      <c r="E135" t="s">
        <v>1994</v>
      </c>
      <c r="F1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5" s="27">
        <f t="shared" si="12"/>
        <v>40008</v>
      </c>
      <c r="H135" s="7" t="str">
        <f t="shared" si="13"/>
        <v>22:44:09</v>
      </c>
      <c r="I135" s="8" t="str">
        <f t="shared" si="14"/>
        <v>Evening</v>
      </c>
      <c r="L135">
        <v>0</v>
      </c>
      <c r="M135">
        <v>0</v>
      </c>
      <c r="N135">
        <v>0</v>
      </c>
      <c r="O135" s="4">
        <f t="shared" si="15"/>
        <v>0</v>
      </c>
      <c r="P135" s="5" t="str">
        <f t="shared" si="16"/>
        <v>No engagement</v>
      </c>
      <c r="Q135" t="b">
        <v>0</v>
      </c>
      <c r="R135" t="b">
        <v>0</v>
      </c>
      <c r="S135" t="b">
        <v>1</v>
      </c>
      <c r="T135" s="24" t="str">
        <f t="shared" si="17"/>
        <v>Link</v>
      </c>
    </row>
    <row r="136" spans="1:20" hidden="1" x14ac:dyDescent="0.2">
      <c r="A136" t="s">
        <v>1989</v>
      </c>
      <c r="B136" t="s">
        <v>14</v>
      </c>
      <c r="C136" t="s">
        <v>15</v>
      </c>
      <c r="D136" t="s">
        <v>1990</v>
      </c>
      <c r="E136" t="s">
        <v>1991</v>
      </c>
      <c r="F1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6" s="27">
        <f t="shared" si="12"/>
        <v>40009</v>
      </c>
      <c r="H136" s="7" t="str">
        <f t="shared" si="13"/>
        <v>16:39:09</v>
      </c>
      <c r="I136" s="8" t="str">
        <f t="shared" si="14"/>
        <v>Afternoon</v>
      </c>
      <c r="L136">
        <v>0</v>
      </c>
      <c r="M136">
        <v>0</v>
      </c>
      <c r="N136">
        <v>0</v>
      </c>
      <c r="O136" s="4">
        <f t="shared" si="15"/>
        <v>0</v>
      </c>
      <c r="P136" s="5" t="str">
        <f t="shared" si="16"/>
        <v>No engagement</v>
      </c>
      <c r="Q136" t="b">
        <v>0</v>
      </c>
      <c r="R136" t="b">
        <v>0</v>
      </c>
      <c r="S136" t="b">
        <v>1</v>
      </c>
      <c r="T136" s="24" t="str">
        <f t="shared" si="17"/>
        <v>Link</v>
      </c>
    </row>
    <row r="137" spans="1:20" hidden="1" x14ac:dyDescent="0.2">
      <c r="A137" t="s">
        <v>1986</v>
      </c>
      <c r="B137" t="s">
        <v>14</v>
      </c>
      <c r="C137" t="s">
        <v>15</v>
      </c>
      <c r="D137" t="s">
        <v>1987</v>
      </c>
      <c r="E137" t="s">
        <v>1988</v>
      </c>
      <c r="F1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7" s="27">
        <f t="shared" si="12"/>
        <v>40009</v>
      </c>
      <c r="H137" s="7" t="str">
        <f t="shared" si="13"/>
        <v>16:48:51</v>
      </c>
      <c r="I137" s="8" t="str">
        <f t="shared" si="14"/>
        <v>Afternoon</v>
      </c>
      <c r="L137">
        <v>0</v>
      </c>
      <c r="M137">
        <v>0</v>
      </c>
      <c r="N137">
        <v>0</v>
      </c>
      <c r="O137" s="4">
        <f t="shared" si="15"/>
        <v>0</v>
      </c>
      <c r="P137" s="5" t="str">
        <f t="shared" si="16"/>
        <v>No engagement</v>
      </c>
      <c r="Q137" t="b">
        <v>0</v>
      </c>
      <c r="R137" t="b">
        <v>0</v>
      </c>
      <c r="S137" t="b">
        <v>1</v>
      </c>
      <c r="T137" s="24" t="str">
        <f t="shared" si="17"/>
        <v>Link</v>
      </c>
    </row>
    <row r="138" spans="1:20" hidden="1" x14ac:dyDescent="0.2">
      <c r="A138" t="s">
        <v>1983</v>
      </c>
      <c r="B138" t="s">
        <v>14</v>
      </c>
      <c r="C138" t="s">
        <v>15</v>
      </c>
      <c r="D138" t="s">
        <v>1984</v>
      </c>
      <c r="E138" t="s">
        <v>1985</v>
      </c>
      <c r="F1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8" s="27">
        <f t="shared" si="12"/>
        <v>40009</v>
      </c>
      <c r="H138" s="7" t="str">
        <f t="shared" si="13"/>
        <v>16:51:20</v>
      </c>
      <c r="I138" s="8" t="str">
        <f t="shared" si="14"/>
        <v>Afternoon</v>
      </c>
      <c r="L138">
        <v>0</v>
      </c>
      <c r="M138">
        <v>0</v>
      </c>
      <c r="N138">
        <v>0</v>
      </c>
      <c r="O138" s="4">
        <f t="shared" si="15"/>
        <v>0</v>
      </c>
      <c r="P138" s="5" t="str">
        <f t="shared" si="16"/>
        <v>No engagement</v>
      </c>
      <c r="Q138" t="b">
        <v>0</v>
      </c>
      <c r="R138" t="b">
        <v>0</v>
      </c>
      <c r="S138" t="b">
        <v>0</v>
      </c>
      <c r="T138" s="24" t="str">
        <f t="shared" si="17"/>
        <v>Text only</v>
      </c>
    </row>
    <row r="139" spans="1:20" hidden="1" x14ac:dyDescent="0.2">
      <c r="A139" t="s">
        <v>1980</v>
      </c>
      <c r="B139" t="s">
        <v>14</v>
      </c>
      <c r="C139" t="s">
        <v>15</v>
      </c>
      <c r="D139" t="s">
        <v>1981</v>
      </c>
      <c r="E139" t="s">
        <v>1982</v>
      </c>
      <c r="F1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39" s="27">
        <f t="shared" si="12"/>
        <v>40009</v>
      </c>
      <c r="H139" s="7" t="str">
        <f t="shared" si="13"/>
        <v>17:54:31</v>
      </c>
      <c r="I139" s="8" t="str">
        <f t="shared" si="14"/>
        <v>Afternoon</v>
      </c>
      <c r="L139">
        <v>0</v>
      </c>
      <c r="M139">
        <v>0</v>
      </c>
      <c r="N139">
        <v>0</v>
      </c>
      <c r="O139" s="4">
        <f t="shared" si="15"/>
        <v>0</v>
      </c>
      <c r="P139" s="5" t="str">
        <f t="shared" si="16"/>
        <v>No engagement</v>
      </c>
      <c r="Q139" t="b">
        <v>0</v>
      </c>
      <c r="R139" t="b">
        <v>0</v>
      </c>
      <c r="S139" t="b">
        <v>1</v>
      </c>
      <c r="T139" s="24" t="str">
        <f t="shared" si="17"/>
        <v>Link</v>
      </c>
    </row>
    <row r="140" spans="1:20" hidden="1" x14ac:dyDescent="0.2">
      <c r="A140" t="s">
        <v>1977</v>
      </c>
      <c r="B140" t="s">
        <v>14</v>
      </c>
      <c r="C140" t="s">
        <v>15</v>
      </c>
      <c r="D140" t="s">
        <v>1978</v>
      </c>
      <c r="E140" t="s">
        <v>1979</v>
      </c>
      <c r="F1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0" s="27">
        <f t="shared" si="12"/>
        <v>40010</v>
      </c>
      <c r="H140" s="7" t="str">
        <f t="shared" si="13"/>
        <v>14:29:56</v>
      </c>
      <c r="I140" s="8" t="str">
        <f t="shared" si="14"/>
        <v>Afternoon</v>
      </c>
      <c r="J140" t="s">
        <v>61</v>
      </c>
      <c r="K140" t="s">
        <v>2355</v>
      </c>
      <c r="L140">
        <v>0</v>
      </c>
      <c r="M140">
        <v>0</v>
      </c>
      <c r="N140">
        <v>0</v>
      </c>
      <c r="O140" s="4">
        <f t="shared" si="15"/>
        <v>0</v>
      </c>
      <c r="P140" s="5" t="str">
        <f t="shared" si="16"/>
        <v>No engagement</v>
      </c>
      <c r="Q140" t="b">
        <v>0</v>
      </c>
      <c r="R140" t="b">
        <v>0</v>
      </c>
      <c r="S140" t="b">
        <v>1</v>
      </c>
      <c r="T140" s="24" t="str">
        <f t="shared" si="17"/>
        <v>Link</v>
      </c>
    </row>
    <row r="141" spans="1:20" hidden="1" x14ac:dyDescent="0.2">
      <c r="A141" t="s">
        <v>1974</v>
      </c>
      <c r="B141" t="s">
        <v>14</v>
      </c>
      <c r="C141" t="s">
        <v>15</v>
      </c>
      <c r="D141" t="s">
        <v>1975</v>
      </c>
      <c r="E141" t="s">
        <v>1976</v>
      </c>
      <c r="F1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1" s="27">
        <f t="shared" si="12"/>
        <v>40010</v>
      </c>
      <c r="H141" s="7" t="str">
        <f t="shared" si="13"/>
        <v>14:48:41</v>
      </c>
      <c r="I141" s="8" t="str">
        <f t="shared" si="14"/>
        <v>Afternoon</v>
      </c>
      <c r="L141">
        <v>0</v>
      </c>
      <c r="M141">
        <v>0</v>
      </c>
      <c r="N141">
        <v>0</v>
      </c>
      <c r="O141" s="4">
        <f t="shared" si="15"/>
        <v>0</v>
      </c>
      <c r="P141" s="5" t="str">
        <f t="shared" si="16"/>
        <v>No engagement</v>
      </c>
      <c r="Q141" t="b">
        <v>0</v>
      </c>
      <c r="R141" t="b">
        <v>0</v>
      </c>
      <c r="S141" t="b">
        <v>1</v>
      </c>
      <c r="T141" s="24" t="str">
        <f t="shared" si="17"/>
        <v>Link</v>
      </c>
    </row>
    <row r="142" spans="1:20" hidden="1" x14ac:dyDescent="0.2">
      <c r="A142" t="s">
        <v>1971</v>
      </c>
      <c r="B142" t="s">
        <v>14</v>
      </c>
      <c r="C142" t="s">
        <v>15</v>
      </c>
      <c r="D142" t="s">
        <v>1972</v>
      </c>
      <c r="E142" t="s">
        <v>1973</v>
      </c>
      <c r="F1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2" s="27">
        <f t="shared" si="12"/>
        <v>40010</v>
      </c>
      <c r="H142" s="7" t="str">
        <f t="shared" si="13"/>
        <v>16:34:56</v>
      </c>
      <c r="I142" s="8" t="str">
        <f t="shared" si="14"/>
        <v>Afternoon</v>
      </c>
      <c r="K142" t="s">
        <v>2354</v>
      </c>
      <c r="L142">
        <v>0</v>
      </c>
      <c r="M142">
        <v>0</v>
      </c>
      <c r="N142">
        <v>0</v>
      </c>
      <c r="O142" s="4">
        <f t="shared" si="15"/>
        <v>0</v>
      </c>
      <c r="P142" s="5" t="str">
        <f t="shared" si="16"/>
        <v>No engagement</v>
      </c>
      <c r="Q142" t="b">
        <v>0</v>
      </c>
      <c r="R142" t="b">
        <v>0</v>
      </c>
      <c r="S142" t="b">
        <v>1</v>
      </c>
      <c r="T142" s="24" t="str">
        <f t="shared" si="17"/>
        <v>Link</v>
      </c>
    </row>
    <row r="143" spans="1:20" hidden="1" x14ac:dyDescent="0.2">
      <c r="A143" t="s">
        <v>1968</v>
      </c>
      <c r="B143" t="s">
        <v>14</v>
      </c>
      <c r="C143" t="s">
        <v>15</v>
      </c>
      <c r="D143" t="s">
        <v>1969</v>
      </c>
      <c r="E143" t="s">
        <v>1970</v>
      </c>
      <c r="F1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3" s="27">
        <f t="shared" si="12"/>
        <v>40011</v>
      </c>
      <c r="H143" s="7" t="str">
        <f t="shared" si="13"/>
        <v>20:00:40</v>
      </c>
      <c r="I143" s="8" t="str">
        <f t="shared" si="14"/>
        <v>Evening</v>
      </c>
      <c r="L143">
        <v>0</v>
      </c>
      <c r="M143">
        <v>0</v>
      </c>
      <c r="N143">
        <v>0</v>
      </c>
      <c r="O143" s="4">
        <f t="shared" si="15"/>
        <v>0</v>
      </c>
      <c r="P143" s="5" t="str">
        <f t="shared" si="16"/>
        <v>No engagement</v>
      </c>
      <c r="Q143" t="b">
        <v>0</v>
      </c>
      <c r="R143" t="b">
        <v>0</v>
      </c>
      <c r="S143" t="b">
        <v>1</v>
      </c>
      <c r="T143" s="24" t="str">
        <f t="shared" si="17"/>
        <v>Link</v>
      </c>
    </row>
    <row r="144" spans="1:20" hidden="1" x14ac:dyDescent="0.2">
      <c r="A144" t="s">
        <v>1962</v>
      </c>
      <c r="B144" t="s">
        <v>14</v>
      </c>
      <c r="C144" t="s">
        <v>15</v>
      </c>
      <c r="D144" t="s">
        <v>1963</v>
      </c>
      <c r="E144" t="s">
        <v>1964</v>
      </c>
      <c r="F1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4" s="27">
        <f t="shared" si="12"/>
        <v>40014</v>
      </c>
      <c r="H144" s="7" t="str">
        <f t="shared" si="13"/>
        <v>17:16:58</v>
      </c>
      <c r="I144" s="8" t="str">
        <f t="shared" si="14"/>
        <v>Afternoon</v>
      </c>
      <c r="L144">
        <v>0</v>
      </c>
      <c r="M144">
        <v>0</v>
      </c>
      <c r="N144">
        <v>0</v>
      </c>
      <c r="O144" s="4">
        <f t="shared" si="15"/>
        <v>0</v>
      </c>
      <c r="P144" s="5" t="str">
        <f t="shared" si="16"/>
        <v>No engagement</v>
      </c>
      <c r="Q144" t="b">
        <v>0</v>
      </c>
      <c r="R144" t="b">
        <v>0</v>
      </c>
      <c r="S144" t="b">
        <v>1</v>
      </c>
      <c r="T144" s="24" t="str">
        <f t="shared" si="17"/>
        <v>Link</v>
      </c>
    </row>
    <row r="145" spans="1:20" hidden="1" x14ac:dyDescent="0.2">
      <c r="A145" t="s">
        <v>1959</v>
      </c>
      <c r="B145" t="s">
        <v>14</v>
      </c>
      <c r="C145" t="s">
        <v>15</v>
      </c>
      <c r="D145" t="s">
        <v>1960</v>
      </c>
      <c r="E145" t="s">
        <v>1961</v>
      </c>
      <c r="F1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5" s="27">
        <f t="shared" si="12"/>
        <v>40014</v>
      </c>
      <c r="H145" s="7" t="str">
        <f t="shared" si="13"/>
        <v>22:41:17</v>
      </c>
      <c r="I145" s="8" t="str">
        <f t="shared" si="14"/>
        <v>Evening</v>
      </c>
      <c r="L145">
        <v>0</v>
      </c>
      <c r="M145">
        <v>0</v>
      </c>
      <c r="N145">
        <v>0</v>
      </c>
      <c r="O145" s="4">
        <f t="shared" si="15"/>
        <v>0</v>
      </c>
      <c r="P145" s="5" t="str">
        <f t="shared" si="16"/>
        <v>No engagement</v>
      </c>
      <c r="Q145" t="b">
        <v>0</v>
      </c>
      <c r="R145" t="b">
        <v>0</v>
      </c>
      <c r="S145" t="b">
        <v>1</v>
      </c>
      <c r="T145" s="24" t="str">
        <f t="shared" si="17"/>
        <v>Link</v>
      </c>
    </row>
    <row r="146" spans="1:20" hidden="1" x14ac:dyDescent="0.2">
      <c r="A146" t="s">
        <v>1956</v>
      </c>
      <c r="B146" t="s">
        <v>14</v>
      </c>
      <c r="C146" t="s">
        <v>15</v>
      </c>
      <c r="D146" t="s">
        <v>1957</v>
      </c>
      <c r="E146" t="s">
        <v>1958</v>
      </c>
      <c r="F1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6" s="27">
        <f t="shared" si="12"/>
        <v>40015</v>
      </c>
      <c r="H146" s="7" t="str">
        <f t="shared" si="13"/>
        <v>15:10:26</v>
      </c>
      <c r="I146" s="8" t="str">
        <f t="shared" si="14"/>
        <v>Afternoon</v>
      </c>
      <c r="L146">
        <v>0</v>
      </c>
      <c r="M146">
        <v>0</v>
      </c>
      <c r="N146">
        <v>0</v>
      </c>
      <c r="O146" s="4">
        <f t="shared" si="15"/>
        <v>0</v>
      </c>
      <c r="P146" s="5" t="str">
        <f t="shared" si="16"/>
        <v>No engagement</v>
      </c>
      <c r="Q146" t="b">
        <v>0</v>
      </c>
      <c r="R146" t="b">
        <v>0</v>
      </c>
      <c r="S146" t="b">
        <v>1</v>
      </c>
      <c r="T146" s="24" t="str">
        <f t="shared" si="17"/>
        <v>Link</v>
      </c>
    </row>
    <row r="147" spans="1:20" hidden="1" x14ac:dyDescent="0.2">
      <c r="A147" t="s">
        <v>1950</v>
      </c>
      <c r="B147" t="s">
        <v>14</v>
      </c>
      <c r="C147" t="s">
        <v>15</v>
      </c>
      <c r="D147" t="s">
        <v>1951</v>
      </c>
      <c r="E147" t="s">
        <v>1952</v>
      </c>
      <c r="F1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7" s="27">
        <f t="shared" si="12"/>
        <v>40018</v>
      </c>
      <c r="H147" s="7" t="str">
        <f t="shared" si="13"/>
        <v>20:42:53</v>
      </c>
      <c r="I147" s="8" t="str">
        <f t="shared" si="14"/>
        <v>Evening</v>
      </c>
      <c r="L147">
        <v>0</v>
      </c>
      <c r="M147">
        <v>0</v>
      </c>
      <c r="N147">
        <v>0</v>
      </c>
      <c r="O147" s="4">
        <f t="shared" si="15"/>
        <v>0</v>
      </c>
      <c r="P147" s="5" t="str">
        <f t="shared" si="16"/>
        <v>No engagement</v>
      </c>
      <c r="Q147" t="b">
        <v>0</v>
      </c>
      <c r="R147" t="b">
        <v>0</v>
      </c>
      <c r="S147" t="b">
        <v>1</v>
      </c>
      <c r="T147" s="24" t="str">
        <f t="shared" si="17"/>
        <v>Link</v>
      </c>
    </row>
    <row r="148" spans="1:20" hidden="1" x14ac:dyDescent="0.2">
      <c r="A148" t="s">
        <v>1947</v>
      </c>
      <c r="B148" t="s">
        <v>14</v>
      </c>
      <c r="C148" t="s">
        <v>15</v>
      </c>
      <c r="D148" t="s">
        <v>1948</v>
      </c>
      <c r="E148" t="s">
        <v>1949</v>
      </c>
      <c r="F1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8" s="27">
        <f t="shared" si="12"/>
        <v>40022</v>
      </c>
      <c r="H148" s="7" t="str">
        <f t="shared" si="13"/>
        <v>21:34:36</v>
      </c>
      <c r="I148" s="8" t="str">
        <f t="shared" si="14"/>
        <v>Evening</v>
      </c>
      <c r="L148">
        <v>0</v>
      </c>
      <c r="M148">
        <v>0</v>
      </c>
      <c r="N148">
        <v>0</v>
      </c>
      <c r="O148" s="4">
        <f t="shared" si="15"/>
        <v>0</v>
      </c>
      <c r="P148" s="5" t="str">
        <f t="shared" si="16"/>
        <v>No engagement</v>
      </c>
      <c r="Q148" t="b">
        <v>0</v>
      </c>
      <c r="R148" t="b">
        <v>0</v>
      </c>
      <c r="S148" t="b">
        <v>1</v>
      </c>
      <c r="T148" s="24" t="str">
        <f t="shared" si="17"/>
        <v>Link</v>
      </c>
    </row>
    <row r="149" spans="1:20" hidden="1" x14ac:dyDescent="0.2">
      <c r="A149" t="s">
        <v>1944</v>
      </c>
      <c r="B149" t="s">
        <v>14</v>
      </c>
      <c r="C149" t="s">
        <v>15</v>
      </c>
      <c r="D149" t="s">
        <v>1945</v>
      </c>
      <c r="E149" t="s">
        <v>1946</v>
      </c>
      <c r="F1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49" s="27">
        <f t="shared" si="12"/>
        <v>40023</v>
      </c>
      <c r="H149" s="7" t="str">
        <f t="shared" si="13"/>
        <v>16:19:44</v>
      </c>
      <c r="I149" s="8" t="str">
        <f t="shared" si="14"/>
        <v>Afternoon</v>
      </c>
      <c r="L149">
        <v>0</v>
      </c>
      <c r="M149">
        <v>0</v>
      </c>
      <c r="N149">
        <v>0</v>
      </c>
      <c r="O149" s="4">
        <f t="shared" si="15"/>
        <v>0</v>
      </c>
      <c r="P149" s="5" t="str">
        <f t="shared" si="16"/>
        <v>No engagement</v>
      </c>
      <c r="Q149" t="b">
        <v>0</v>
      </c>
      <c r="R149" t="b">
        <v>0</v>
      </c>
      <c r="S149" t="b">
        <v>1</v>
      </c>
      <c r="T149" s="24" t="str">
        <f t="shared" si="17"/>
        <v>Link</v>
      </c>
    </row>
    <row r="150" spans="1:20" hidden="1" x14ac:dyDescent="0.2">
      <c r="A150" t="s">
        <v>1941</v>
      </c>
      <c r="B150" t="s">
        <v>14</v>
      </c>
      <c r="C150" t="s">
        <v>15</v>
      </c>
      <c r="D150" t="s">
        <v>1942</v>
      </c>
      <c r="E150" t="s">
        <v>1943</v>
      </c>
      <c r="F1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0" s="27">
        <f t="shared" si="12"/>
        <v>40023</v>
      </c>
      <c r="H150" s="7" t="str">
        <f t="shared" si="13"/>
        <v>16:23:26</v>
      </c>
      <c r="I150" s="8" t="str">
        <f t="shared" si="14"/>
        <v>Afternoon</v>
      </c>
      <c r="L150">
        <v>0</v>
      </c>
      <c r="M150">
        <v>0</v>
      </c>
      <c r="N150">
        <v>0</v>
      </c>
      <c r="O150" s="4">
        <f t="shared" si="15"/>
        <v>0</v>
      </c>
      <c r="P150" s="5" t="str">
        <f t="shared" si="16"/>
        <v>No engagement</v>
      </c>
      <c r="Q150" t="b">
        <v>0</v>
      </c>
      <c r="R150" t="b">
        <v>0</v>
      </c>
      <c r="S150" t="b">
        <v>0</v>
      </c>
      <c r="T150" s="24" t="str">
        <f t="shared" si="17"/>
        <v>Text only</v>
      </c>
    </row>
    <row r="151" spans="1:20" hidden="1" x14ac:dyDescent="0.2">
      <c r="A151" t="s">
        <v>1937</v>
      </c>
      <c r="B151" t="s">
        <v>14</v>
      </c>
      <c r="C151" t="s">
        <v>15</v>
      </c>
      <c r="D151" t="s">
        <v>1938</v>
      </c>
      <c r="E151" t="s">
        <v>1939</v>
      </c>
      <c r="F1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1" s="27">
        <f t="shared" si="12"/>
        <v>40023</v>
      </c>
      <c r="H151" s="7" t="str">
        <f t="shared" si="13"/>
        <v>16:24:14</v>
      </c>
      <c r="I151" s="8" t="str">
        <f t="shared" si="14"/>
        <v>Afternoon</v>
      </c>
      <c r="J151" t="s">
        <v>1940</v>
      </c>
      <c r="L151">
        <v>0</v>
      </c>
      <c r="M151">
        <v>0</v>
      </c>
      <c r="N151">
        <v>0</v>
      </c>
      <c r="O151" s="4">
        <f t="shared" si="15"/>
        <v>0</v>
      </c>
      <c r="P151" s="5" t="str">
        <f t="shared" si="16"/>
        <v>No engagement</v>
      </c>
      <c r="Q151" t="b">
        <v>0</v>
      </c>
      <c r="R151" t="b">
        <v>0</v>
      </c>
      <c r="S151" t="b">
        <v>0</v>
      </c>
      <c r="T151" s="24" t="str">
        <f t="shared" si="17"/>
        <v>Text only</v>
      </c>
    </row>
    <row r="152" spans="1:20" hidden="1" x14ac:dyDescent="0.2">
      <c r="A152" t="s">
        <v>1934</v>
      </c>
      <c r="B152" t="s">
        <v>14</v>
      </c>
      <c r="C152" t="s">
        <v>15</v>
      </c>
      <c r="D152" t="s">
        <v>1935</v>
      </c>
      <c r="E152" t="s">
        <v>1936</v>
      </c>
      <c r="F1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2" s="27">
        <f t="shared" si="12"/>
        <v>40023</v>
      </c>
      <c r="H152" s="7" t="str">
        <f t="shared" si="13"/>
        <v>20:09:11</v>
      </c>
      <c r="I152" s="8" t="str">
        <f t="shared" si="14"/>
        <v>Evening</v>
      </c>
      <c r="L152">
        <v>0</v>
      </c>
      <c r="M152">
        <v>0</v>
      </c>
      <c r="N152">
        <v>0</v>
      </c>
      <c r="O152" s="4">
        <f t="shared" si="15"/>
        <v>0</v>
      </c>
      <c r="P152" s="5" t="str">
        <f t="shared" si="16"/>
        <v>No engagement</v>
      </c>
      <c r="Q152" t="b">
        <v>0</v>
      </c>
      <c r="R152" t="b">
        <v>0</v>
      </c>
      <c r="S152" t="b">
        <v>1</v>
      </c>
      <c r="T152" s="24" t="str">
        <f t="shared" si="17"/>
        <v>Link</v>
      </c>
    </row>
    <row r="153" spans="1:20" hidden="1" x14ac:dyDescent="0.2">
      <c r="A153" t="s">
        <v>1931</v>
      </c>
      <c r="B153" t="s">
        <v>14</v>
      </c>
      <c r="C153" t="s">
        <v>15</v>
      </c>
      <c r="D153" t="s">
        <v>1932</v>
      </c>
      <c r="E153" t="s">
        <v>1933</v>
      </c>
      <c r="F1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3" s="27">
        <f t="shared" si="12"/>
        <v>40025</v>
      </c>
      <c r="H153" s="7" t="str">
        <f t="shared" si="13"/>
        <v>00:38:04</v>
      </c>
      <c r="I153" s="8" t="str">
        <f t="shared" si="14"/>
        <v>Early morning</v>
      </c>
      <c r="L153">
        <v>0</v>
      </c>
      <c r="M153">
        <v>0</v>
      </c>
      <c r="N153">
        <v>0</v>
      </c>
      <c r="O153" s="4">
        <f t="shared" si="15"/>
        <v>0</v>
      </c>
      <c r="P153" s="5" t="str">
        <f t="shared" si="16"/>
        <v>No engagement</v>
      </c>
      <c r="Q153" t="b">
        <v>0</v>
      </c>
      <c r="R153" t="b">
        <v>0</v>
      </c>
      <c r="S153" t="b">
        <v>1</v>
      </c>
      <c r="T153" s="24" t="str">
        <f t="shared" si="17"/>
        <v>Link</v>
      </c>
    </row>
    <row r="154" spans="1:20" hidden="1" x14ac:dyDescent="0.2">
      <c r="A154" t="s">
        <v>1928</v>
      </c>
      <c r="B154" t="s">
        <v>14</v>
      </c>
      <c r="C154" t="s">
        <v>15</v>
      </c>
      <c r="D154" t="s">
        <v>1929</v>
      </c>
      <c r="E154" t="s">
        <v>1930</v>
      </c>
      <c r="F1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4" s="27">
        <f t="shared" si="12"/>
        <v>40025</v>
      </c>
      <c r="H154" s="7" t="str">
        <f t="shared" si="13"/>
        <v>17:09:18</v>
      </c>
      <c r="I154" s="8" t="str">
        <f t="shared" si="14"/>
        <v>Afternoon</v>
      </c>
      <c r="L154">
        <v>0</v>
      </c>
      <c r="M154">
        <v>0</v>
      </c>
      <c r="N154">
        <v>0</v>
      </c>
      <c r="O154" s="4">
        <f t="shared" si="15"/>
        <v>0</v>
      </c>
      <c r="P154" s="5" t="str">
        <f t="shared" si="16"/>
        <v>No engagement</v>
      </c>
      <c r="Q154" t="b">
        <v>0</v>
      </c>
      <c r="R154" t="b">
        <v>0</v>
      </c>
      <c r="S154" t="b">
        <v>0</v>
      </c>
      <c r="T154" s="24" t="str">
        <f t="shared" si="17"/>
        <v>Text only</v>
      </c>
    </row>
    <row r="155" spans="1:20" hidden="1" x14ac:dyDescent="0.2">
      <c r="A155" t="s">
        <v>1925</v>
      </c>
      <c r="B155" t="s">
        <v>14</v>
      </c>
      <c r="C155" t="s">
        <v>15</v>
      </c>
      <c r="D155" t="s">
        <v>1926</v>
      </c>
      <c r="E155" t="s">
        <v>1927</v>
      </c>
      <c r="F1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5" s="27">
        <f t="shared" si="12"/>
        <v>40028</v>
      </c>
      <c r="H155" s="7" t="str">
        <f t="shared" si="13"/>
        <v>16:02:16</v>
      </c>
      <c r="I155" s="8" t="str">
        <f t="shared" si="14"/>
        <v>Afternoon</v>
      </c>
      <c r="L155">
        <v>0</v>
      </c>
      <c r="M155">
        <v>0</v>
      </c>
      <c r="N155">
        <v>0</v>
      </c>
      <c r="O155" s="4">
        <f t="shared" si="15"/>
        <v>0</v>
      </c>
      <c r="P155" s="5" t="str">
        <f t="shared" si="16"/>
        <v>No engagement</v>
      </c>
      <c r="Q155" t="b">
        <v>0</v>
      </c>
      <c r="R155" t="b">
        <v>0</v>
      </c>
      <c r="S155" t="b">
        <v>1</v>
      </c>
      <c r="T155" s="24" t="str">
        <f t="shared" si="17"/>
        <v>Link</v>
      </c>
    </row>
    <row r="156" spans="1:20" hidden="1" x14ac:dyDescent="0.2">
      <c r="A156" t="s">
        <v>1919</v>
      </c>
      <c r="B156" t="s">
        <v>14</v>
      </c>
      <c r="C156" t="s">
        <v>15</v>
      </c>
      <c r="D156" t="s">
        <v>1920</v>
      </c>
      <c r="E156" t="s">
        <v>1921</v>
      </c>
      <c r="F1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6" s="27">
        <f t="shared" si="12"/>
        <v>40028</v>
      </c>
      <c r="H156" s="7" t="str">
        <f t="shared" si="13"/>
        <v>19:17:22</v>
      </c>
      <c r="I156" s="8" t="str">
        <f t="shared" si="14"/>
        <v>Evening</v>
      </c>
      <c r="L156">
        <v>0</v>
      </c>
      <c r="M156">
        <v>0</v>
      </c>
      <c r="N156">
        <v>0</v>
      </c>
      <c r="O156" s="4">
        <f t="shared" si="15"/>
        <v>0</v>
      </c>
      <c r="P156" s="5" t="str">
        <f t="shared" si="16"/>
        <v>No engagement</v>
      </c>
      <c r="Q156" t="b">
        <v>0</v>
      </c>
      <c r="R156" t="b">
        <v>0</v>
      </c>
      <c r="S156" t="b">
        <v>1</v>
      </c>
      <c r="T156" s="24" t="str">
        <f t="shared" si="17"/>
        <v>Link</v>
      </c>
    </row>
    <row r="157" spans="1:20" hidden="1" x14ac:dyDescent="0.2">
      <c r="A157" t="s">
        <v>1913</v>
      </c>
      <c r="B157" t="s">
        <v>14</v>
      </c>
      <c r="C157" t="s">
        <v>15</v>
      </c>
      <c r="D157" t="s">
        <v>1914</v>
      </c>
      <c r="E157" t="s">
        <v>1915</v>
      </c>
      <c r="F1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7" s="27">
        <f t="shared" si="12"/>
        <v>40028</v>
      </c>
      <c r="H157" s="7" t="str">
        <f t="shared" si="13"/>
        <v>22:59:32</v>
      </c>
      <c r="I157" s="8" t="str">
        <f t="shared" si="14"/>
        <v>Evening</v>
      </c>
      <c r="L157">
        <v>0</v>
      </c>
      <c r="M157">
        <v>0</v>
      </c>
      <c r="N157">
        <v>0</v>
      </c>
      <c r="O157" s="4">
        <f t="shared" si="15"/>
        <v>0</v>
      </c>
      <c r="P157" s="5" t="str">
        <f t="shared" si="16"/>
        <v>No engagement</v>
      </c>
      <c r="Q157" t="b">
        <v>0</v>
      </c>
      <c r="R157" t="b">
        <v>0</v>
      </c>
      <c r="S157" t="b">
        <v>1</v>
      </c>
      <c r="T157" s="24" t="str">
        <f t="shared" si="17"/>
        <v>Link</v>
      </c>
    </row>
    <row r="158" spans="1:20" hidden="1" x14ac:dyDescent="0.2">
      <c r="A158" t="s">
        <v>1910</v>
      </c>
      <c r="B158" t="s">
        <v>14</v>
      </c>
      <c r="C158" t="s">
        <v>15</v>
      </c>
      <c r="D158" t="s">
        <v>1911</v>
      </c>
      <c r="E158" t="s">
        <v>1912</v>
      </c>
      <c r="F1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8" s="27">
        <f t="shared" si="12"/>
        <v>40028</v>
      </c>
      <c r="H158" s="7" t="str">
        <f t="shared" si="13"/>
        <v>23:21:09</v>
      </c>
      <c r="I158" s="8" t="str">
        <f t="shared" si="14"/>
        <v>Evening</v>
      </c>
      <c r="L158">
        <v>0</v>
      </c>
      <c r="M158">
        <v>0</v>
      </c>
      <c r="N158">
        <v>0</v>
      </c>
      <c r="O158" s="4">
        <f t="shared" si="15"/>
        <v>0</v>
      </c>
      <c r="P158" s="5" t="str">
        <f t="shared" si="16"/>
        <v>No engagement</v>
      </c>
      <c r="Q158" t="b">
        <v>0</v>
      </c>
      <c r="R158" t="b">
        <v>0</v>
      </c>
      <c r="S158" t="b">
        <v>0</v>
      </c>
      <c r="T158" s="24" t="str">
        <f t="shared" si="17"/>
        <v>Text only</v>
      </c>
    </row>
    <row r="159" spans="1:20" hidden="1" x14ac:dyDescent="0.2">
      <c r="A159" t="s">
        <v>1907</v>
      </c>
      <c r="B159" t="s">
        <v>14</v>
      </c>
      <c r="C159" t="s">
        <v>15</v>
      </c>
      <c r="D159" t="s">
        <v>1908</v>
      </c>
      <c r="E159" t="s">
        <v>1909</v>
      </c>
      <c r="F1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59" s="27">
        <f t="shared" si="12"/>
        <v>40029</v>
      </c>
      <c r="H159" s="7" t="str">
        <f t="shared" si="13"/>
        <v>16:29:09</v>
      </c>
      <c r="I159" s="8" t="str">
        <f t="shared" si="14"/>
        <v>Afternoon</v>
      </c>
      <c r="L159">
        <v>0</v>
      </c>
      <c r="M159">
        <v>0</v>
      </c>
      <c r="N159">
        <v>0</v>
      </c>
      <c r="O159" s="4">
        <f t="shared" si="15"/>
        <v>0</v>
      </c>
      <c r="P159" s="5" t="str">
        <f t="shared" si="16"/>
        <v>No engagement</v>
      </c>
      <c r="Q159" t="b">
        <v>0</v>
      </c>
      <c r="R159" t="b">
        <v>0</v>
      </c>
      <c r="S159" t="b">
        <v>0</v>
      </c>
      <c r="T159" s="24" t="str">
        <f t="shared" si="17"/>
        <v>Text only</v>
      </c>
    </row>
    <row r="160" spans="1:20" hidden="1" x14ac:dyDescent="0.2">
      <c r="A160" t="s">
        <v>1901</v>
      </c>
      <c r="B160" t="s">
        <v>14</v>
      </c>
      <c r="C160" t="s">
        <v>15</v>
      </c>
      <c r="D160" t="s">
        <v>1902</v>
      </c>
      <c r="E160" t="s">
        <v>1903</v>
      </c>
      <c r="F1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0" s="27">
        <f t="shared" si="12"/>
        <v>40030</v>
      </c>
      <c r="H160" s="7" t="str">
        <f t="shared" si="13"/>
        <v>14:47:02</v>
      </c>
      <c r="I160" s="8" t="str">
        <f t="shared" si="14"/>
        <v>Afternoon</v>
      </c>
      <c r="L160">
        <v>0</v>
      </c>
      <c r="M160">
        <v>0</v>
      </c>
      <c r="N160">
        <v>0</v>
      </c>
      <c r="O160" s="4">
        <f t="shared" si="15"/>
        <v>0</v>
      </c>
      <c r="P160" s="5" t="str">
        <f t="shared" si="16"/>
        <v>No engagement</v>
      </c>
      <c r="Q160" t="b">
        <v>0</v>
      </c>
      <c r="R160" t="b">
        <v>0</v>
      </c>
      <c r="S160" t="b">
        <v>1</v>
      </c>
      <c r="T160" s="24" t="str">
        <f t="shared" si="17"/>
        <v>Link</v>
      </c>
    </row>
    <row r="161" spans="1:20" hidden="1" x14ac:dyDescent="0.2">
      <c r="A161" t="s">
        <v>1897</v>
      </c>
      <c r="B161" t="s">
        <v>14</v>
      </c>
      <c r="C161" t="s">
        <v>15</v>
      </c>
      <c r="D161" t="s">
        <v>1898</v>
      </c>
      <c r="E161" t="s">
        <v>1899</v>
      </c>
      <c r="F1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1" s="27">
        <f t="shared" si="12"/>
        <v>40030</v>
      </c>
      <c r="H161" s="7" t="str">
        <f t="shared" si="13"/>
        <v>22:32:27</v>
      </c>
      <c r="I161" s="8" t="str">
        <f t="shared" si="14"/>
        <v>Evening</v>
      </c>
      <c r="J161" t="s">
        <v>1900</v>
      </c>
      <c r="L161">
        <v>0</v>
      </c>
      <c r="M161">
        <v>0</v>
      </c>
      <c r="N161">
        <v>0</v>
      </c>
      <c r="O161" s="4">
        <f t="shared" si="15"/>
        <v>0</v>
      </c>
      <c r="P161" s="5" t="str">
        <f t="shared" si="16"/>
        <v>No engagement</v>
      </c>
      <c r="Q161" t="b">
        <v>0</v>
      </c>
      <c r="R161" t="b">
        <v>0</v>
      </c>
      <c r="S161" t="b">
        <v>1</v>
      </c>
      <c r="T161" s="24" t="str">
        <f t="shared" si="17"/>
        <v>Link</v>
      </c>
    </row>
    <row r="162" spans="1:20" hidden="1" x14ac:dyDescent="0.2">
      <c r="A162" t="s">
        <v>1894</v>
      </c>
      <c r="B162" t="s">
        <v>14</v>
      </c>
      <c r="C162" t="s">
        <v>15</v>
      </c>
      <c r="D162" t="s">
        <v>1895</v>
      </c>
      <c r="E162" t="s">
        <v>1896</v>
      </c>
      <c r="F1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2" s="27">
        <f t="shared" si="12"/>
        <v>40031</v>
      </c>
      <c r="H162" s="7" t="str">
        <f t="shared" si="13"/>
        <v>15:12:25</v>
      </c>
      <c r="I162" s="8" t="str">
        <f t="shared" si="14"/>
        <v>Afternoon</v>
      </c>
      <c r="L162">
        <v>0</v>
      </c>
      <c r="M162">
        <v>0</v>
      </c>
      <c r="N162">
        <v>0</v>
      </c>
      <c r="O162" s="4">
        <f t="shared" si="15"/>
        <v>0</v>
      </c>
      <c r="P162" s="5" t="str">
        <f t="shared" si="16"/>
        <v>No engagement</v>
      </c>
      <c r="Q162" t="b">
        <v>0</v>
      </c>
      <c r="R162" t="b">
        <v>0</v>
      </c>
      <c r="S162" t="b">
        <v>1</v>
      </c>
      <c r="T162" s="24" t="str">
        <f t="shared" si="17"/>
        <v>Link</v>
      </c>
    </row>
    <row r="163" spans="1:20" hidden="1" x14ac:dyDescent="0.2">
      <c r="A163" t="s">
        <v>1888</v>
      </c>
      <c r="B163" t="s">
        <v>14</v>
      </c>
      <c r="C163" t="s">
        <v>15</v>
      </c>
      <c r="D163" t="s">
        <v>1889</v>
      </c>
      <c r="E163" t="s">
        <v>1890</v>
      </c>
      <c r="F1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3" s="27">
        <f t="shared" si="12"/>
        <v>40031</v>
      </c>
      <c r="H163" s="7" t="str">
        <f t="shared" si="13"/>
        <v>18:53:22</v>
      </c>
      <c r="I163" s="8" t="str">
        <f t="shared" si="14"/>
        <v>Evening</v>
      </c>
      <c r="L163">
        <v>0</v>
      </c>
      <c r="M163">
        <v>0</v>
      </c>
      <c r="N163">
        <v>0</v>
      </c>
      <c r="O163" s="4">
        <f t="shared" si="15"/>
        <v>0</v>
      </c>
      <c r="P163" s="5" t="str">
        <f t="shared" si="16"/>
        <v>No engagement</v>
      </c>
      <c r="Q163" t="b">
        <v>0</v>
      </c>
      <c r="R163" t="b">
        <v>0</v>
      </c>
      <c r="S163" t="b">
        <v>0</v>
      </c>
      <c r="T163" s="24" t="str">
        <f t="shared" si="17"/>
        <v>Text only</v>
      </c>
    </row>
    <row r="164" spans="1:20" hidden="1" x14ac:dyDescent="0.2">
      <c r="A164" t="s">
        <v>1886</v>
      </c>
      <c r="B164" t="s">
        <v>14</v>
      </c>
      <c r="C164" t="s">
        <v>15</v>
      </c>
      <c r="D164" t="s">
        <v>2348</v>
      </c>
      <c r="E164" t="s">
        <v>1887</v>
      </c>
      <c r="F1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4" s="27">
        <f t="shared" si="12"/>
        <v>40032</v>
      </c>
      <c r="H164" s="7" t="str">
        <f t="shared" si="13"/>
        <v>16:18:06</v>
      </c>
      <c r="I164" s="8" t="str">
        <f t="shared" si="14"/>
        <v>Afternoon</v>
      </c>
      <c r="L164">
        <v>0</v>
      </c>
      <c r="M164">
        <v>0</v>
      </c>
      <c r="N164">
        <v>0</v>
      </c>
      <c r="O164" s="4">
        <f t="shared" si="15"/>
        <v>0</v>
      </c>
      <c r="P164" s="5" t="str">
        <f t="shared" si="16"/>
        <v>No engagement</v>
      </c>
      <c r="Q164" t="b">
        <v>0</v>
      </c>
      <c r="R164" t="b">
        <v>0</v>
      </c>
      <c r="S164" t="b">
        <v>1</v>
      </c>
      <c r="T164" s="24" t="str">
        <f t="shared" si="17"/>
        <v>Link</v>
      </c>
    </row>
    <row r="165" spans="1:20" hidden="1" x14ac:dyDescent="0.2">
      <c r="A165" t="s">
        <v>1880</v>
      </c>
      <c r="B165" t="s">
        <v>14</v>
      </c>
      <c r="C165" t="s">
        <v>15</v>
      </c>
      <c r="D165" t="s">
        <v>1881</v>
      </c>
      <c r="E165" t="s">
        <v>1882</v>
      </c>
      <c r="F1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5" s="27">
        <f t="shared" si="12"/>
        <v>40037</v>
      </c>
      <c r="H165" s="7" t="str">
        <f t="shared" si="13"/>
        <v>14:56:26</v>
      </c>
      <c r="I165" s="8" t="str">
        <f t="shared" si="14"/>
        <v>Afternoon</v>
      </c>
      <c r="J165" t="s">
        <v>928</v>
      </c>
      <c r="L165">
        <v>0</v>
      </c>
      <c r="M165">
        <v>0</v>
      </c>
      <c r="N165">
        <v>0</v>
      </c>
      <c r="O165" s="4">
        <f t="shared" si="15"/>
        <v>0</v>
      </c>
      <c r="P165" s="5" t="str">
        <f t="shared" si="16"/>
        <v>No engagement</v>
      </c>
      <c r="Q165" t="b">
        <v>0</v>
      </c>
      <c r="R165" t="b">
        <v>0</v>
      </c>
      <c r="S165" t="b">
        <v>0</v>
      </c>
      <c r="T165" s="24" t="str">
        <f t="shared" si="17"/>
        <v>Text only</v>
      </c>
    </row>
    <row r="166" spans="1:20" hidden="1" x14ac:dyDescent="0.2">
      <c r="A166" t="s">
        <v>1877</v>
      </c>
      <c r="B166" t="s">
        <v>14</v>
      </c>
      <c r="C166" t="s">
        <v>15</v>
      </c>
      <c r="D166" t="s">
        <v>1878</v>
      </c>
      <c r="E166" t="s">
        <v>1879</v>
      </c>
      <c r="F1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6" s="27">
        <f t="shared" si="12"/>
        <v>40037</v>
      </c>
      <c r="H166" s="7" t="str">
        <f t="shared" si="13"/>
        <v>16:23:36</v>
      </c>
      <c r="I166" s="8" t="str">
        <f t="shared" si="14"/>
        <v>Afternoon</v>
      </c>
      <c r="J166" t="s">
        <v>1870</v>
      </c>
      <c r="L166">
        <v>0</v>
      </c>
      <c r="M166">
        <v>0</v>
      </c>
      <c r="N166">
        <v>0</v>
      </c>
      <c r="O166" s="4">
        <f t="shared" si="15"/>
        <v>0</v>
      </c>
      <c r="P166" s="5" t="str">
        <f t="shared" si="16"/>
        <v>No engagement</v>
      </c>
      <c r="Q166" t="b">
        <v>0</v>
      </c>
      <c r="R166" t="b">
        <v>0</v>
      </c>
      <c r="S166" t="b">
        <v>0</v>
      </c>
      <c r="T166" s="24" t="str">
        <f t="shared" si="17"/>
        <v>Text only</v>
      </c>
    </row>
    <row r="167" spans="1:20" hidden="1" x14ac:dyDescent="0.2">
      <c r="A167" t="s">
        <v>1874</v>
      </c>
      <c r="B167" t="s">
        <v>14</v>
      </c>
      <c r="C167" t="s">
        <v>15</v>
      </c>
      <c r="D167" t="s">
        <v>1875</v>
      </c>
      <c r="E167" t="s">
        <v>1876</v>
      </c>
      <c r="F1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7" s="27">
        <f t="shared" si="12"/>
        <v>40037</v>
      </c>
      <c r="H167" s="7" t="str">
        <f t="shared" si="13"/>
        <v>17:00:17</v>
      </c>
      <c r="I167" s="8" t="str">
        <f t="shared" si="14"/>
        <v>Afternoon</v>
      </c>
      <c r="J167" t="s">
        <v>1870</v>
      </c>
      <c r="L167">
        <v>0</v>
      </c>
      <c r="M167">
        <v>0</v>
      </c>
      <c r="N167">
        <v>0</v>
      </c>
      <c r="O167" s="4">
        <f t="shared" si="15"/>
        <v>0</v>
      </c>
      <c r="P167" s="5" t="str">
        <f t="shared" si="16"/>
        <v>No engagement</v>
      </c>
      <c r="Q167" t="b">
        <v>0</v>
      </c>
      <c r="R167" t="b">
        <v>0</v>
      </c>
      <c r="S167" t="b">
        <v>1</v>
      </c>
      <c r="T167" s="24" t="str">
        <f t="shared" si="17"/>
        <v>Link</v>
      </c>
    </row>
    <row r="168" spans="1:20" hidden="1" x14ac:dyDescent="0.2">
      <c r="A168" t="s">
        <v>1867</v>
      </c>
      <c r="B168" t="s">
        <v>14</v>
      </c>
      <c r="C168" t="s">
        <v>15</v>
      </c>
      <c r="D168" t="s">
        <v>1868</v>
      </c>
      <c r="E168" t="s">
        <v>1869</v>
      </c>
      <c r="F1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8" s="27">
        <f t="shared" si="12"/>
        <v>40037</v>
      </c>
      <c r="H168" s="7" t="str">
        <f t="shared" si="13"/>
        <v>21:17:30</v>
      </c>
      <c r="I168" s="8" t="str">
        <f t="shared" si="14"/>
        <v>Evening</v>
      </c>
      <c r="L168">
        <v>0</v>
      </c>
      <c r="M168">
        <v>0</v>
      </c>
      <c r="N168">
        <v>0</v>
      </c>
      <c r="O168" s="4">
        <f t="shared" si="15"/>
        <v>0</v>
      </c>
      <c r="P168" s="5" t="str">
        <f t="shared" si="16"/>
        <v>No engagement</v>
      </c>
      <c r="Q168" t="b">
        <v>0</v>
      </c>
      <c r="R168" t="b">
        <v>0</v>
      </c>
      <c r="S168" t="b">
        <v>1</v>
      </c>
      <c r="T168" s="24" t="str">
        <f t="shared" si="17"/>
        <v>Link</v>
      </c>
    </row>
    <row r="169" spans="1:20" hidden="1" x14ac:dyDescent="0.2">
      <c r="A169" t="s">
        <v>1864</v>
      </c>
      <c r="B169" t="s">
        <v>14</v>
      </c>
      <c r="C169" t="s">
        <v>15</v>
      </c>
      <c r="D169" t="s">
        <v>1865</v>
      </c>
      <c r="E169" t="s">
        <v>1866</v>
      </c>
      <c r="F1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69" s="27">
        <f t="shared" si="12"/>
        <v>40037</v>
      </c>
      <c r="H169" s="7" t="str">
        <f t="shared" si="13"/>
        <v>21:24:55</v>
      </c>
      <c r="I169" s="8" t="str">
        <f t="shared" si="14"/>
        <v>Evening</v>
      </c>
      <c r="L169">
        <v>0</v>
      </c>
      <c r="M169">
        <v>0</v>
      </c>
      <c r="N169">
        <v>0</v>
      </c>
      <c r="O169" s="4">
        <f t="shared" si="15"/>
        <v>0</v>
      </c>
      <c r="P169" s="5" t="str">
        <f t="shared" si="16"/>
        <v>No engagement</v>
      </c>
      <c r="Q169" t="b">
        <v>0</v>
      </c>
      <c r="R169" t="b">
        <v>0</v>
      </c>
      <c r="S169" t="b">
        <v>1</v>
      </c>
      <c r="T169" s="24" t="str">
        <f t="shared" si="17"/>
        <v>Link</v>
      </c>
    </row>
    <row r="170" spans="1:20" hidden="1" x14ac:dyDescent="0.2">
      <c r="A170" t="s">
        <v>1861</v>
      </c>
      <c r="B170" t="s">
        <v>14</v>
      </c>
      <c r="C170" t="s">
        <v>15</v>
      </c>
      <c r="D170" t="s">
        <v>1862</v>
      </c>
      <c r="E170" t="s">
        <v>1863</v>
      </c>
      <c r="F1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0" s="27">
        <f t="shared" si="12"/>
        <v>40038</v>
      </c>
      <c r="H170" s="7" t="str">
        <f t="shared" si="13"/>
        <v>15:16:11</v>
      </c>
      <c r="I170" s="8" t="str">
        <f t="shared" si="14"/>
        <v>Afternoon</v>
      </c>
      <c r="L170">
        <v>0</v>
      </c>
      <c r="M170">
        <v>0</v>
      </c>
      <c r="N170">
        <v>0</v>
      </c>
      <c r="O170" s="4">
        <f t="shared" si="15"/>
        <v>0</v>
      </c>
      <c r="P170" s="5" t="str">
        <f t="shared" si="16"/>
        <v>No engagement</v>
      </c>
      <c r="Q170" t="b">
        <v>0</v>
      </c>
      <c r="R170" t="b">
        <v>0</v>
      </c>
      <c r="S170" t="b">
        <v>1</v>
      </c>
      <c r="T170" s="24" t="str">
        <f t="shared" si="17"/>
        <v>Link</v>
      </c>
    </row>
    <row r="171" spans="1:20" hidden="1" x14ac:dyDescent="0.2">
      <c r="A171" t="s">
        <v>1858</v>
      </c>
      <c r="B171" t="s">
        <v>14</v>
      </c>
      <c r="C171" t="s">
        <v>15</v>
      </c>
      <c r="D171" t="s">
        <v>1859</v>
      </c>
      <c r="E171" t="s">
        <v>1860</v>
      </c>
      <c r="F1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1" s="27">
        <f t="shared" si="12"/>
        <v>40039</v>
      </c>
      <c r="H171" s="7" t="str">
        <f t="shared" si="13"/>
        <v>21:24:07</v>
      </c>
      <c r="I171" s="8" t="str">
        <f t="shared" si="14"/>
        <v>Evening</v>
      </c>
      <c r="L171">
        <v>0</v>
      </c>
      <c r="M171">
        <v>0</v>
      </c>
      <c r="N171">
        <v>0</v>
      </c>
      <c r="O171" s="4">
        <f t="shared" si="15"/>
        <v>0</v>
      </c>
      <c r="P171" s="5" t="str">
        <f t="shared" si="16"/>
        <v>No engagement</v>
      </c>
      <c r="Q171" t="b">
        <v>0</v>
      </c>
      <c r="R171" t="b">
        <v>0</v>
      </c>
      <c r="S171" t="b">
        <v>1</v>
      </c>
      <c r="T171" s="24" t="str">
        <f t="shared" si="17"/>
        <v>Link</v>
      </c>
    </row>
    <row r="172" spans="1:20" hidden="1" x14ac:dyDescent="0.2">
      <c r="A172" t="s">
        <v>1855</v>
      </c>
      <c r="B172" t="s">
        <v>14</v>
      </c>
      <c r="C172" t="s">
        <v>15</v>
      </c>
      <c r="D172" t="s">
        <v>1856</v>
      </c>
      <c r="E172" t="s">
        <v>1857</v>
      </c>
      <c r="F1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2" s="27">
        <f t="shared" si="12"/>
        <v>40043</v>
      </c>
      <c r="H172" s="7" t="str">
        <f t="shared" si="13"/>
        <v>17:29:23</v>
      </c>
      <c r="I172" s="8" t="str">
        <f t="shared" si="14"/>
        <v>Afternoon</v>
      </c>
      <c r="L172">
        <v>0</v>
      </c>
      <c r="M172">
        <v>0</v>
      </c>
      <c r="N172">
        <v>0</v>
      </c>
      <c r="O172" s="4">
        <f t="shared" si="15"/>
        <v>0</v>
      </c>
      <c r="P172" s="5" t="str">
        <f t="shared" si="16"/>
        <v>No engagement</v>
      </c>
      <c r="Q172" t="b">
        <v>0</v>
      </c>
      <c r="R172" t="b">
        <v>0</v>
      </c>
      <c r="S172" t="b">
        <v>1</v>
      </c>
      <c r="T172" s="24" t="str">
        <f t="shared" si="17"/>
        <v>Link</v>
      </c>
    </row>
    <row r="173" spans="1:20" hidden="1" x14ac:dyDescent="0.2">
      <c r="A173" t="s">
        <v>1851</v>
      </c>
      <c r="B173" t="s">
        <v>14</v>
      </c>
      <c r="C173" t="s">
        <v>15</v>
      </c>
      <c r="D173" t="s">
        <v>1852</v>
      </c>
      <c r="E173" t="s">
        <v>1853</v>
      </c>
      <c r="F1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3" s="27">
        <f t="shared" si="12"/>
        <v>40043</v>
      </c>
      <c r="H173" s="7" t="str">
        <f t="shared" si="13"/>
        <v>18:18:15</v>
      </c>
      <c r="I173" s="8" t="str">
        <f t="shared" si="14"/>
        <v>Evening</v>
      </c>
      <c r="J173" t="s">
        <v>1854</v>
      </c>
      <c r="L173">
        <v>0</v>
      </c>
      <c r="M173">
        <v>0</v>
      </c>
      <c r="N173">
        <v>0</v>
      </c>
      <c r="O173" s="4">
        <f t="shared" si="15"/>
        <v>0</v>
      </c>
      <c r="P173" s="5" t="str">
        <f t="shared" si="16"/>
        <v>No engagement</v>
      </c>
      <c r="Q173" t="b">
        <v>0</v>
      </c>
      <c r="R173" t="b">
        <v>0</v>
      </c>
      <c r="S173" t="b">
        <v>0</v>
      </c>
      <c r="T173" s="24" t="str">
        <f t="shared" si="17"/>
        <v>Text only</v>
      </c>
    </row>
    <row r="174" spans="1:20" hidden="1" x14ac:dyDescent="0.2">
      <c r="A174" t="s">
        <v>1848</v>
      </c>
      <c r="B174" t="s">
        <v>14</v>
      </c>
      <c r="C174" t="s">
        <v>15</v>
      </c>
      <c r="D174" t="s">
        <v>1849</v>
      </c>
      <c r="E174" t="s">
        <v>1850</v>
      </c>
      <c r="F1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4" s="27">
        <f t="shared" si="12"/>
        <v>40043</v>
      </c>
      <c r="H174" s="7" t="str">
        <f t="shared" si="13"/>
        <v>19:32:23</v>
      </c>
      <c r="I174" s="8" t="str">
        <f t="shared" si="14"/>
        <v>Evening</v>
      </c>
      <c r="L174">
        <v>0</v>
      </c>
      <c r="M174">
        <v>0</v>
      </c>
      <c r="N174">
        <v>0</v>
      </c>
      <c r="O174" s="4">
        <f t="shared" si="15"/>
        <v>0</v>
      </c>
      <c r="P174" s="5" t="str">
        <f t="shared" si="16"/>
        <v>No engagement</v>
      </c>
      <c r="Q174" t="b">
        <v>0</v>
      </c>
      <c r="R174" t="b">
        <v>0</v>
      </c>
      <c r="S174" t="b">
        <v>1</v>
      </c>
      <c r="T174" s="24" t="str">
        <f t="shared" si="17"/>
        <v>Link</v>
      </c>
    </row>
    <row r="175" spans="1:20" hidden="1" x14ac:dyDescent="0.2">
      <c r="A175" t="s">
        <v>1845</v>
      </c>
      <c r="B175" t="s">
        <v>14</v>
      </c>
      <c r="C175" t="s">
        <v>15</v>
      </c>
      <c r="D175" t="s">
        <v>1846</v>
      </c>
      <c r="E175" t="s">
        <v>1847</v>
      </c>
      <c r="F1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5" s="27">
        <f t="shared" si="12"/>
        <v>40043</v>
      </c>
      <c r="H175" s="7" t="str">
        <f t="shared" si="13"/>
        <v>22:24:58</v>
      </c>
      <c r="I175" s="8" t="str">
        <f t="shared" si="14"/>
        <v>Evening</v>
      </c>
      <c r="L175">
        <v>0</v>
      </c>
      <c r="M175">
        <v>0</v>
      </c>
      <c r="N175">
        <v>0</v>
      </c>
      <c r="O175" s="4">
        <f t="shared" si="15"/>
        <v>0</v>
      </c>
      <c r="P175" s="5" t="str">
        <f t="shared" si="16"/>
        <v>No engagement</v>
      </c>
      <c r="Q175" t="b">
        <v>0</v>
      </c>
      <c r="R175" t="b">
        <v>0</v>
      </c>
      <c r="S175" t="b">
        <v>1</v>
      </c>
      <c r="T175" s="24" t="str">
        <f t="shared" si="17"/>
        <v>Link</v>
      </c>
    </row>
    <row r="176" spans="1:20" hidden="1" x14ac:dyDescent="0.2">
      <c r="A176" t="s">
        <v>1841</v>
      </c>
      <c r="B176" t="s">
        <v>14</v>
      </c>
      <c r="C176" t="s">
        <v>15</v>
      </c>
      <c r="D176" t="s">
        <v>1842</v>
      </c>
      <c r="E176" t="s">
        <v>1843</v>
      </c>
      <c r="F1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6" s="27">
        <f t="shared" si="12"/>
        <v>40043</v>
      </c>
      <c r="H176" s="7" t="str">
        <f t="shared" si="13"/>
        <v>22:40:34</v>
      </c>
      <c r="I176" s="8" t="str">
        <f t="shared" si="14"/>
        <v>Evening</v>
      </c>
      <c r="J176" t="s">
        <v>1844</v>
      </c>
      <c r="L176">
        <v>0</v>
      </c>
      <c r="M176">
        <v>0</v>
      </c>
      <c r="N176">
        <v>0</v>
      </c>
      <c r="O176" s="4">
        <f t="shared" si="15"/>
        <v>0</v>
      </c>
      <c r="P176" s="5" t="str">
        <f t="shared" si="16"/>
        <v>No engagement</v>
      </c>
      <c r="Q176" t="b">
        <v>0</v>
      </c>
      <c r="R176" t="b">
        <v>0</v>
      </c>
      <c r="S176" t="b">
        <v>1</v>
      </c>
      <c r="T176" s="24" t="str">
        <f t="shared" si="17"/>
        <v>Link</v>
      </c>
    </row>
    <row r="177" spans="1:20" hidden="1" x14ac:dyDescent="0.2">
      <c r="A177" t="s">
        <v>1835</v>
      </c>
      <c r="B177" t="s">
        <v>14</v>
      </c>
      <c r="C177" t="s">
        <v>15</v>
      </c>
      <c r="D177" t="s">
        <v>1836</v>
      </c>
      <c r="E177" t="s">
        <v>1837</v>
      </c>
      <c r="F1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7" s="27">
        <f t="shared" si="12"/>
        <v>40044</v>
      </c>
      <c r="H177" s="7" t="str">
        <f t="shared" si="13"/>
        <v>16:28:08</v>
      </c>
      <c r="I177" s="8" t="str">
        <f t="shared" si="14"/>
        <v>Afternoon</v>
      </c>
      <c r="L177">
        <v>0</v>
      </c>
      <c r="M177">
        <v>0</v>
      </c>
      <c r="N177">
        <v>0</v>
      </c>
      <c r="O177" s="4">
        <f t="shared" si="15"/>
        <v>0</v>
      </c>
      <c r="P177" s="5" t="str">
        <f t="shared" si="16"/>
        <v>No engagement</v>
      </c>
      <c r="Q177" t="b">
        <v>0</v>
      </c>
      <c r="R177" t="b">
        <v>0</v>
      </c>
      <c r="S177" t="b">
        <v>0</v>
      </c>
      <c r="T177" s="24" t="str">
        <f t="shared" si="17"/>
        <v>Text only</v>
      </c>
    </row>
    <row r="178" spans="1:20" hidden="1" x14ac:dyDescent="0.2">
      <c r="A178" t="s">
        <v>1832</v>
      </c>
      <c r="B178" t="s">
        <v>14</v>
      </c>
      <c r="C178" t="s">
        <v>15</v>
      </c>
      <c r="D178" t="s">
        <v>1833</v>
      </c>
      <c r="E178" t="s">
        <v>1834</v>
      </c>
      <c r="F1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8" s="27">
        <f t="shared" si="12"/>
        <v>40045</v>
      </c>
      <c r="H178" s="7" t="str">
        <f t="shared" si="13"/>
        <v>18:38:36</v>
      </c>
      <c r="I178" s="8" t="str">
        <f t="shared" si="14"/>
        <v>Evening</v>
      </c>
      <c r="L178">
        <v>0</v>
      </c>
      <c r="M178">
        <v>0</v>
      </c>
      <c r="N178">
        <v>0</v>
      </c>
      <c r="O178" s="4">
        <f t="shared" si="15"/>
        <v>0</v>
      </c>
      <c r="P178" s="5" t="str">
        <f t="shared" si="16"/>
        <v>No engagement</v>
      </c>
      <c r="Q178" t="b">
        <v>0</v>
      </c>
      <c r="R178" t="b">
        <v>0</v>
      </c>
      <c r="S178" t="b">
        <v>1</v>
      </c>
      <c r="T178" s="24" t="str">
        <f t="shared" si="17"/>
        <v>Link</v>
      </c>
    </row>
    <row r="179" spans="1:20" hidden="1" x14ac:dyDescent="0.2">
      <c r="A179" t="s">
        <v>1829</v>
      </c>
      <c r="B179" t="s">
        <v>14</v>
      </c>
      <c r="C179" t="s">
        <v>15</v>
      </c>
      <c r="D179" t="s">
        <v>1830</v>
      </c>
      <c r="E179" t="s">
        <v>1831</v>
      </c>
      <c r="F1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79" s="27">
        <f t="shared" si="12"/>
        <v>40045</v>
      </c>
      <c r="H179" s="7" t="str">
        <f t="shared" si="13"/>
        <v>21:19:38</v>
      </c>
      <c r="I179" s="8" t="str">
        <f t="shared" si="14"/>
        <v>Evening</v>
      </c>
      <c r="J179" t="s">
        <v>1500</v>
      </c>
      <c r="L179">
        <v>0</v>
      </c>
      <c r="M179">
        <v>0</v>
      </c>
      <c r="N179">
        <v>0</v>
      </c>
      <c r="O179" s="4">
        <f t="shared" si="15"/>
        <v>0</v>
      </c>
      <c r="P179" s="5" t="str">
        <f t="shared" si="16"/>
        <v>No engagement</v>
      </c>
      <c r="Q179" t="b">
        <v>0</v>
      </c>
      <c r="R179" t="b">
        <v>0</v>
      </c>
      <c r="S179" t="b">
        <v>0</v>
      </c>
      <c r="T179" s="24" t="str">
        <f t="shared" si="17"/>
        <v>Text only</v>
      </c>
    </row>
    <row r="180" spans="1:20" hidden="1" x14ac:dyDescent="0.2">
      <c r="A180" t="s">
        <v>1826</v>
      </c>
      <c r="B180" t="s">
        <v>14</v>
      </c>
      <c r="C180" t="s">
        <v>15</v>
      </c>
      <c r="D180" t="s">
        <v>1827</v>
      </c>
      <c r="E180" t="s">
        <v>1828</v>
      </c>
      <c r="F1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0" s="27">
        <f t="shared" si="12"/>
        <v>40045</v>
      </c>
      <c r="H180" s="7" t="str">
        <f t="shared" si="13"/>
        <v>21:21:32</v>
      </c>
      <c r="I180" s="8" t="str">
        <f t="shared" si="14"/>
        <v>Evening</v>
      </c>
      <c r="J180" t="s">
        <v>1825</v>
      </c>
      <c r="L180">
        <v>0</v>
      </c>
      <c r="M180">
        <v>0</v>
      </c>
      <c r="N180">
        <v>0</v>
      </c>
      <c r="O180" s="4">
        <f t="shared" si="15"/>
        <v>0</v>
      </c>
      <c r="P180" s="5" t="str">
        <f t="shared" si="16"/>
        <v>No engagement</v>
      </c>
      <c r="Q180" t="b">
        <v>0</v>
      </c>
      <c r="R180" t="b">
        <v>0</v>
      </c>
      <c r="S180" t="b">
        <v>0</v>
      </c>
      <c r="T180" s="24" t="str">
        <f t="shared" si="17"/>
        <v>Text only</v>
      </c>
    </row>
    <row r="181" spans="1:20" hidden="1" x14ac:dyDescent="0.2">
      <c r="A181" t="s">
        <v>1822</v>
      </c>
      <c r="B181" t="s">
        <v>14</v>
      </c>
      <c r="C181" t="s">
        <v>15</v>
      </c>
      <c r="D181" t="s">
        <v>1823</v>
      </c>
      <c r="E181" t="s">
        <v>1824</v>
      </c>
      <c r="F1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1" s="27">
        <f t="shared" si="12"/>
        <v>40045</v>
      </c>
      <c r="H181" s="7" t="str">
        <f t="shared" si="13"/>
        <v>21:30:58</v>
      </c>
      <c r="I181" s="8" t="str">
        <f t="shared" si="14"/>
        <v>Evening</v>
      </c>
      <c r="J181" t="s">
        <v>1825</v>
      </c>
      <c r="L181">
        <v>0</v>
      </c>
      <c r="M181">
        <v>0</v>
      </c>
      <c r="N181">
        <v>0</v>
      </c>
      <c r="O181" s="4">
        <f t="shared" si="15"/>
        <v>0</v>
      </c>
      <c r="P181" s="5" t="str">
        <f t="shared" si="16"/>
        <v>No engagement</v>
      </c>
      <c r="Q181" t="b">
        <v>0</v>
      </c>
      <c r="R181" t="b">
        <v>0</v>
      </c>
      <c r="S181" t="b">
        <v>0</v>
      </c>
      <c r="T181" s="24" t="str">
        <f t="shared" si="17"/>
        <v>Text only</v>
      </c>
    </row>
    <row r="182" spans="1:20" hidden="1" x14ac:dyDescent="0.2">
      <c r="A182" t="s">
        <v>1816</v>
      </c>
      <c r="B182" t="s">
        <v>14</v>
      </c>
      <c r="C182" t="s">
        <v>15</v>
      </c>
      <c r="D182" t="s">
        <v>1817</v>
      </c>
      <c r="E182" t="s">
        <v>1818</v>
      </c>
      <c r="F1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2" s="27">
        <f t="shared" si="12"/>
        <v>40047</v>
      </c>
      <c r="H182" s="7" t="str">
        <f t="shared" si="13"/>
        <v>16:05:59</v>
      </c>
      <c r="I182" s="8" t="str">
        <f t="shared" si="14"/>
        <v>Afternoon</v>
      </c>
      <c r="J182" t="s">
        <v>54</v>
      </c>
      <c r="L182">
        <v>0</v>
      </c>
      <c r="M182">
        <v>0</v>
      </c>
      <c r="N182">
        <v>0</v>
      </c>
      <c r="O182" s="4">
        <f t="shared" si="15"/>
        <v>0</v>
      </c>
      <c r="P182" s="5" t="str">
        <f t="shared" si="16"/>
        <v>No engagement</v>
      </c>
      <c r="Q182" t="b">
        <v>0</v>
      </c>
      <c r="R182" t="b">
        <v>0</v>
      </c>
      <c r="S182" t="b">
        <v>0</v>
      </c>
      <c r="T182" s="24" t="str">
        <f t="shared" si="17"/>
        <v>Text only</v>
      </c>
    </row>
    <row r="183" spans="1:20" hidden="1" x14ac:dyDescent="0.2">
      <c r="A183" t="s">
        <v>1813</v>
      </c>
      <c r="B183" t="s">
        <v>14</v>
      </c>
      <c r="C183" t="s">
        <v>15</v>
      </c>
      <c r="D183" t="s">
        <v>1814</v>
      </c>
      <c r="E183" t="s">
        <v>1815</v>
      </c>
      <c r="F1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3" s="27">
        <f t="shared" si="12"/>
        <v>40051</v>
      </c>
      <c r="H183" s="7" t="str">
        <f t="shared" si="13"/>
        <v>15:55:21</v>
      </c>
      <c r="I183" s="8" t="str">
        <f t="shared" si="14"/>
        <v>Afternoon</v>
      </c>
      <c r="L183">
        <v>0</v>
      </c>
      <c r="M183">
        <v>0</v>
      </c>
      <c r="N183">
        <v>0</v>
      </c>
      <c r="O183" s="4">
        <f t="shared" si="15"/>
        <v>0</v>
      </c>
      <c r="P183" s="5" t="str">
        <f t="shared" si="16"/>
        <v>No engagement</v>
      </c>
      <c r="Q183" t="b">
        <v>0</v>
      </c>
      <c r="R183" t="b">
        <v>0</v>
      </c>
      <c r="S183" t="b">
        <v>0</v>
      </c>
      <c r="T183" s="24" t="str">
        <f t="shared" si="17"/>
        <v>Text only</v>
      </c>
    </row>
    <row r="184" spans="1:20" hidden="1" x14ac:dyDescent="0.2">
      <c r="A184" t="s">
        <v>1810</v>
      </c>
      <c r="B184" t="s">
        <v>14</v>
      </c>
      <c r="C184" t="s">
        <v>15</v>
      </c>
      <c r="D184" t="s">
        <v>1811</v>
      </c>
      <c r="E184" t="s">
        <v>1812</v>
      </c>
      <c r="F1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4" s="27">
        <f t="shared" si="12"/>
        <v>40051</v>
      </c>
      <c r="H184" s="7" t="str">
        <f t="shared" si="13"/>
        <v>20:29:34</v>
      </c>
      <c r="I184" s="8" t="str">
        <f t="shared" si="14"/>
        <v>Evening</v>
      </c>
      <c r="L184">
        <v>0</v>
      </c>
      <c r="M184">
        <v>0</v>
      </c>
      <c r="N184">
        <v>0</v>
      </c>
      <c r="O184" s="4">
        <f t="shared" si="15"/>
        <v>0</v>
      </c>
      <c r="P184" s="5" t="str">
        <f t="shared" si="16"/>
        <v>No engagement</v>
      </c>
      <c r="Q184" t="b">
        <v>0</v>
      </c>
      <c r="R184" t="b">
        <v>0</v>
      </c>
      <c r="S184" t="b">
        <v>0</v>
      </c>
      <c r="T184" s="24" t="str">
        <f t="shared" si="17"/>
        <v>Text only</v>
      </c>
    </row>
    <row r="185" spans="1:20" hidden="1" x14ac:dyDescent="0.2">
      <c r="A185" t="s">
        <v>1806</v>
      </c>
      <c r="B185" t="s">
        <v>14</v>
      </c>
      <c r="C185" t="s">
        <v>15</v>
      </c>
      <c r="D185" t="s">
        <v>1807</v>
      </c>
      <c r="E185" t="s">
        <v>1808</v>
      </c>
      <c r="F1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5" s="27">
        <f t="shared" si="12"/>
        <v>40051</v>
      </c>
      <c r="H185" s="7" t="str">
        <f t="shared" si="13"/>
        <v>22:43:40</v>
      </c>
      <c r="I185" s="8" t="str">
        <f t="shared" si="14"/>
        <v>Evening</v>
      </c>
      <c r="J185" t="s">
        <v>1809</v>
      </c>
      <c r="L185">
        <v>0</v>
      </c>
      <c r="M185">
        <v>0</v>
      </c>
      <c r="N185">
        <v>0</v>
      </c>
      <c r="O185" s="4">
        <f t="shared" si="15"/>
        <v>0</v>
      </c>
      <c r="P185" s="5" t="str">
        <f t="shared" si="16"/>
        <v>No engagement</v>
      </c>
      <c r="Q185" t="b">
        <v>0</v>
      </c>
      <c r="R185" t="b">
        <v>0</v>
      </c>
      <c r="S185" t="b">
        <v>0</v>
      </c>
      <c r="T185" s="24" t="str">
        <f t="shared" si="17"/>
        <v>Text only</v>
      </c>
    </row>
    <row r="186" spans="1:20" hidden="1" x14ac:dyDescent="0.2">
      <c r="A186" t="s">
        <v>1803</v>
      </c>
      <c r="B186" t="s">
        <v>14</v>
      </c>
      <c r="C186" t="s">
        <v>15</v>
      </c>
      <c r="D186" t="s">
        <v>1804</v>
      </c>
      <c r="E186" t="s">
        <v>1805</v>
      </c>
      <c r="F1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6" s="27">
        <f t="shared" si="12"/>
        <v>40052</v>
      </c>
      <c r="H186" s="7" t="str">
        <f t="shared" si="13"/>
        <v>15:16:20</v>
      </c>
      <c r="I186" s="8" t="str">
        <f t="shared" si="14"/>
        <v>Afternoon</v>
      </c>
      <c r="J186" t="s">
        <v>1690</v>
      </c>
      <c r="L186">
        <v>0</v>
      </c>
      <c r="M186">
        <v>0</v>
      </c>
      <c r="N186">
        <v>0</v>
      </c>
      <c r="O186" s="4">
        <f t="shared" si="15"/>
        <v>0</v>
      </c>
      <c r="P186" s="5" t="str">
        <f t="shared" si="16"/>
        <v>No engagement</v>
      </c>
      <c r="Q186" t="b">
        <v>0</v>
      </c>
      <c r="R186" t="b">
        <v>0</v>
      </c>
      <c r="S186" t="b">
        <v>1</v>
      </c>
      <c r="T186" s="24" t="str">
        <f t="shared" si="17"/>
        <v>Link</v>
      </c>
    </row>
    <row r="187" spans="1:20" hidden="1" x14ac:dyDescent="0.2">
      <c r="A187" t="s">
        <v>1799</v>
      </c>
      <c r="B187" t="s">
        <v>14</v>
      </c>
      <c r="C187" t="s">
        <v>15</v>
      </c>
      <c r="D187" t="s">
        <v>1800</v>
      </c>
      <c r="E187" t="s">
        <v>1801</v>
      </c>
      <c r="F1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7" s="27">
        <f t="shared" si="12"/>
        <v>40052</v>
      </c>
      <c r="H187" s="7" t="str">
        <f t="shared" si="13"/>
        <v>15:19:52</v>
      </c>
      <c r="I187" s="8" t="str">
        <f t="shared" si="14"/>
        <v>Afternoon</v>
      </c>
      <c r="J187" t="s">
        <v>1802</v>
      </c>
      <c r="L187">
        <v>0</v>
      </c>
      <c r="M187">
        <v>0</v>
      </c>
      <c r="N187">
        <v>0</v>
      </c>
      <c r="O187" s="4">
        <f t="shared" si="15"/>
        <v>0</v>
      </c>
      <c r="P187" s="5" t="str">
        <f t="shared" si="16"/>
        <v>No engagement</v>
      </c>
      <c r="Q187" t="b">
        <v>0</v>
      </c>
      <c r="R187" t="b">
        <v>0</v>
      </c>
      <c r="S187" t="b">
        <v>0</v>
      </c>
      <c r="T187" s="24" t="str">
        <f t="shared" si="17"/>
        <v>Text only</v>
      </c>
    </row>
    <row r="188" spans="1:20" hidden="1" x14ac:dyDescent="0.2">
      <c r="A188" t="s">
        <v>1793</v>
      </c>
      <c r="B188" t="s">
        <v>14</v>
      </c>
      <c r="C188" t="s">
        <v>15</v>
      </c>
      <c r="D188" t="s">
        <v>1794</v>
      </c>
      <c r="E188" t="s">
        <v>1795</v>
      </c>
      <c r="F1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8" s="27">
        <f t="shared" si="12"/>
        <v>40052</v>
      </c>
      <c r="H188" s="7" t="str">
        <f t="shared" si="13"/>
        <v>16:40:24</v>
      </c>
      <c r="I188" s="8" t="str">
        <f t="shared" si="14"/>
        <v>Afternoon</v>
      </c>
      <c r="J188" t="s">
        <v>576</v>
      </c>
      <c r="L188">
        <v>0</v>
      </c>
      <c r="M188">
        <v>0</v>
      </c>
      <c r="N188">
        <v>0</v>
      </c>
      <c r="O188" s="4">
        <f t="shared" si="15"/>
        <v>0</v>
      </c>
      <c r="P188" s="5" t="str">
        <f t="shared" si="16"/>
        <v>No engagement</v>
      </c>
      <c r="Q188" t="b">
        <v>0</v>
      </c>
      <c r="R188" t="b">
        <v>0</v>
      </c>
      <c r="S188" t="b">
        <v>0</v>
      </c>
      <c r="T188" s="24" t="str">
        <f t="shared" si="17"/>
        <v>Text only</v>
      </c>
    </row>
    <row r="189" spans="1:20" hidden="1" x14ac:dyDescent="0.2">
      <c r="A189" t="s">
        <v>1790</v>
      </c>
      <c r="B189" t="s">
        <v>14</v>
      </c>
      <c r="C189" t="s">
        <v>15</v>
      </c>
      <c r="D189" t="s">
        <v>1791</v>
      </c>
      <c r="E189" t="s">
        <v>1792</v>
      </c>
      <c r="F1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89" s="27">
        <f t="shared" si="12"/>
        <v>40052</v>
      </c>
      <c r="H189" s="7" t="str">
        <f t="shared" si="13"/>
        <v>17:01:41</v>
      </c>
      <c r="I189" s="8" t="str">
        <f t="shared" si="14"/>
        <v>Afternoon</v>
      </c>
      <c r="J189" t="s">
        <v>1051</v>
      </c>
      <c r="L189">
        <v>0</v>
      </c>
      <c r="M189">
        <v>0</v>
      </c>
      <c r="N189">
        <v>0</v>
      </c>
      <c r="O189" s="4">
        <f t="shared" si="15"/>
        <v>0</v>
      </c>
      <c r="P189" s="5" t="str">
        <f t="shared" si="16"/>
        <v>No engagement</v>
      </c>
      <c r="Q189" t="b">
        <v>0</v>
      </c>
      <c r="R189" t="b">
        <v>0</v>
      </c>
      <c r="S189" t="b">
        <v>1</v>
      </c>
      <c r="T189" s="24" t="str">
        <f t="shared" si="17"/>
        <v>Link</v>
      </c>
    </row>
    <row r="190" spans="1:20" hidden="1" x14ac:dyDescent="0.2">
      <c r="A190" t="s">
        <v>1787</v>
      </c>
      <c r="B190" t="s">
        <v>14</v>
      </c>
      <c r="C190" t="s">
        <v>15</v>
      </c>
      <c r="D190" t="s">
        <v>1788</v>
      </c>
      <c r="E190" t="s">
        <v>1789</v>
      </c>
      <c r="F1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0" s="27">
        <f t="shared" si="12"/>
        <v>40052</v>
      </c>
      <c r="H190" s="7" t="str">
        <f t="shared" si="13"/>
        <v>17:42:48</v>
      </c>
      <c r="I190" s="8" t="str">
        <f t="shared" si="14"/>
        <v>Afternoon</v>
      </c>
      <c r="J190" t="s">
        <v>105</v>
      </c>
      <c r="L190">
        <v>0</v>
      </c>
      <c r="M190">
        <v>0</v>
      </c>
      <c r="N190">
        <v>0</v>
      </c>
      <c r="O190" s="4">
        <f t="shared" si="15"/>
        <v>0</v>
      </c>
      <c r="P190" s="5" t="str">
        <f t="shared" si="16"/>
        <v>No engagement</v>
      </c>
      <c r="Q190" t="b">
        <v>0</v>
      </c>
      <c r="R190" t="b">
        <v>0</v>
      </c>
      <c r="S190" t="b">
        <v>0</v>
      </c>
      <c r="T190" s="24" t="str">
        <f t="shared" si="17"/>
        <v>Text only</v>
      </c>
    </row>
    <row r="191" spans="1:20" hidden="1" x14ac:dyDescent="0.2">
      <c r="A191" t="s">
        <v>1784</v>
      </c>
      <c r="B191" t="s">
        <v>14</v>
      </c>
      <c r="C191" t="s">
        <v>15</v>
      </c>
      <c r="D191" t="s">
        <v>1785</v>
      </c>
      <c r="E191" t="s">
        <v>1786</v>
      </c>
      <c r="F1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1" s="27">
        <f t="shared" si="12"/>
        <v>40052</v>
      </c>
      <c r="H191" s="7" t="str">
        <f t="shared" si="13"/>
        <v>17:44:59</v>
      </c>
      <c r="I191" s="8" t="str">
        <f t="shared" si="14"/>
        <v>Afternoon</v>
      </c>
      <c r="J191" t="s">
        <v>736</v>
      </c>
      <c r="L191">
        <v>0</v>
      </c>
      <c r="M191">
        <v>0</v>
      </c>
      <c r="N191">
        <v>0</v>
      </c>
      <c r="O191" s="4">
        <f t="shared" si="15"/>
        <v>0</v>
      </c>
      <c r="P191" s="5" t="str">
        <f t="shared" si="16"/>
        <v>No engagement</v>
      </c>
      <c r="Q191" t="b">
        <v>0</v>
      </c>
      <c r="R191" t="b">
        <v>0</v>
      </c>
      <c r="S191" t="b">
        <v>0</v>
      </c>
      <c r="T191" s="24" t="str">
        <f t="shared" si="17"/>
        <v>Text only</v>
      </c>
    </row>
    <row r="192" spans="1:20" hidden="1" x14ac:dyDescent="0.2">
      <c r="A192" t="s">
        <v>1781</v>
      </c>
      <c r="B192" t="s">
        <v>14</v>
      </c>
      <c r="C192" t="s">
        <v>15</v>
      </c>
      <c r="D192" t="s">
        <v>1782</v>
      </c>
      <c r="E192" t="s">
        <v>1783</v>
      </c>
      <c r="F1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2" s="27">
        <f t="shared" si="12"/>
        <v>40053</v>
      </c>
      <c r="H192" s="7" t="str">
        <f t="shared" si="13"/>
        <v>00:07:27</v>
      </c>
      <c r="I192" s="8" t="str">
        <f t="shared" si="14"/>
        <v>Early morning</v>
      </c>
      <c r="J192" t="s">
        <v>1500</v>
      </c>
      <c r="L192">
        <v>0</v>
      </c>
      <c r="M192">
        <v>0</v>
      </c>
      <c r="N192">
        <v>0</v>
      </c>
      <c r="O192" s="4">
        <f t="shared" si="15"/>
        <v>0</v>
      </c>
      <c r="P192" s="5" t="str">
        <f t="shared" si="16"/>
        <v>No engagement</v>
      </c>
      <c r="Q192" t="b">
        <v>0</v>
      </c>
      <c r="R192" t="b">
        <v>0</v>
      </c>
      <c r="S192" t="b">
        <v>1</v>
      </c>
      <c r="T192" s="24" t="str">
        <f t="shared" si="17"/>
        <v>Link</v>
      </c>
    </row>
    <row r="193" spans="1:20" hidden="1" x14ac:dyDescent="0.2">
      <c r="A193" t="s">
        <v>1778</v>
      </c>
      <c r="B193" t="s">
        <v>14</v>
      </c>
      <c r="C193" t="s">
        <v>15</v>
      </c>
      <c r="D193" t="s">
        <v>1779</v>
      </c>
      <c r="E193" t="s">
        <v>1780</v>
      </c>
      <c r="F1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3" s="27">
        <f t="shared" si="12"/>
        <v>40053</v>
      </c>
      <c r="H193" s="7" t="str">
        <f t="shared" si="13"/>
        <v>16:14:54</v>
      </c>
      <c r="I193" s="8" t="str">
        <f t="shared" si="14"/>
        <v>Afternoon</v>
      </c>
      <c r="J193" t="s">
        <v>1500</v>
      </c>
      <c r="L193">
        <v>0</v>
      </c>
      <c r="M193">
        <v>0</v>
      </c>
      <c r="N193">
        <v>0</v>
      </c>
      <c r="O193" s="4">
        <f t="shared" si="15"/>
        <v>0</v>
      </c>
      <c r="P193" s="5" t="str">
        <f t="shared" si="16"/>
        <v>No engagement</v>
      </c>
      <c r="Q193" t="b">
        <v>0</v>
      </c>
      <c r="R193" t="b">
        <v>0</v>
      </c>
      <c r="S193" t="b">
        <v>0</v>
      </c>
      <c r="T193" s="24" t="str">
        <f t="shared" si="17"/>
        <v>Text only</v>
      </c>
    </row>
    <row r="194" spans="1:20" hidden="1" x14ac:dyDescent="0.2">
      <c r="A194" t="s">
        <v>1775</v>
      </c>
      <c r="B194" t="s">
        <v>14</v>
      </c>
      <c r="C194" t="s">
        <v>15</v>
      </c>
      <c r="D194" t="s">
        <v>1776</v>
      </c>
      <c r="E194" t="s">
        <v>1777</v>
      </c>
      <c r="F1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4" s="27">
        <f t="shared" ref="G194:G257" si="18">DATEVALUE((LEFT(E194,10)))</f>
        <v>40053</v>
      </c>
      <c r="H194" s="7" t="str">
        <f t="shared" ref="H194:H257" si="19">MID(E194,12,8)</f>
        <v>16:20:18</v>
      </c>
      <c r="I194" s="8" t="str">
        <f t="shared" ref="I194:I257" si="20">IF(HOUR(H194)&lt;7,"Early morning",
IF(HOUR(H194)&lt;11,"Morning",
IF(HOUR(H194)&lt;14,"Mid-day",
IF(HOUR(H194)&lt;18,"Afternoon","Evening"))))</f>
        <v>Afternoon</v>
      </c>
      <c r="J194" t="s">
        <v>1500</v>
      </c>
      <c r="L194">
        <v>0</v>
      </c>
      <c r="M194">
        <v>0</v>
      </c>
      <c r="N194">
        <v>0</v>
      </c>
      <c r="O194" s="4">
        <f t="shared" ref="O194:O257" si="21">L194+M194+N194</f>
        <v>0</v>
      </c>
      <c r="P194" s="5" t="str">
        <f t="shared" ref="P194:P257" si="22">IF(O194&lt;1,"No engagement", IF(O194&lt;5,"Low engagement", IF(O194&lt;10,"Moderate engagement", "High engagement")))</f>
        <v>No engagement</v>
      </c>
      <c r="Q194" t="b">
        <v>0</v>
      </c>
      <c r="R194" t="b">
        <v>0</v>
      </c>
      <c r="S194" t="b">
        <v>0</v>
      </c>
      <c r="T194" s="24" t="str">
        <f t="shared" ref="T194:T257" si="23">IF(Q194=TRUE,"Photo",IF(R194=TRUE,"Video",IF(S194=TRUE,"Link",("Text only"))))</f>
        <v>Text only</v>
      </c>
    </row>
    <row r="195" spans="1:20" hidden="1" x14ac:dyDescent="0.2">
      <c r="A195" t="s">
        <v>1772</v>
      </c>
      <c r="B195" t="s">
        <v>14</v>
      </c>
      <c r="C195" t="s">
        <v>15</v>
      </c>
      <c r="D195" t="s">
        <v>1773</v>
      </c>
      <c r="E195" t="s">
        <v>1774</v>
      </c>
      <c r="F1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5" s="27">
        <f t="shared" si="18"/>
        <v>40053</v>
      </c>
      <c r="H195" s="7" t="str">
        <f t="shared" si="19"/>
        <v>16:23:44</v>
      </c>
      <c r="I195" s="8" t="str">
        <f t="shared" si="20"/>
        <v>Afternoon</v>
      </c>
      <c r="J195" t="s">
        <v>1683</v>
      </c>
      <c r="L195">
        <v>0</v>
      </c>
      <c r="M195">
        <v>0</v>
      </c>
      <c r="N195">
        <v>0</v>
      </c>
      <c r="O195" s="4">
        <f t="shared" si="21"/>
        <v>0</v>
      </c>
      <c r="P195" s="5" t="str">
        <f t="shared" si="22"/>
        <v>No engagement</v>
      </c>
      <c r="Q195" t="b">
        <v>0</v>
      </c>
      <c r="R195" t="b">
        <v>0</v>
      </c>
      <c r="S195" t="b">
        <v>1</v>
      </c>
      <c r="T195" s="24" t="str">
        <f t="shared" si="23"/>
        <v>Link</v>
      </c>
    </row>
    <row r="196" spans="1:20" hidden="1" x14ac:dyDescent="0.2">
      <c r="A196" t="s">
        <v>1769</v>
      </c>
      <c r="B196" t="s">
        <v>14</v>
      </c>
      <c r="C196" t="s">
        <v>15</v>
      </c>
      <c r="D196" t="s">
        <v>1770</v>
      </c>
      <c r="E196" t="s">
        <v>1771</v>
      </c>
      <c r="F1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6" s="27">
        <f t="shared" si="18"/>
        <v>40053</v>
      </c>
      <c r="H196" s="7" t="str">
        <f t="shared" si="19"/>
        <v>17:23:55</v>
      </c>
      <c r="I196" s="8" t="str">
        <f t="shared" si="20"/>
        <v>Afternoon</v>
      </c>
      <c r="L196">
        <v>0</v>
      </c>
      <c r="M196">
        <v>0</v>
      </c>
      <c r="N196">
        <v>0</v>
      </c>
      <c r="O196" s="4">
        <f t="shared" si="21"/>
        <v>0</v>
      </c>
      <c r="P196" s="5" t="str">
        <f t="shared" si="22"/>
        <v>No engagement</v>
      </c>
      <c r="Q196" t="b">
        <v>0</v>
      </c>
      <c r="R196" t="b">
        <v>0</v>
      </c>
      <c r="S196" t="b">
        <v>0</v>
      </c>
      <c r="T196" s="24" t="str">
        <f t="shared" si="23"/>
        <v>Text only</v>
      </c>
    </row>
    <row r="197" spans="1:20" hidden="1" x14ac:dyDescent="0.2">
      <c r="A197" t="s">
        <v>1766</v>
      </c>
      <c r="B197" t="s">
        <v>14</v>
      </c>
      <c r="C197" t="s">
        <v>15</v>
      </c>
      <c r="D197" t="s">
        <v>1767</v>
      </c>
      <c r="E197" t="s">
        <v>1768</v>
      </c>
      <c r="F1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7" s="27">
        <f t="shared" si="18"/>
        <v>40053</v>
      </c>
      <c r="H197" s="7" t="str">
        <f t="shared" si="19"/>
        <v>18:12:11</v>
      </c>
      <c r="I197" s="8" t="str">
        <f t="shared" si="20"/>
        <v>Evening</v>
      </c>
      <c r="J197" t="s">
        <v>1500</v>
      </c>
      <c r="L197">
        <v>0</v>
      </c>
      <c r="M197">
        <v>0</v>
      </c>
      <c r="N197">
        <v>0</v>
      </c>
      <c r="O197" s="4">
        <f t="shared" si="21"/>
        <v>0</v>
      </c>
      <c r="P197" s="5" t="str">
        <f t="shared" si="22"/>
        <v>No engagement</v>
      </c>
      <c r="Q197" t="b">
        <v>0</v>
      </c>
      <c r="R197" t="b">
        <v>0</v>
      </c>
      <c r="S197" t="b">
        <v>0</v>
      </c>
      <c r="T197" s="24" t="str">
        <f t="shared" si="23"/>
        <v>Text only</v>
      </c>
    </row>
    <row r="198" spans="1:20" hidden="1" x14ac:dyDescent="0.2">
      <c r="A198" t="s">
        <v>1763</v>
      </c>
      <c r="B198" t="s">
        <v>14</v>
      </c>
      <c r="C198" t="s">
        <v>15</v>
      </c>
      <c r="D198" t="s">
        <v>1764</v>
      </c>
      <c r="E198" t="s">
        <v>1765</v>
      </c>
      <c r="F1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8" s="27">
        <f t="shared" si="18"/>
        <v>40053</v>
      </c>
      <c r="H198" s="7" t="str">
        <f t="shared" si="19"/>
        <v>18:39:08</v>
      </c>
      <c r="I198" s="8" t="str">
        <f t="shared" si="20"/>
        <v>Evening</v>
      </c>
      <c r="L198">
        <v>0</v>
      </c>
      <c r="M198">
        <v>0</v>
      </c>
      <c r="N198">
        <v>0</v>
      </c>
      <c r="O198" s="4">
        <f t="shared" si="21"/>
        <v>0</v>
      </c>
      <c r="P198" s="5" t="str">
        <f t="shared" si="22"/>
        <v>No engagement</v>
      </c>
      <c r="Q198" t="b">
        <v>0</v>
      </c>
      <c r="R198" t="b">
        <v>0</v>
      </c>
      <c r="S198" t="b">
        <v>0</v>
      </c>
      <c r="T198" s="24" t="str">
        <f t="shared" si="23"/>
        <v>Text only</v>
      </c>
    </row>
    <row r="199" spans="1:20" hidden="1" x14ac:dyDescent="0.2">
      <c r="A199" t="s">
        <v>1760</v>
      </c>
      <c r="B199" t="s">
        <v>14</v>
      </c>
      <c r="C199" t="s">
        <v>15</v>
      </c>
      <c r="D199" t="s">
        <v>1761</v>
      </c>
      <c r="E199" t="s">
        <v>1762</v>
      </c>
      <c r="F1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199" s="27">
        <f t="shared" si="18"/>
        <v>40053</v>
      </c>
      <c r="H199" s="7" t="str">
        <f t="shared" si="19"/>
        <v>20:38:05</v>
      </c>
      <c r="I199" s="8" t="str">
        <f t="shared" si="20"/>
        <v>Evening</v>
      </c>
      <c r="L199">
        <v>0</v>
      </c>
      <c r="M199">
        <v>0</v>
      </c>
      <c r="N199">
        <v>0</v>
      </c>
      <c r="O199" s="4">
        <f t="shared" si="21"/>
        <v>0</v>
      </c>
      <c r="P199" s="5" t="str">
        <f t="shared" si="22"/>
        <v>No engagement</v>
      </c>
      <c r="Q199" t="b">
        <v>0</v>
      </c>
      <c r="R199" t="b">
        <v>0</v>
      </c>
      <c r="S199" t="b">
        <v>1</v>
      </c>
      <c r="T199" s="24" t="str">
        <f t="shared" si="23"/>
        <v>Link</v>
      </c>
    </row>
    <row r="200" spans="1:20" hidden="1" x14ac:dyDescent="0.2">
      <c r="A200" t="s">
        <v>1757</v>
      </c>
      <c r="B200" t="s">
        <v>14</v>
      </c>
      <c r="C200" t="s">
        <v>15</v>
      </c>
      <c r="D200" t="s">
        <v>1758</v>
      </c>
      <c r="E200" t="s">
        <v>1759</v>
      </c>
      <c r="F2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0" s="27">
        <f t="shared" si="18"/>
        <v>40053</v>
      </c>
      <c r="H200" s="7" t="str">
        <f t="shared" si="19"/>
        <v>20:42:13</v>
      </c>
      <c r="I200" s="8" t="str">
        <f t="shared" si="20"/>
        <v>Evening</v>
      </c>
      <c r="L200">
        <v>0</v>
      </c>
      <c r="M200">
        <v>0</v>
      </c>
      <c r="N200">
        <v>0</v>
      </c>
      <c r="O200" s="4">
        <f t="shared" si="21"/>
        <v>0</v>
      </c>
      <c r="P200" s="5" t="str">
        <f t="shared" si="22"/>
        <v>No engagement</v>
      </c>
      <c r="Q200" t="b">
        <v>0</v>
      </c>
      <c r="R200" t="b">
        <v>0</v>
      </c>
      <c r="S200" t="b">
        <v>1</v>
      </c>
      <c r="T200" s="24" t="str">
        <f t="shared" si="23"/>
        <v>Link</v>
      </c>
    </row>
    <row r="201" spans="1:20" hidden="1" x14ac:dyDescent="0.2">
      <c r="A201" t="s">
        <v>1753</v>
      </c>
      <c r="B201" t="s">
        <v>14</v>
      </c>
      <c r="C201" t="s">
        <v>15</v>
      </c>
      <c r="D201" t="s">
        <v>1754</v>
      </c>
      <c r="E201" t="s">
        <v>1755</v>
      </c>
      <c r="F2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1" s="27">
        <f t="shared" si="18"/>
        <v>40054</v>
      </c>
      <c r="H201" s="7" t="str">
        <f t="shared" si="19"/>
        <v>23:13:46</v>
      </c>
      <c r="I201" s="8" t="str">
        <f t="shared" si="20"/>
        <v>Evening</v>
      </c>
      <c r="J201" t="s">
        <v>1683</v>
      </c>
      <c r="L201">
        <v>0</v>
      </c>
      <c r="M201">
        <v>0</v>
      </c>
      <c r="N201">
        <v>0</v>
      </c>
      <c r="O201" s="4">
        <f t="shared" si="21"/>
        <v>0</v>
      </c>
      <c r="P201" s="5" t="str">
        <f t="shared" si="22"/>
        <v>No engagement</v>
      </c>
      <c r="Q201" t="b">
        <v>0</v>
      </c>
      <c r="R201" t="b">
        <v>0</v>
      </c>
      <c r="S201" t="b">
        <v>0</v>
      </c>
      <c r="T201" s="24" t="str">
        <f t="shared" si="23"/>
        <v>Text only</v>
      </c>
    </row>
    <row r="202" spans="1:20" hidden="1" x14ac:dyDescent="0.2">
      <c r="A202" t="s">
        <v>1750</v>
      </c>
      <c r="B202" t="s">
        <v>14</v>
      </c>
      <c r="C202" t="s">
        <v>15</v>
      </c>
      <c r="D202" t="s">
        <v>1751</v>
      </c>
      <c r="E202" t="s">
        <v>1752</v>
      </c>
      <c r="F2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2" s="27">
        <f t="shared" si="18"/>
        <v>40056</v>
      </c>
      <c r="H202" s="7" t="str">
        <f t="shared" si="19"/>
        <v>16:21:13</v>
      </c>
      <c r="I202" s="8" t="str">
        <f t="shared" si="20"/>
        <v>Afternoon</v>
      </c>
      <c r="L202">
        <v>0</v>
      </c>
      <c r="M202">
        <v>0</v>
      </c>
      <c r="N202">
        <v>0</v>
      </c>
      <c r="O202" s="4">
        <f t="shared" si="21"/>
        <v>0</v>
      </c>
      <c r="P202" s="5" t="str">
        <f t="shared" si="22"/>
        <v>No engagement</v>
      </c>
      <c r="Q202" t="b">
        <v>0</v>
      </c>
      <c r="R202" t="b">
        <v>0</v>
      </c>
      <c r="S202" t="b">
        <v>1</v>
      </c>
      <c r="T202" s="24" t="str">
        <f t="shared" si="23"/>
        <v>Link</v>
      </c>
    </row>
    <row r="203" spans="1:20" hidden="1" x14ac:dyDescent="0.2">
      <c r="A203" t="s">
        <v>1747</v>
      </c>
      <c r="B203" t="s">
        <v>14</v>
      </c>
      <c r="C203" t="s">
        <v>15</v>
      </c>
      <c r="D203" t="s">
        <v>1748</v>
      </c>
      <c r="E203" t="s">
        <v>1749</v>
      </c>
      <c r="F2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3" s="27">
        <f t="shared" si="18"/>
        <v>40057</v>
      </c>
      <c r="H203" s="7" t="str">
        <f t="shared" si="19"/>
        <v>17:49:08</v>
      </c>
      <c r="I203" s="8" t="str">
        <f t="shared" si="20"/>
        <v>Afternoon</v>
      </c>
      <c r="L203">
        <v>0</v>
      </c>
      <c r="M203">
        <v>0</v>
      </c>
      <c r="N203">
        <v>0</v>
      </c>
      <c r="O203" s="4">
        <f t="shared" si="21"/>
        <v>0</v>
      </c>
      <c r="P203" s="5" t="str">
        <f t="shared" si="22"/>
        <v>No engagement</v>
      </c>
      <c r="Q203" t="b">
        <v>0</v>
      </c>
      <c r="R203" t="b">
        <v>0</v>
      </c>
      <c r="S203" t="b">
        <v>0</v>
      </c>
      <c r="T203" s="24" t="str">
        <f t="shared" si="23"/>
        <v>Text only</v>
      </c>
    </row>
    <row r="204" spans="1:20" hidden="1" x14ac:dyDescent="0.2">
      <c r="A204" t="s">
        <v>1741</v>
      </c>
      <c r="B204" t="s">
        <v>14</v>
      </c>
      <c r="C204" t="s">
        <v>15</v>
      </c>
      <c r="D204" t="s">
        <v>1742</v>
      </c>
      <c r="E204" t="s">
        <v>1743</v>
      </c>
      <c r="F2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4" s="27">
        <f t="shared" si="18"/>
        <v>40058</v>
      </c>
      <c r="H204" s="7" t="str">
        <f t="shared" si="19"/>
        <v>17:05:29</v>
      </c>
      <c r="I204" s="8" t="str">
        <f t="shared" si="20"/>
        <v>Afternoon</v>
      </c>
      <c r="L204">
        <v>0</v>
      </c>
      <c r="M204">
        <v>0</v>
      </c>
      <c r="N204">
        <v>0</v>
      </c>
      <c r="O204" s="4">
        <f t="shared" si="21"/>
        <v>0</v>
      </c>
      <c r="P204" s="5" t="str">
        <f t="shared" si="22"/>
        <v>No engagement</v>
      </c>
      <c r="Q204" t="b">
        <v>0</v>
      </c>
      <c r="R204" t="b">
        <v>0</v>
      </c>
      <c r="S204" t="b">
        <v>0</v>
      </c>
      <c r="T204" s="24" t="str">
        <f t="shared" si="23"/>
        <v>Text only</v>
      </c>
    </row>
    <row r="205" spans="1:20" hidden="1" x14ac:dyDescent="0.2">
      <c r="A205" t="s">
        <v>1738</v>
      </c>
      <c r="B205" t="s">
        <v>14</v>
      </c>
      <c r="C205" t="s">
        <v>15</v>
      </c>
      <c r="D205" t="s">
        <v>1739</v>
      </c>
      <c r="E205" t="s">
        <v>1740</v>
      </c>
      <c r="F2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5" s="27">
        <f t="shared" si="18"/>
        <v>40058</v>
      </c>
      <c r="H205" s="7" t="str">
        <f t="shared" si="19"/>
        <v>20:06:22</v>
      </c>
      <c r="I205" s="8" t="str">
        <f t="shared" si="20"/>
        <v>Evening</v>
      </c>
      <c r="L205">
        <v>0</v>
      </c>
      <c r="M205">
        <v>0</v>
      </c>
      <c r="N205">
        <v>0</v>
      </c>
      <c r="O205" s="4">
        <f t="shared" si="21"/>
        <v>0</v>
      </c>
      <c r="P205" s="5" t="str">
        <f t="shared" si="22"/>
        <v>No engagement</v>
      </c>
      <c r="Q205" t="b">
        <v>0</v>
      </c>
      <c r="R205" t="b">
        <v>0</v>
      </c>
      <c r="S205" t="b">
        <v>1</v>
      </c>
      <c r="T205" s="24" t="str">
        <f t="shared" si="23"/>
        <v>Link</v>
      </c>
    </row>
    <row r="206" spans="1:20" hidden="1" x14ac:dyDescent="0.2">
      <c r="A206" t="s">
        <v>1735</v>
      </c>
      <c r="B206" t="s">
        <v>14</v>
      </c>
      <c r="C206" t="s">
        <v>15</v>
      </c>
      <c r="D206" t="s">
        <v>1736</v>
      </c>
      <c r="E206" t="s">
        <v>1737</v>
      </c>
      <c r="F2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6" s="27">
        <f t="shared" si="18"/>
        <v>40058</v>
      </c>
      <c r="H206" s="7" t="str">
        <f t="shared" si="19"/>
        <v>22:15:51</v>
      </c>
      <c r="I206" s="8" t="str">
        <f t="shared" si="20"/>
        <v>Evening</v>
      </c>
      <c r="L206">
        <v>0</v>
      </c>
      <c r="M206">
        <v>0</v>
      </c>
      <c r="N206">
        <v>0</v>
      </c>
      <c r="O206" s="4">
        <f t="shared" si="21"/>
        <v>0</v>
      </c>
      <c r="P206" s="5" t="str">
        <f t="shared" si="22"/>
        <v>No engagement</v>
      </c>
      <c r="Q206" t="b">
        <v>0</v>
      </c>
      <c r="R206" t="b">
        <v>0</v>
      </c>
      <c r="S206" t="b">
        <v>1</v>
      </c>
      <c r="T206" s="24" t="str">
        <f t="shared" si="23"/>
        <v>Link</v>
      </c>
    </row>
    <row r="207" spans="1:20" hidden="1" x14ac:dyDescent="0.2">
      <c r="A207" t="s">
        <v>1732</v>
      </c>
      <c r="B207" t="s">
        <v>14</v>
      </c>
      <c r="C207" t="s">
        <v>15</v>
      </c>
      <c r="D207" t="s">
        <v>1733</v>
      </c>
      <c r="E207" t="s">
        <v>1734</v>
      </c>
      <c r="F2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7" s="27">
        <f t="shared" si="18"/>
        <v>40059</v>
      </c>
      <c r="H207" s="7" t="str">
        <f t="shared" si="19"/>
        <v>14:55:05</v>
      </c>
      <c r="I207" s="8" t="str">
        <f t="shared" si="20"/>
        <v>Afternoon</v>
      </c>
      <c r="J207" t="s">
        <v>1724</v>
      </c>
      <c r="L207">
        <v>0</v>
      </c>
      <c r="M207">
        <v>0</v>
      </c>
      <c r="N207">
        <v>0</v>
      </c>
      <c r="O207" s="4">
        <f t="shared" si="21"/>
        <v>0</v>
      </c>
      <c r="P207" s="5" t="str">
        <f t="shared" si="22"/>
        <v>No engagement</v>
      </c>
      <c r="Q207" t="b">
        <v>0</v>
      </c>
      <c r="R207" t="b">
        <v>0</v>
      </c>
      <c r="S207" t="b">
        <v>0</v>
      </c>
      <c r="T207" s="24" t="str">
        <f t="shared" si="23"/>
        <v>Text only</v>
      </c>
    </row>
    <row r="208" spans="1:20" hidden="1" x14ac:dyDescent="0.2">
      <c r="A208" t="s">
        <v>1729</v>
      </c>
      <c r="B208" t="s">
        <v>14</v>
      </c>
      <c r="C208" t="s">
        <v>15</v>
      </c>
      <c r="D208" t="s">
        <v>1730</v>
      </c>
      <c r="E208" t="s">
        <v>1731</v>
      </c>
      <c r="F2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8" s="27">
        <f t="shared" si="18"/>
        <v>40059</v>
      </c>
      <c r="H208" s="7" t="str">
        <f t="shared" si="19"/>
        <v>14:59:52</v>
      </c>
      <c r="I208" s="8" t="str">
        <f t="shared" si="20"/>
        <v>Afternoon</v>
      </c>
      <c r="J208" t="s">
        <v>1505</v>
      </c>
      <c r="L208">
        <v>0</v>
      </c>
      <c r="M208">
        <v>0</v>
      </c>
      <c r="N208">
        <v>0</v>
      </c>
      <c r="O208" s="4">
        <f t="shared" si="21"/>
        <v>0</v>
      </c>
      <c r="P208" s="5" t="str">
        <f t="shared" si="22"/>
        <v>No engagement</v>
      </c>
      <c r="Q208" t="b">
        <v>0</v>
      </c>
      <c r="R208" t="b">
        <v>0</v>
      </c>
      <c r="S208" t="b">
        <v>1</v>
      </c>
      <c r="T208" s="24" t="str">
        <f t="shared" si="23"/>
        <v>Link</v>
      </c>
    </row>
    <row r="209" spans="1:20" hidden="1" x14ac:dyDescent="0.2">
      <c r="A209" t="s">
        <v>1725</v>
      </c>
      <c r="B209" t="s">
        <v>14</v>
      </c>
      <c r="C209" t="s">
        <v>15</v>
      </c>
      <c r="D209" t="s">
        <v>1726</v>
      </c>
      <c r="E209" t="s">
        <v>1727</v>
      </c>
      <c r="F2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09" s="27">
        <f t="shared" si="18"/>
        <v>40059</v>
      </c>
      <c r="H209" s="7" t="str">
        <f t="shared" si="19"/>
        <v>15:06:02</v>
      </c>
      <c r="I209" s="8" t="str">
        <f t="shared" si="20"/>
        <v>Afternoon</v>
      </c>
      <c r="J209" t="s">
        <v>1728</v>
      </c>
      <c r="L209">
        <v>0</v>
      </c>
      <c r="M209">
        <v>0</v>
      </c>
      <c r="N209">
        <v>0</v>
      </c>
      <c r="O209" s="4">
        <f t="shared" si="21"/>
        <v>0</v>
      </c>
      <c r="P209" s="5" t="str">
        <f t="shared" si="22"/>
        <v>No engagement</v>
      </c>
      <c r="Q209" t="b">
        <v>0</v>
      </c>
      <c r="R209" t="b">
        <v>0</v>
      </c>
      <c r="S209" t="b">
        <v>0</v>
      </c>
      <c r="T209" s="24" t="str">
        <f t="shared" si="23"/>
        <v>Text only</v>
      </c>
    </row>
    <row r="210" spans="1:20" hidden="1" x14ac:dyDescent="0.2">
      <c r="A210" t="s">
        <v>1721</v>
      </c>
      <c r="B210" t="s">
        <v>14</v>
      </c>
      <c r="C210" t="s">
        <v>15</v>
      </c>
      <c r="D210" t="s">
        <v>1722</v>
      </c>
      <c r="E210" t="s">
        <v>1723</v>
      </c>
      <c r="F2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0" s="27">
        <f t="shared" si="18"/>
        <v>40060</v>
      </c>
      <c r="H210" s="7" t="str">
        <f t="shared" si="19"/>
        <v>15:20:44</v>
      </c>
      <c r="I210" s="8" t="str">
        <f t="shared" si="20"/>
        <v>Afternoon</v>
      </c>
      <c r="J210" t="s">
        <v>1724</v>
      </c>
      <c r="L210">
        <v>0</v>
      </c>
      <c r="M210">
        <v>0</v>
      </c>
      <c r="N210">
        <v>0</v>
      </c>
      <c r="O210" s="4">
        <f t="shared" si="21"/>
        <v>0</v>
      </c>
      <c r="P210" s="5" t="str">
        <f t="shared" si="22"/>
        <v>No engagement</v>
      </c>
      <c r="Q210" t="b">
        <v>0</v>
      </c>
      <c r="R210" t="b">
        <v>0</v>
      </c>
      <c r="S210" t="b">
        <v>0</v>
      </c>
      <c r="T210" s="24" t="str">
        <f t="shared" si="23"/>
        <v>Text only</v>
      </c>
    </row>
    <row r="211" spans="1:20" hidden="1" x14ac:dyDescent="0.2">
      <c r="A211" t="s">
        <v>1718</v>
      </c>
      <c r="B211" t="s">
        <v>14</v>
      </c>
      <c r="C211" t="s">
        <v>15</v>
      </c>
      <c r="D211" t="s">
        <v>1719</v>
      </c>
      <c r="E211" t="s">
        <v>1720</v>
      </c>
      <c r="F2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1" s="27">
        <f t="shared" si="18"/>
        <v>40062</v>
      </c>
      <c r="H211" s="7" t="str">
        <f t="shared" si="19"/>
        <v>00:17:47</v>
      </c>
      <c r="I211" s="8" t="str">
        <f t="shared" si="20"/>
        <v>Early morning</v>
      </c>
      <c r="L211">
        <v>0</v>
      </c>
      <c r="M211">
        <v>0</v>
      </c>
      <c r="N211">
        <v>0</v>
      </c>
      <c r="O211" s="4">
        <f t="shared" si="21"/>
        <v>0</v>
      </c>
      <c r="P211" s="5" t="str">
        <f t="shared" si="22"/>
        <v>No engagement</v>
      </c>
      <c r="Q211" t="b">
        <v>0</v>
      </c>
      <c r="R211" t="b">
        <v>0</v>
      </c>
      <c r="S211" t="b">
        <v>0</v>
      </c>
      <c r="T211" s="24" t="str">
        <f t="shared" si="23"/>
        <v>Text only</v>
      </c>
    </row>
    <row r="212" spans="1:20" hidden="1" x14ac:dyDescent="0.2">
      <c r="A212" t="s">
        <v>1715</v>
      </c>
      <c r="B212" t="s">
        <v>14</v>
      </c>
      <c r="C212" t="s">
        <v>15</v>
      </c>
      <c r="D212" t="s">
        <v>1716</v>
      </c>
      <c r="E212" t="s">
        <v>1717</v>
      </c>
      <c r="F2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2" s="27">
        <f t="shared" si="18"/>
        <v>40064</v>
      </c>
      <c r="H212" s="7" t="str">
        <f t="shared" si="19"/>
        <v>15:15:51</v>
      </c>
      <c r="I212" s="8" t="str">
        <f t="shared" si="20"/>
        <v>Afternoon</v>
      </c>
      <c r="L212">
        <v>0</v>
      </c>
      <c r="M212">
        <v>0</v>
      </c>
      <c r="N212">
        <v>0</v>
      </c>
      <c r="O212" s="4">
        <f t="shared" si="21"/>
        <v>0</v>
      </c>
      <c r="P212" s="5" t="str">
        <f t="shared" si="22"/>
        <v>No engagement</v>
      </c>
      <c r="Q212" t="b">
        <v>0</v>
      </c>
      <c r="R212" t="b">
        <v>0</v>
      </c>
      <c r="S212" t="b">
        <v>1</v>
      </c>
      <c r="T212" s="24" t="str">
        <f t="shared" si="23"/>
        <v>Link</v>
      </c>
    </row>
    <row r="213" spans="1:20" hidden="1" x14ac:dyDescent="0.2">
      <c r="A213" t="s">
        <v>1712</v>
      </c>
      <c r="B213" t="s">
        <v>14</v>
      </c>
      <c r="C213" t="s">
        <v>15</v>
      </c>
      <c r="D213" t="s">
        <v>1713</v>
      </c>
      <c r="E213" t="s">
        <v>1714</v>
      </c>
      <c r="F2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3" s="27">
        <f t="shared" si="18"/>
        <v>40064</v>
      </c>
      <c r="H213" s="7" t="str">
        <f t="shared" si="19"/>
        <v>18:15:58</v>
      </c>
      <c r="I213" s="8" t="str">
        <f t="shared" si="20"/>
        <v>Evening</v>
      </c>
      <c r="L213">
        <v>0</v>
      </c>
      <c r="M213">
        <v>0</v>
      </c>
      <c r="N213">
        <v>0</v>
      </c>
      <c r="O213" s="4">
        <f t="shared" si="21"/>
        <v>0</v>
      </c>
      <c r="P213" s="5" t="str">
        <f t="shared" si="22"/>
        <v>No engagement</v>
      </c>
      <c r="Q213" t="b">
        <v>0</v>
      </c>
      <c r="R213" t="b">
        <v>0</v>
      </c>
      <c r="S213" t="b">
        <v>1</v>
      </c>
      <c r="T213" s="24" t="str">
        <f t="shared" si="23"/>
        <v>Link</v>
      </c>
    </row>
    <row r="214" spans="1:20" hidden="1" x14ac:dyDescent="0.2">
      <c r="A214" t="s">
        <v>1709</v>
      </c>
      <c r="B214" t="s">
        <v>14</v>
      </c>
      <c r="C214" t="s">
        <v>15</v>
      </c>
      <c r="D214" t="s">
        <v>1710</v>
      </c>
      <c r="E214" t="s">
        <v>1711</v>
      </c>
      <c r="F2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4" s="27">
        <f t="shared" si="18"/>
        <v>40065</v>
      </c>
      <c r="H214" s="7" t="str">
        <f t="shared" si="19"/>
        <v>14:47:52</v>
      </c>
      <c r="I214" s="8" t="str">
        <f t="shared" si="20"/>
        <v>Afternoon</v>
      </c>
      <c r="L214">
        <v>0</v>
      </c>
      <c r="M214">
        <v>0</v>
      </c>
      <c r="N214">
        <v>0</v>
      </c>
      <c r="O214" s="4">
        <f t="shared" si="21"/>
        <v>0</v>
      </c>
      <c r="P214" s="5" t="str">
        <f t="shared" si="22"/>
        <v>No engagement</v>
      </c>
      <c r="Q214" t="b">
        <v>0</v>
      </c>
      <c r="R214" t="b">
        <v>0</v>
      </c>
      <c r="S214" t="b">
        <v>1</v>
      </c>
      <c r="T214" s="24" t="str">
        <f t="shared" si="23"/>
        <v>Link</v>
      </c>
    </row>
    <row r="215" spans="1:20" hidden="1" x14ac:dyDescent="0.2">
      <c r="A215" t="s">
        <v>1706</v>
      </c>
      <c r="B215" t="s">
        <v>14</v>
      </c>
      <c r="C215" t="s">
        <v>15</v>
      </c>
      <c r="D215" t="s">
        <v>1707</v>
      </c>
      <c r="E215" t="s">
        <v>1708</v>
      </c>
      <c r="F2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5" s="27">
        <f t="shared" si="18"/>
        <v>40065</v>
      </c>
      <c r="H215" s="7" t="str">
        <f t="shared" si="19"/>
        <v>22:04:40</v>
      </c>
      <c r="I215" s="8" t="str">
        <f t="shared" si="20"/>
        <v>Evening</v>
      </c>
      <c r="L215">
        <v>0</v>
      </c>
      <c r="M215">
        <v>0</v>
      </c>
      <c r="N215">
        <v>0</v>
      </c>
      <c r="O215" s="4">
        <f t="shared" si="21"/>
        <v>0</v>
      </c>
      <c r="P215" s="5" t="str">
        <f t="shared" si="22"/>
        <v>No engagement</v>
      </c>
      <c r="Q215" t="b">
        <v>0</v>
      </c>
      <c r="R215" t="b">
        <v>0</v>
      </c>
      <c r="S215" t="b">
        <v>0</v>
      </c>
      <c r="T215" s="24" t="str">
        <f t="shared" si="23"/>
        <v>Text only</v>
      </c>
    </row>
    <row r="216" spans="1:20" hidden="1" x14ac:dyDescent="0.2">
      <c r="A216" t="s">
        <v>1703</v>
      </c>
      <c r="B216" t="s">
        <v>14</v>
      </c>
      <c r="C216" t="s">
        <v>15</v>
      </c>
      <c r="D216" t="s">
        <v>1704</v>
      </c>
      <c r="E216" t="s">
        <v>1705</v>
      </c>
      <c r="F2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6" s="27">
        <f t="shared" si="18"/>
        <v>40065</v>
      </c>
      <c r="H216" s="7" t="str">
        <f t="shared" si="19"/>
        <v>22:09:01</v>
      </c>
      <c r="I216" s="8" t="str">
        <f t="shared" si="20"/>
        <v>Evening</v>
      </c>
      <c r="L216">
        <v>0</v>
      </c>
      <c r="M216">
        <v>0</v>
      </c>
      <c r="N216">
        <v>0</v>
      </c>
      <c r="O216" s="4">
        <f t="shared" si="21"/>
        <v>0</v>
      </c>
      <c r="P216" s="5" t="str">
        <f t="shared" si="22"/>
        <v>No engagement</v>
      </c>
      <c r="Q216" t="b">
        <v>0</v>
      </c>
      <c r="R216" t="b">
        <v>0</v>
      </c>
      <c r="S216" t="b">
        <v>1</v>
      </c>
      <c r="T216" s="24" t="str">
        <f t="shared" si="23"/>
        <v>Link</v>
      </c>
    </row>
    <row r="217" spans="1:20" hidden="1" x14ac:dyDescent="0.2">
      <c r="A217" t="s">
        <v>1700</v>
      </c>
      <c r="B217" t="s">
        <v>14</v>
      </c>
      <c r="C217" t="s">
        <v>15</v>
      </c>
      <c r="D217" t="s">
        <v>1701</v>
      </c>
      <c r="E217" t="s">
        <v>1702</v>
      </c>
      <c r="F2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7" s="27">
        <f t="shared" si="18"/>
        <v>40066</v>
      </c>
      <c r="H217" s="7" t="str">
        <f t="shared" si="19"/>
        <v>14:42:42</v>
      </c>
      <c r="I217" s="8" t="str">
        <f t="shared" si="20"/>
        <v>Afternoon</v>
      </c>
      <c r="J217" t="s">
        <v>721</v>
      </c>
      <c r="L217">
        <v>0</v>
      </c>
      <c r="M217">
        <v>0</v>
      </c>
      <c r="N217">
        <v>0</v>
      </c>
      <c r="O217" s="4">
        <f t="shared" si="21"/>
        <v>0</v>
      </c>
      <c r="P217" s="5" t="str">
        <f t="shared" si="22"/>
        <v>No engagement</v>
      </c>
      <c r="Q217" t="b">
        <v>0</v>
      </c>
      <c r="R217" t="b">
        <v>0</v>
      </c>
      <c r="S217" t="b">
        <v>0</v>
      </c>
      <c r="T217" s="24" t="str">
        <f t="shared" si="23"/>
        <v>Text only</v>
      </c>
    </row>
    <row r="218" spans="1:20" hidden="1" x14ac:dyDescent="0.2">
      <c r="A218" t="s">
        <v>1697</v>
      </c>
      <c r="B218" t="s">
        <v>14</v>
      </c>
      <c r="C218" t="s">
        <v>15</v>
      </c>
      <c r="D218" t="s">
        <v>1698</v>
      </c>
      <c r="E218" t="s">
        <v>1699</v>
      </c>
      <c r="F2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8" s="27">
        <f t="shared" si="18"/>
        <v>40066</v>
      </c>
      <c r="H218" s="7" t="str">
        <f t="shared" si="19"/>
        <v>15:05:21</v>
      </c>
      <c r="I218" s="8" t="str">
        <f t="shared" si="20"/>
        <v>Afternoon</v>
      </c>
      <c r="L218">
        <v>0</v>
      </c>
      <c r="M218">
        <v>0</v>
      </c>
      <c r="N218">
        <v>0</v>
      </c>
      <c r="O218" s="4">
        <f t="shared" si="21"/>
        <v>0</v>
      </c>
      <c r="P218" s="5" t="str">
        <f t="shared" si="22"/>
        <v>No engagement</v>
      </c>
      <c r="Q218" t="b">
        <v>0</v>
      </c>
      <c r="R218" t="b">
        <v>0</v>
      </c>
      <c r="S218" t="b">
        <v>1</v>
      </c>
      <c r="T218" s="24" t="str">
        <f t="shared" si="23"/>
        <v>Link</v>
      </c>
    </row>
    <row r="219" spans="1:20" hidden="1" x14ac:dyDescent="0.2">
      <c r="A219" t="s">
        <v>1694</v>
      </c>
      <c r="B219" t="s">
        <v>14</v>
      </c>
      <c r="C219" t="s">
        <v>15</v>
      </c>
      <c r="D219" t="s">
        <v>1695</v>
      </c>
      <c r="E219" t="s">
        <v>1696</v>
      </c>
      <c r="F2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19" s="27">
        <f t="shared" si="18"/>
        <v>40066</v>
      </c>
      <c r="H219" s="7" t="str">
        <f t="shared" si="19"/>
        <v>20:55:22</v>
      </c>
      <c r="I219" s="8" t="str">
        <f t="shared" si="20"/>
        <v>Evening</v>
      </c>
      <c r="L219">
        <v>0</v>
      </c>
      <c r="M219">
        <v>0</v>
      </c>
      <c r="N219">
        <v>0</v>
      </c>
      <c r="O219" s="4">
        <f t="shared" si="21"/>
        <v>0</v>
      </c>
      <c r="P219" s="5" t="str">
        <f t="shared" si="22"/>
        <v>No engagement</v>
      </c>
      <c r="Q219" t="b">
        <v>0</v>
      </c>
      <c r="R219" t="b">
        <v>0</v>
      </c>
      <c r="S219" t="b">
        <v>1</v>
      </c>
      <c r="T219" s="24" t="str">
        <f t="shared" si="23"/>
        <v>Link</v>
      </c>
    </row>
    <row r="220" spans="1:20" hidden="1" x14ac:dyDescent="0.2">
      <c r="A220" t="s">
        <v>1691</v>
      </c>
      <c r="B220" t="s">
        <v>14</v>
      </c>
      <c r="C220" t="s">
        <v>15</v>
      </c>
      <c r="D220" t="s">
        <v>1692</v>
      </c>
      <c r="E220" t="s">
        <v>1693</v>
      </c>
      <c r="F2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0" s="27">
        <f t="shared" si="18"/>
        <v>40066</v>
      </c>
      <c r="H220" s="7" t="str">
        <f t="shared" si="19"/>
        <v>22:54:12</v>
      </c>
      <c r="I220" s="8" t="str">
        <f t="shared" si="20"/>
        <v>Evening</v>
      </c>
      <c r="J220" t="s">
        <v>1690</v>
      </c>
      <c r="L220">
        <v>0</v>
      </c>
      <c r="M220">
        <v>0</v>
      </c>
      <c r="N220">
        <v>0</v>
      </c>
      <c r="O220" s="4">
        <f t="shared" si="21"/>
        <v>0</v>
      </c>
      <c r="P220" s="5" t="str">
        <f t="shared" si="22"/>
        <v>No engagement</v>
      </c>
      <c r="Q220" t="b">
        <v>0</v>
      </c>
      <c r="R220" t="b">
        <v>0</v>
      </c>
      <c r="S220" t="b">
        <v>0</v>
      </c>
      <c r="T220" s="24" t="str">
        <f t="shared" si="23"/>
        <v>Text only</v>
      </c>
    </row>
    <row r="221" spans="1:20" hidden="1" x14ac:dyDescent="0.2">
      <c r="A221" t="s">
        <v>1684</v>
      </c>
      <c r="B221" t="s">
        <v>14</v>
      </c>
      <c r="C221" t="s">
        <v>15</v>
      </c>
      <c r="D221" t="s">
        <v>1685</v>
      </c>
      <c r="E221" t="s">
        <v>1686</v>
      </c>
      <c r="F2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1" s="27">
        <f t="shared" si="18"/>
        <v>40067</v>
      </c>
      <c r="H221" s="7" t="str">
        <f t="shared" si="19"/>
        <v>18:14:04</v>
      </c>
      <c r="I221" s="8" t="str">
        <f t="shared" si="20"/>
        <v>Evening</v>
      </c>
      <c r="L221">
        <v>0</v>
      </c>
      <c r="M221">
        <v>0</v>
      </c>
      <c r="N221">
        <v>0</v>
      </c>
      <c r="O221" s="4">
        <f t="shared" si="21"/>
        <v>0</v>
      </c>
      <c r="P221" s="5" t="str">
        <f t="shared" si="22"/>
        <v>No engagement</v>
      </c>
      <c r="Q221" t="b">
        <v>0</v>
      </c>
      <c r="R221" t="b">
        <v>0</v>
      </c>
      <c r="S221" t="b">
        <v>1</v>
      </c>
      <c r="T221" s="24" t="str">
        <f t="shared" si="23"/>
        <v>Link</v>
      </c>
    </row>
    <row r="222" spans="1:20" hidden="1" x14ac:dyDescent="0.2">
      <c r="A222" t="s">
        <v>1680</v>
      </c>
      <c r="B222" t="s">
        <v>14</v>
      </c>
      <c r="C222" t="s">
        <v>15</v>
      </c>
      <c r="D222" t="s">
        <v>1681</v>
      </c>
      <c r="E222" t="s">
        <v>1682</v>
      </c>
      <c r="F2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2" s="27">
        <f t="shared" si="18"/>
        <v>40070</v>
      </c>
      <c r="H222" s="7" t="str">
        <f t="shared" si="19"/>
        <v>23:08:25</v>
      </c>
      <c r="I222" s="8" t="str">
        <f t="shared" si="20"/>
        <v>Evening</v>
      </c>
      <c r="L222">
        <v>0</v>
      </c>
      <c r="M222">
        <v>0</v>
      </c>
      <c r="N222">
        <v>0</v>
      </c>
      <c r="O222" s="4">
        <f t="shared" si="21"/>
        <v>0</v>
      </c>
      <c r="P222" s="5" t="str">
        <f t="shared" si="22"/>
        <v>No engagement</v>
      </c>
      <c r="Q222" t="b">
        <v>0</v>
      </c>
      <c r="R222" t="b">
        <v>0</v>
      </c>
      <c r="S222" t="b">
        <v>0</v>
      </c>
      <c r="T222" s="24" t="str">
        <f t="shared" si="23"/>
        <v>Text only</v>
      </c>
    </row>
    <row r="223" spans="1:20" hidden="1" x14ac:dyDescent="0.2">
      <c r="A223" t="s">
        <v>1677</v>
      </c>
      <c r="B223" t="s">
        <v>14</v>
      </c>
      <c r="C223" t="s">
        <v>15</v>
      </c>
      <c r="D223" t="s">
        <v>1678</v>
      </c>
      <c r="E223" t="s">
        <v>1679</v>
      </c>
      <c r="F2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3" s="27">
        <f t="shared" si="18"/>
        <v>40070</v>
      </c>
      <c r="H223" s="7" t="str">
        <f t="shared" si="19"/>
        <v>23:08:58</v>
      </c>
      <c r="I223" s="8" t="str">
        <f t="shared" si="20"/>
        <v>Evening</v>
      </c>
      <c r="L223">
        <v>0</v>
      </c>
      <c r="M223">
        <v>0</v>
      </c>
      <c r="N223">
        <v>0</v>
      </c>
      <c r="O223" s="4">
        <f t="shared" si="21"/>
        <v>0</v>
      </c>
      <c r="P223" s="5" t="str">
        <f t="shared" si="22"/>
        <v>No engagement</v>
      </c>
      <c r="Q223" t="b">
        <v>0</v>
      </c>
      <c r="R223" t="b">
        <v>0</v>
      </c>
      <c r="S223" t="b">
        <v>0</v>
      </c>
      <c r="T223" s="24" t="str">
        <f t="shared" si="23"/>
        <v>Text only</v>
      </c>
    </row>
    <row r="224" spans="1:20" hidden="1" x14ac:dyDescent="0.2">
      <c r="A224" t="s">
        <v>1673</v>
      </c>
      <c r="B224" t="s">
        <v>14</v>
      </c>
      <c r="C224" t="s">
        <v>15</v>
      </c>
      <c r="D224" t="s">
        <v>1674</v>
      </c>
      <c r="E224" t="s">
        <v>1675</v>
      </c>
      <c r="F2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4" s="27">
        <f t="shared" si="18"/>
        <v>40071</v>
      </c>
      <c r="H224" s="7" t="str">
        <f t="shared" si="19"/>
        <v>19:57:08</v>
      </c>
      <c r="I224" s="8" t="str">
        <f t="shared" si="20"/>
        <v>Evening</v>
      </c>
      <c r="J224" t="s">
        <v>1676</v>
      </c>
      <c r="L224">
        <v>0</v>
      </c>
      <c r="M224">
        <v>0</v>
      </c>
      <c r="N224">
        <v>0</v>
      </c>
      <c r="O224" s="4">
        <f t="shared" si="21"/>
        <v>0</v>
      </c>
      <c r="P224" s="5" t="str">
        <f t="shared" si="22"/>
        <v>No engagement</v>
      </c>
      <c r="Q224" t="b">
        <v>0</v>
      </c>
      <c r="R224" t="b">
        <v>0</v>
      </c>
      <c r="S224" t="b">
        <v>0</v>
      </c>
      <c r="T224" s="24" t="str">
        <f t="shared" si="23"/>
        <v>Text only</v>
      </c>
    </row>
    <row r="225" spans="1:20" hidden="1" x14ac:dyDescent="0.2">
      <c r="A225" t="s">
        <v>1670</v>
      </c>
      <c r="B225" t="s">
        <v>14</v>
      </c>
      <c r="C225" t="s">
        <v>15</v>
      </c>
      <c r="D225" t="s">
        <v>1671</v>
      </c>
      <c r="E225" t="s">
        <v>1672</v>
      </c>
      <c r="F2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5" s="27">
        <f t="shared" si="18"/>
        <v>40072</v>
      </c>
      <c r="H225" s="7" t="str">
        <f t="shared" si="19"/>
        <v>15:23:56</v>
      </c>
      <c r="I225" s="8" t="str">
        <f t="shared" si="20"/>
        <v>Afternoon</v>
      </c>
      <c r="L225">
        <v>0</v>
      </c>
      <c r="M225">
        <v>0</v>
      </c>
      <c r="N225">
        <v>0</v>
      </c>
      <c r="O225" s="4">
        <f t="shared" si="21"/>
        <v>0</v>
      </c>
      <c r="P225" s="5" t="str">
        <f t="shared" si="22"/>
        <v>No engagement</v>
      </c>
      <c r="Q225" t="b">
        <v>0</v>
      </c>
      <c r="R225" t="b">
        <v>0</v>
      </c>
      <c r="S225" t="b">
        <v>1</v>
      </c>
      <c r="T225" s="24" t="str">
        <f t="shared" si="23"/>
        <v>Link</v>
      </c>
    </row>
    <row r="226" spans="1:20" hidden="1" x14ac:dyDescent="0.2">
      <c r="A226" t="s">
        <v>1664</v>
      </c>
      <c r="B226" t="s">
        <v>14</v>
      </c>
      <c r="C226" t="s">
        <v>15</v>
      </c>
      <c r="D226" t="s">
        <v>1665</v>
      </c>
      <c r="E226" t="s">
        <v>1666</v>
      </c>
      <c r="F2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6" s="27">
        <f t="shared" si="18"/>
        <v>40077</v>
      </c>
      <c r="H226" s="7" t="str">
        <f t="shared" si="19"/>
        <v>15:07:30</v>
      </c>
      <c r="I226" s="8" t="str">
        <f t="shared" si="20"/>
        <v>Afternoon</v>
      </c>
      <c r="J226" t="s">
        <v>54</v>
      </c>
      <c r="L226">
        <v>0</v>
      </c>
      <c r="M226">
        <v>0</v>
      </c>
      <c r="N226">
        <v>0</v>
      </c>
      <c r="O226" s="4">
        <f t="shared" si="21"/>
        <v>0</v>
      </c>
      <c r="P226" s="5" t="str">
        <f t="shared" si="22"/>
        <v>No engagement</v>
      </c>
      <c r="Q226" t="b">
        <v>0</v>
      </c>
      <c r="R226" t="b">
        <v>0</v>
      </c>
      <c r="S226" t="b">
        <v>0</v>
      </c>
      <c r="T226" s="24" t="str">
        <f t="shared" si="23"/>
        <v>Text only</v>
      </c>
    </row>
    <row r="227" spans="1:20" hidden="1" x14ac:dyDescent="0.2">
      <c r="A227" t="s">
        <v>1661</v>
      </c>
      <c r="B227" t="s">
        <v>14</v>
      </c>
      <c r="C227" t="s">
        <v>15</v>
      </c>
      <c r="D227" t="s">
        <v>1662</v>
      </c>
      <c r="E227" t="s">
        <v>1663</v>
      </c>
      <c r="F2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7" s="27">
        <f t="shared" si="18"/>
        <v>40077</v>
      </c>
      <c r="H227" s="7" t="str">
        <f t="shared" si="19"/>
        <v>17:52:56</v>
      </c>
      <c r="I227" s="8" t="str">
        <f t="shared" si="20"/>
        <v>Afternoon</v>
      </c>
      <c r="L227">
        <v>0</v>
      </c>
      <c r="M227">
        <v>0</v>
      </c>
      <c r="N227">
        <v>0</v>
      </c>
      <c r="O227" s="4">
        <f t="shared" si="21"/>
        <v>0</v>
      </c>
      <c r="P227" s="5" t="str">
        <f t="shared" si="22"/>
        <v>No engagement</v>
      </c>
      <c r="Q227" t="b">
        <v>0</v>
      </c>
      <c r="R227" t="b">
        <v>0</v>
      </c>
      <c r="S227" t="b">
        <v>1</v>
      </c>
      <c r="T227" s="24" t="str">
        <f t="shared" si="23"/>
        <v>Link</v>
      </c>
    </row>
    <row r="228" spans="1:20" hidden="1" x14ac:dyDescent="0.2">
      <c r="A228" t="s">
        <v>1658</v>
      </c>
      <c r="B228" t="s">
        <v>14</v>
      </c>
      <c r="C228" t="s">
        <v>15</v>
      </c>
      <c r="D228" t="s">
        <v>1659</v>
      </c>
      <c r="E228" t="s">
        <v>1660</v>
      </c>
      <c r="F2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8" s="27">
        <f t="shared" si="18"/>
        <v>40078</v>
      </c>
      <c r="H228" s="7" t="str">
        <f t="shared" si="19"/>
        <v>16:59:06</v>
      </c>
      <c r="I228" s="8" t="str">
        <f t="shared" si="20"/>
        <v>Afternoon</v>
      </c>
      <c r="L228">
        <v>0</v>
      </c>
      <c r="M228">
        <v>0</v>
      </c>
      <c r="N228">
        <v>0</v>
      </c>
      <c r="O228" s="4">
        <f t="shared" si="21"/>
        <v>0</v>
      </c>
      <c r="P228" s="5" t="str">
        <f t="shared" si="22"/>
        <v>No engagement</v>
      </c>
      <c r="Q228" t="b">
        <v>0</v>
      </c>
      <c r="R228" t="b">
        <v>0</v>
      </c>
      <c r="S228" t="b">
        <v>0</v>
      </c>
      <c r="T228" s="24" t="str">
        <f t="shared" si="23"/>
        <v>Text only</v>
      </c>
    </row>
    <row r="229" spans="1:20" hidden="1" x14ac:dyDescent="0.2">
      <c r="A229" t="s">
        <v>1655</v>
      </c>
      <c r="B229" t="s">
        <v>14</v>
      </c>
      <c r="C229" t="s">
        <v>15</v>
      </c>
      <c r="D229" t="s">
        <v>1656</v>
      </c>
      <c r="E229" t="s">
        <v>1657</v>
      </c>
      <c r="F2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29" s="27">
        <f t="shared" si="18"/>
        <v>40078</v>
      </c>
      <c r="H229" s="7" t="str">
        <f t="shared" si="19"/>
        <v>20:33:50</v>
      </c>
      <c r="I229" s="8" t="str">
        <f t="shared" si="20"/>
        <v>Evening</v>
      </c>
      <c r="L229">
        <v>0</v>
      </c>
      <c r="M229">
        <v>0</v>
      </c>
      <c r="N229">
        <v>0</v>
      </c>
      <c r="O229" s="4">
        <f t="shared" si="21"/>
        <v>0</v>
      </c>
      <c r="P229" s="5" t="str">
        <f t="shared" si="22"/>
        <v>No engagement</v>
      </c>
      <c r="Q229" t="b">
        <v>0</v>
      </c>
      <c r="R229" t="b">
        <v>0</v>
      </c>
      <c r="S229" t="b">
        <v>1</v>
      </c>
      <c r="T229" s="24" t="str">
        <f t="shared" si="23"/>
        <v>Link</v>
      </c>
    </row>
    <row r="230" spans="1:20" hidden="1" x14ac:dyDescent="0.2">
      <c r="A230" t="s">
        <v>1652</v>
      </c>
      <c r="B230" t="s">
        <v>14</v>
      </c>
      <c r="C230" t="s">
        <v>15</v>
      </c>
      <c r="D230" t="s">
        <v>1653</v>
      </c>
      <c r="E230" t="s">
        <v>1654</v>
      </c>
      <c r="F2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0" s="27">
        <f t="shared" si="18"/>
        <v>40078</v>
      </c>
      <c r="H230" s="7" t="str">
        <f t="shared" si="19"/>
        <v>22:04:29</v>
      </c>
      <c r="I230" s="8" t="str">
        <f t="shared" si="20"/>
        <v>Evening</v>
      </c>
      <c r="L230">
        <v>0</v>
      </c>
      <c r="M230">
        <v>0</v>
      </c>
      <c r="N230">
        <v>0</v>
      </c>
      <c r="O230" s="4">
        <f t="shared" si="21"/>
        <v>0</v>
      </c>
      <c r="P230" s="5" t="str">
        <f t="shared" si="22"/>
        <v>No engagement</v>
      </c>
      <c r="Q230" t="b">
        <v>0</v>
      </c>
      <c r="R230" t="b">
        <v>0</v>
      </c>
      <c r="S230" t="b">
        <v>1</v>
      </c>
      <c r="T230" s="24" t="str">
        <f t="shared" si="23"/>
        <v>Link</v>
      </c>
    </row>
    <row r="231" spans="1:20" hidden="1" x14ac:dyDescent="0.2">
      <c r="A231" t="s">
        <v>1649</v>
      </c>
      <c r="B231" t="s">
        <v>14</v>
      </c>
      <c r="C231" t="s">
        <v>15</v>
      </c>
      <c r="D231" t="s">
        <v>1650</v>
      </c>
      <c r="E231" t="s">
        <v>1651</v>
      </c>
      <c r="F2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1" s="27">
        <f t="shared" si="18"/>
        <v>40079</v>
      </c>
      <c r="H231" s="7" t="str">
        <f t="shared" si="19"/>
        <v>16:14:17</v>
      </c>
      <c r="I231" s="8" t="str">
        <f t="shared" si="20"/>
        <v>Afternoon</v>
      </c>
      <c r="L231">
        <v>0</v>
      </c>
      <c r="M231">
        <v>0</v>
      </c>
      <c r="N231">
        <v>0</v>
      </c>
      <c r="O231" s="4">
        <f t="shared" si="21"/>
        <v>0</v>
      </c>
      <c r="P231" s="5" t="str">
        <f t="shared" si="22"/>
        <v>No engagement</v>
      </c>
      <c r="Q231" t="b">
        <v>0</v>
      </c>
      <c r="R231" t="b">
        <v>0</v>
      </c>
      <c r="S231" t="b">
        <v>1</v>
      </c>
      <c r="T231" s="24" t="str">
        <f t="shared" si="23"/>
        <v>Link</v>
      </c>
    </row>
    <row r="232" spans="1:20" hidden="1" x14ac:dyDescent="0.2">
      <c r="A232" t="s">
        <v>1646</v>
      </c>
      <c r="B232" t="s">
        <v>14</v>
      </c>
      <c r="C232" t="s">
        <v>15</v>
      </c>
      <c r="D232" t="s">
        <v>1647</v>
      </c>
      <c r="E232" t="s">
        <v>1648</v>
      </c>
      <c r="F2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2" s="27">
        <f t="shared" si="18"/>
        <v>40079</v>
      </c>
      <c r="H232" s="7" t="str">
        <f t="shared" si="19"/>
        <v>16:27:00</v>
      </c>
      <c r="I232" s="8" t="str">
        <f t="shared" si="20"/>
        <v>Afternoon</v>
      </c>
      <c r="J232" t="s">
        <v>576</v>
      </c>
      <c r="L232">
        <v>0</v>
      </c>
      <c r="M232">
        <v>0</v>
      </c>
      <c r="N232">
        <v>0</v>
      </c>
      <c r="O232" s="4">
        <f t="shared" si="21"/>
        <v>0</v>
      </c>
      <c r="P232" s="5" t="str">
        <f t="shared" si="22"/>
        <v>No engagement</v>
      </c>
      <c r="Q232" t="b">
        <v>0</v>
      </c>
      <c r="R232" t="b">
        <v>0</v>
      </c>
      <c r="S232" t="b">
        <v>0</v>
      </c>
      <c r="T232" s="24" t="str">
        <f t="shared" si="23"/>
        <v>Text only</v>
      </c>
    </row>
    <row r="233" spans="1:20" hidden="1" x14ac:dyDescent="0.2">
      <c r="A233" t="s">
        <v>1640</v>
      </c>
      <c r="B233" t="s">
        <v>14</v>
      </c>
      <c r="C233" t="s">
        <v>15</v>
      </c>
      <c r="D233" t="s">
        <v>1641</v>
      </c>
      <c r="E233" t="s">
        <v>1642</v>
      </c>
      <c r="F2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3" s="27">
        <f t="shared" si="18"/>
        <v>40080</v>
      </c>
      <c r="H233" s="7" t="str">
        <f t="shared" si="19"/>
        <v>03:50:41</v>
      </c>
      <c r="I233" s="8" t="str">
        <f t="shared" si="20"/>
        <v>Early morning</v>
      </c>
      <c r="L233">
        <v>0</v>
      </c>
      <c r="M233">
        <v>0</v>
      </c>
      <c r="N233">
        <v>0</v>
      </c>
      <c r="O233" s="4">
        <f t="shared" si="21"/>
        <v>0</v>
      </c>
      <c r="P233" s="5" t="str">
        <f t="shared" si="22"/>
        <v>No engagement</v>
      </c>
      <c r="Q233" t="b">
        <v>0</v>
      </c>
      <c r="R233" t="b">
        <v>0</v>
      </c>
      <c r="S233" t="b">
        <v>0</v>
      </c>
      <c r="T233" s="24" t="str">
        <f t="shared" si="23"/>
        <v>Text only</v>
      </c>
    </row>
    <row r="234" spans="1:20" hidden="1" x14ac:dyDescent="0.2">
      <c r="A234" t="s">
        <v>1637</v>
      </c>
      <c r="B234" t="s">
        <v>14</v>
      </c>
      <c r="C234" t="s">
        <v>15</v>
      </c>
      <c r="D234" t="s">
        <v>1638</v>
      </c>
      <c r="E234" t="s">
        <v>1639</v>
      </c>
      <c r="F2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4" s="27">
        <f t="shared" si="18"/>
        <v>40080</v>
      </c>
      <c r="H234" s="7" t="str">
        <f t="shared" si="19"/>
        <v>14:58:16</v>
      </c>
      <c r="I234" s="8" t="str">
        <f t="shared" si="20"/>
        <v>Afternoon</v>
      </c>
      <c r="L234">
        <v>0</v>
      </c>
      <c r="M234">
        <v>0</v>
      </c>
      <c r="N234">
        <v>0</v>
      </c>
      <c r="O234" s="4">
        <f t="shared" si="21"/>
        <v>0</v>
      </c>
      <c r="P234" s="5" t="str">
        <f t="shared" si="22"/>
        <v>No engagement</v>
      </c>
      <c r="Q234" t="b">
        <v>0</v>
      </c>
      <c r="R234" t="b">
        <v>0</v>
      </c>
      <c r="S234" t="b">
        <v>0</v>
      </c>
      <c r="T234" s="24" t="str">
        <f t="shared" si="23"/>
        <v>Text only</v>
      </c>
    </row>
    <row r="235" spans="1:20" hidden="1" x14ac:dyDescent="0.2">
      <c r="A235" t="s">
        <v>1634</v>
      </c>
      <c r="B235" t="s">
        <v>14</v>
      </c>
      <c r="C235" t="s">
        <v>15</v>
      </c>
      <c r="D235" t="s">
        <v>1635</v>
      </c>
      <c r="E235" t="s">
        <v>1636</v>
      </c>
      <c r="F2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5" s="27">
        <f t="shared" si="18"/>
        <v>40080</v>
      </c>
      <c r="H235" s="7" t="str">
        <f t="shared" si="19"/>
        <v>15:01:42</v>
      </c>
      <c r="I235" s="8" t="str">
        <f t="shared" si="20"/>
        <v>Afternoon</v>
      </c>
      <c r="J235" t="s">
        <v>1500</v>
      </c>
      <c r="L235">
        <v>0</v>
      </c>
      <c r="M235">
        <v>0</v>
      </c>
      <c r="N235">
        <v>0</v>
      </c>
      <c r="O235" s="4">
        <f t="shared" si="21"/>
        <v>0</v>
      </c>
      <c r="P235" s="5" t="str">
        <f t="shared" si="22"/>
        <v>No engagement</v>
      </c>
      <c r="Q235" t="b">
        <v>0</v>
      </c>
      <c r="R235" t="b">
        <v>0</v>
      </c>
      <c r="S235" t="b">
        <v>0</v>
      </c>
      <c r="T235" s="24" t="str">
        <f t="shared" si="23"/>
        <v>Text only</v>
      </c>
    </row>
    <row r="236" spans="1:20" hidden="1" x14ac:dyDescent="0.2">
      <c r="A236" t="s">
        <v>1630</v>
      </c>
      <c r="B236" t="s">
        <v>14</v>
      </c>
      <c r="C236" t="s">
        <v>15</v>
      </c>
      <c r="D236" t="s">
        <v>1631</v>
      </c>
      <c r="E236" t="s">
        <v>1632</v>
      </c>
      <c r="F2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6" s="27">
        <f t="shared" si="18"/>
        <v>40080</v>
      </c>
      <c r="H236" s="7" t="str">
        <f t="shared" si="19"/>
        <v>15:21:48</v>
      </c>
      <c r="I236" s="8" t="str">
        <f t="shared" si="20"/>
        <v>Afternoon</v>
      </c>
      <c r="J236" t="s">
        <v>1633</v>
      </c>
      <c r="L236">
        <v>0</v>
      </c>
      <c r="M236">
        <v>0</v>
      </c>
      <c r="N236">
        <v>0</v>
      </c>
      <c r="O236" s="4">
        <f t="shared" si="21"/>
        <v>0</v>
      </c>
      <c r="P236" s="5" t="str">
        <f t="shared" si="22"/>
        <v>No engagement</v>
      </c>
      <c r="Q236" t="b">
        <v>0</v>
      </c>
      <c r="R236" t="b">
        <v>0</v>
      </c>
      <c r="S236" t="b">
        <v>0</v>
      </c>
      <c r="T236" s="24" t="str">
        <f t="shared" si="23"/>
        <v>Text only</v>
      </c>
    </row>
    <row r="237" spans="1:20" hidden="1" x14ac:dyDescent="0.2">
      <c r="A237" t="s">
        <v>1627</v>
      </c>
      <c r="B237" t="s">
        <v>14</v>
      </c>
      <c r="C237" t="s">
        <v>15</v>
      </c>
      <c r="D237" t="s">
        <v>1628</v>
      </c>
      <c r="E237" t="s">
        <v>1629</v>
      </c>
      <c r="F2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7" s="27">
        <f t="shared" si="18"/>
        <v>40080</v>
      </c>
      <c r="H237" s="7" t="str">
        <f t="shared" si="19"/>
        <v>15:34:32</v>
      </c>
      <c r="I237" s="8" t="str">
        <f t="shared" si="20"/>
        <v>Afternoon</v>
      </c>
      <c r="L237">
        <v>0</v>
      </c>
      <c r="M237">
        <v>0</v>
      </c>
      <c r="N237">
        <v>0</v>
      </c>
      <c r="O237" s="4">
        <f t="shared" si="21"/>
        <v>0</v>
      </c>
      <c r="P237" s="5" t="str">
        <f t="shared" si="22"/>
        <v>No engagement</v>
      </c>
      <c r="Q237" t="b">
        <v>0</v>
      </c>
      <c r="R237" t="b">
        <v>0</v>
      </c>
      <c r="S237" t="b">
        <v>0</v>
      </c>
      <c r="T237" s="24" t="str">
        <f t="shared" si="23"/>
        <v>Text only</v>
      </c>
    </row>
    <row r="238" spans="1:20" hidden="1" x14ac:dyDescent="0.2">
      <c r="A238" t="s">
        <v>1624</v>
      </c>
      <c r="B238" t="s">
        <v>14</v>
      </c>
      <c r="C238" t="s">
        <v>15</v>
      </c>
      <c r="D238" t="s">
        <v>1625</v>
      </c>
      <c r="E238" t="s">
        <v>1626</v>
      </c>
      <c r="F2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8" s="27">
        <f t="shared" si="18"/>
        <v>40080</v>
      </c>
      <c r="H238" s="7" t="str">
        <f t="shared" si="19"/>
        <v>15:38:31</v>
      </c>
      <c r="I238" s="8" t="str">
        <f t="shared" si="20"/>
        <v>Afternoon</v>
      </c>
      <c r="L238">
        <v>0</v>
      </c>
      <c r="M238">
        <v>0</v>
      </c>
      <c r="N238">
        <v>0</v>
      </c>
      <c r="O238" s="4">
        <f t="shared" si="21"/>
        <v>0</v>
      </c>
      <c r="P238" s="5" t="str">
        <f t="shared" si="22"/>
        <v>No engagement</v>
      </c>
      <c r="Q238" t="b">
        <v>0</v>
      </c>
      <c r="R238" t="b">
        <v>0</v>
      </c>
      <c r="S238" t="b">
        <v>1</v>
      </c>
      <c r="T238" s="24" t="str">
        <f t="shared" si="23"/>
        <v>Link</v>
      </c>
    </row>
    <row r="239" spans="1:20" hidden="1" x14ac:dyDescent="0.2">
      <c r="A239" t="s">
        <v>1621</v>
      </c>
      <c r="B239" t="s">
        <v>14</v>
      </c>
      <c r="C239" t="s">
        <v>15</v>
      </c>
      <c r="D239" t="s">
        <v>1622</v>
      </c>
      <c r="E239" t="s">
        <v>1623</v>
      </c>
      <c r="F2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39" s="27">
        <f t="shared" si="18"/>
        <v>40080</v>
      </c>
      <c r="H239" s="7" t="str">
        <f t="shared" si="19"/>
        <v>16:02:45</v>
      </c>
      <c r="I239" s="8" t="str">
        <f t="shared" si="20"/>
        <v>Afternoon</v>
      </c>
      <c r="L239">
        <v>0</v>
      </c>
      <c r="M239">
        <v>0</v>
      </c>
      <c r="N239">
        <v>0</v>
      </c>
      <c r="O239" s="4">
        <f t="shared" si="21"/>
        <v>0</v>
      </c>
      <c r="P239" s="5" t="str">
        <f t="shared" si="22"/>
        <v>No engagement</v>
      </c>
      <c r="Q239" t="b">
        <v>0</v>
      </c>
      <c r="R239" t="b">
        <v>0</v>
      </c>
      <c r="S239" t="b">
        <v>1</v>
      </c>
      <c r="T239" s="24" t="str">
        <f t="shared" si="23"/>
        <v>Link</v>
      </c>
    </row>
    <row r="240" spans="1:20" hidden="1" x14ac:dyDescent="0.2">
      <c r="A240" t="s">
        <v>1618</v>
      </c>
      <c r="B240" t="s">
        <v>14</v>
      </c>
      <c r="C240" t="s">
        <v>15</v>
      </c>
      <c r="D240" t="s">
        <v>1619</v>
      </c>
      <c r="E240" t="s">
        <v>1620</v>
      </c>
      <c r="F2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0" s="27">
        <f t="shared" si="18"/>
        <v>40080</v>
      </c>
      <c r="H240" s="7" t="str">
        <f t="shared" si="19"/>
        <v>16:04:11</v>
      </c>
      <c r="I240" s="8" t="str">
        <f t="shared" si="20"/>
        <v>Afternoon</v>
      </c>
      <c r="L240">
        <v>0</v>
      </c>
      <c r="M240">
        <v>0</v>
      </c>
      <c r="N240">
        <v>0</v>
      </c>
      <c r="O240" s="4">
        <f t="shared" si="21"/>
        <v>0</v>
      </c>
      <c r="P240" s="5" t="str">
        <f t="shared" si="22"/>
        <v>No engagement</v>
      </c>
      <c r="Q240" t="b">
        <v>0</v>
      </c>
      <c r="R240" t="b">
        <v>0</v>
      </c>
      <c r="S240" t="b">
        <v>1</v>
      </c>
      <c r="T240" s="24" t="str">
        <f t="shared" si="23"/>
        <v>Link</v>
      </c>
    </row>
    <row r="241" spans="1:20" hidden="1" x14ac:dyDescent="0.2">
      <c r="A241" t="s">
        <v>1615</v>
      </c>
      <c r="B241" t="s">
        <v>14</v>
      </c>
      <c r="C241" t="s">
        <v>15</v>
      </c>
      <c r="D241" t="s">
        <v>1616</v>
      </c>
      <c r="E241" t="s">
        <v>1617</v>
      </c>
      <c r="F2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1" s="27">
        <f t="shared" si="18"/>
        <v>40080</v>
      </c>
      <c r="H241" s="7" t="str">
        <f t="shared" si="19"/>
        <v>16:06:01</v>
      </c>
      <c r="I241" s="8" t="str">
        <f t="shared" si="20"/>
        <v>Afternoon</v>
      </c>
      <c r="L241">
        <v>0</v>
      </c>
      <c r="M241">
        <v>0</v>
      </c>
      <c r="N241">
        <v>0</v>
      </c>
      <c r="O241" s="4">
        <f t="shared" si="21"/>
        <v>0</v>
      </c>
      <c r="P241" s="5" t="str">
        <f t="shared" si="22"/>
        <v>No engagement</v>
      </c>
      <c r="Q241" t="b">
        <v>0</v>
      </c>
      <c r="R241" t="b">
        <v>0</v>
      </c>
      <c r="S241" t="b">
        <v>1</v>
      </c>
      <c r="T241" s="24" t="str">
        <f t="shared" si="23"/>
        <v>Link</v>
      </c>
    </row>
    <row r="242" spans="1:20" hidden="1" x14ac:dyDescent="0.2">
      <c r="A242" t="s">
        <v>1612</v>
      </c>
      <c r="B242" t="s">
        <v>14</v>
      </c>
      <c r="C242" t="s">
        <v>15</v>
      </c>
      <c r="D242" t="s">
        <v>1613</v>
      </c>
      <c r="E242" t="s">
        <v>1614</v>
      </c>
      <c r="F2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2" s="27">
        <f t="shared" si="18"/>
        <v>40080</v>
      </c>
      <c r="H242" s="7" t="str">
        <f t="shared" si="19"/>
        <v>16:07:45</v>
      </c>
      <c r="I242" s="8" t="str">
        <f t="shared" si="20"/>
        <v>Afternoon</v>
      </c>
      <c r="L242">
        <v>0</v>
      </c>
      <c r="M242">
        <v>0</v>
      </c>
      <c r="N242">
        <v>0</v>
      </c>
      <c r="O242" s="4">
        <f t="shared" si="21"/>
        <v>0</v>
      </c>
      <c r="P242" s="5" t="str">
        <f t="shared" si="22"/>
        <v>No engagement</v>
      </c>
      <c r="Q242" t="b">
        <v>0</v>
      </c>
      <c r="R242" t="b">
        <v>0</v>
      </c>
      <c r="S242" t="b">
        <v>1</v>
      </c>
      <c r="T242" s="24" t="str">
        <f t="shared" si="23"/>
        <v>Link</v>
      </c>
    </row>
    <row r="243" spans="1:20" hidden="1" x14ac:dyDescent="0.2">
      <c r="A243" t="s">
        <v>1609</v>
      </c>
      <c r="B243" t="s">
        <v>14</v>
      </c>
      <c r="C243" t="s">
        <v>15</v>
      </c>
      <c r="D243" t="s">
        <v>1610</v>
      </c>
      <c r="E243" t="s">
        <v>1611</v>
      </c>
      <c r="F2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3" s="27">
        <f t="shared" si="18"/>
        <v>40080</v>
      </c>
      <c r="H243" s="7" t="str">
        <f t="shared" si="19"/>
        <v>16:08:01</v>
      </c>
      <c r="I243" s="8" t="str">
        <f t="shared" si="20"/>
        <v>Afternoon</v>
      </c>
      <c r="L243">
        <v>0</v>
      </c>
      <c r="M243">
        <v>0</v>
      </c>
      <c r="N243">
        <v>0</v>
      </c>
      <c r="O243" s="4">
        <f t="shared" si="21"/>
        <v>0</v>
      </c>
      <c r="P243" s="5" t="str">
        <f t="shared" si="22"/>
        <v>No engagement</v>
      </c>
      <c r="Q243" t="b">
        <v>0</v>
      </c>
      <c r="R243" t="b">
        <v>0</v>
      </c>
      <c r="S243" t="b">
        <v>1</v>
      </c>
      <c r="T243" s="24" t="str">
        <f t="shared" si="23"/>
        <v>Link</v>
      </c>
    </row>
    <row r="244" spans="1:20" hidden="1" x14ac:dyDescent="0.2">
      <c r="A244" t="s">
        <v>1606</v>
      </c>
      <c r="B244" t="s">
        <v>14</v>
      </c>
      <c r="C244" t="s">
        <v>15</v>
      </c>
      <c r="D244" t="s">
        <v>1607</v>
      </c>
      <c r="E244" t="s">
        <v>1608</v>
      </c>
      <c r="F2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4" s="27">
        <f t="shared" si="18"/>
        <v>40080</v>
      </c>
      <c r="H244" s="7" t="str">
        <f t="shared" si="19"/>
        <v>16:09:12</v>
      </c>
      <c r="I244" s="8" t="str">
        <f t="shared" si="20"/>
        <v>Afternoon</v>
      </c>
      <c r="L244">
        <v>0</v>
      </c>
      <c r="M244">
        <v>0</v>
      </c>
      <c r="N244">
        <v>0</v>
      </c>
      <c r="O244" s="4">
        <f t="shared" si="21"/>
        <v>0</v>
      </c>
      <c r="P244" s="5" t="str">
        <f t="shared" si="22"/>
        <v>No engagement</v>
      </c>
      <c r="Q244" t="b">
        <v>0</v>
      </c>
      <c r="R244" t="b">
        <v>0</v>
      </c>
      <c r="S244" t="b">
        <v>1</v>
      </c>
      <c r="T244" s="24" t="str">
        <f t="shared" si="23"/>
        <v>Link</v>
      </c>
    </row>
    <row r="245" spans="1:20" hidden="1" x14ac:dyDescent="0.2">
      <c r="A245" t="s">
        <v>1597</v>
      </c>
      <c r="B245" t="s">
        <v>14</v>
      </c>
      <c r="C245" t="s">
        <v>15</v>
      </c>
      <c r="D245" t="s">
        <v>1598</v>
      </c>
      <c r="E245" t="s">
        <v>1599</v>
      </c>
      <c r="F2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5" s="27">
        <f t="shared" si="18"/>
        <v>40080</v>
      </c>
      <c r="H245" s="7" t="str">
        <f t="shared" si="19"/>
        <v>16:12:16</v>
      </c>
      <c r="I245" s="8" t="str">
        <f t="shared" si="20"/>
        <v>Afternoon</v>
      </c>
      <c r="L245">
        <v>0</v>
      </c>
      <c r="M245">
        <v>0</v>
      </c>
      <c r="N245">
        <v>0</v>
      </c>
      <c r="O245" s="4">
        <f t="shared" si="21"/>
        <v>0</v>
      </c>
      <c r="P245" s="5" t="str">
        <f t="shared" si="22"/>
        <v>No engagement</v>
      </c>
      <c r="Q245" t="b">
        <v>0</v>
      </c>
      <c r="R245" t="b">
        <v>0</v>
      </c>
      <c r="S245" t="b">
        <v>1</v>
      </c>
      <c r="T245" s="24" t="str">
        <f t="shared" si="23"/>
        <v>Link</v>
      </c>
    </row>
    <row r="246" spans="1:20" hidden="1" x14ac:dyDescent="0.2">
      <c r="A246" t="s">
        <v>1594</v>
      </c>
      <c r="B246" t="s">
        <v>14</v>
      </c>
      <c r="C246" t="s">
        <v>15</v>
      </c>
      <c r="D246" t="s">
        <v>1595</v>
      </c>
      <c r="E246" t="s">
        <v>1596</v>
      </c>
      <c r="F2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6" s="27">
        <f t="shared" si="18"/>
        <v>40080</v>
      </c>
      <c r="H246" s="7" t="str">
        <f t="shared" si="19"/>
        <v>16:12:46</v>
      </c>
      <c r="I246" s="8" t="str">
        <f t="shared" si="20"/>
        <v>Afternoon</v>
      </c>
      <c r="L246">
        <v>0</v>
      </c>
      <c r="M246">
        <v>0</v>
      </c>
      <c r="N246">
        <v>0</v>
      </c>
      <c r="O246" s="4">
        <f t="shared" si="21"/>
        <v>0</v>
      </c>
      <c r="P246" s="5" t="str">
        <f t="shared" si="22"/>
        <v>No engagement</v>
      </c>
      <c r="Q246" t="b">
        <v>0</v>
      </c>
      <c r="R246" t="b">
        <v>0</v>
      </c>
      <c r="S246" t="b">
        <v>0</v>
      </c>
      <c r="T246" s="24" t="str">
        <f t="shared" si="23"/>
        <v>Text only</v>
      </c>
    </row>
    <row r="247" spans="1:20" hidden="1" x14ac:dyDescent="0.2">
      <c r="A247" t="s">
        <v>1591</v>
      </c>
      <c r="B247" t="s">
        <v>14</v>
      </c>
      <c r="C247" t="s">
        <v>15</v>
      </c>
      <c r="D247" t="s">
        <v>1592</v>
      </c>
      <c r="E247" t="s">
        <v>1593</v>
      </c>
      <c r="F2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7" s="27">
        <f t="shared" si="18"/>
        <v>40080</v>
      </c>
      <c r="H247" s="7" t="str">
        <f t="shared" si="19"/>
        <v>16:15:03</v>
      </c>
      <c r="I247" s="8" t="str">
        <f t="shared" si="20"/>
        <v>Afternoon</v>
      </c>
      <c r="L247">
        <v>0</v>
      </c>
      <c r="M247">
        <v>0</v>
      </c>
      <c r="N247">
        <v>0</v>
      </c>
      <c r="O247" s="4">
        <f t="shared" si="21"/>
        <v>0</v>
      </c>
      <c r="P247" s="5" t="str">
        <f t="shared" si="22"/>
        <v>No engagement</v>
      </c>
      <c r="Q247" t="b">
        <v>0</v>
      </c>
      <c r="R247" t="b">
        <v>0</v>
      </c>
      <c r="S247" t="b">
        <v>0</v>
      </c>
      <c r="T247" s="24" t="str">
        <f t="shared" si="23"/>
        <v>Text only</v>
      </c>
    </row>
    <row r="248" spans="1:20" hidden="1" x14ac:dyDescent="0.2">
      <c r="A248" t="s">
        <v>1588</v>
      </c>
      <c r="B248" t="s">
        <v>14</v>
      </c>
      <c r="C248" t="s">
        <v>15</v>
      </c>
      <c r="D248" t="s">
        <v>1589</v>
      </c>
      <c r="E248" t="s">
        <v>1590</v>
      </c>
      <c r="F2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8" s="27">
        <f t="shared" si="18"/>
        <v>40080</v>
      </c>
      <c r="H248" s="7" t="str">
        <f t="shared" si="19"/>
        <v>16:15:35</v>
      </c>
      <c r="I248" s="8" t="str">
        <f t="shared" si="20"/>
        <v>Afternoon</v>
      </c>
      <c r="L248">
        <v>0</v>
      </c>
      <c r="M248">
        <v>0</v>
      </c>
      <c r="N248">
        <v>0</v>
      </c>
      <c r="O248" s="4">
        <f t="shared" si="21"/>
        <v>0</v>
      </c>
      <c r="P248" s="5" t="str">
        <f t="shared" si="22"/>
        <v>No engagement</v>
      </c>
      <c r="Q248" t="b">
        <v>0</v>
      </c>
      <c r="R248" t="b">
        <v>0</v>
      </c>
      <c r="S248" t="b">
        <v>0</v>
      </c>
      <c r="T248" s="24" t="str">
        <f t="shared" si="23"/>
        <v>Text only</v>
      </c>
    </row>
    <row r="249" spans="1:20" hidden="1" x14ac:dyDescent="0.2">
      <c r="A249" t="s">
        <v>1585</v>
      </c>
      <c r="B249" t="s">
        <v>14</v>
      </c>
      <c r="C249" t="s">
        <v>15</v>
      </c>
      <c r="D249" t="s">
        <v>1586</v>
      </c>
      <c r="E249" t="s">
        <v>1587</v>
      </c>
      <c r="F2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49" s="27">
        <f t="shared" si="18"/>
        <v>40080</v>
      </c>
      <c r="H249" s="7" t="str">
        <f t="shared" si="19"/>
        <v>16:21:46</v>
      </c>
      <c r="I249" s="8" t="str">
        <f t="shared" si="20"/>
        <v>Afternoon</v>
      </c>
      <c r="L249">
        <v>0</v>
      </c>
      <c r="M249">
        <v>0</v>
      </c>
      <c r="N249">
        <v>0</v>
      </c>
      <c r="O249" s="4">
        <f t="shared" si="21"/>
        <v>0</v>
      </c>
      <c r="P249" s="5" t="str">
        <f t="shared" si="22"/>
        <v>No engagement</v>
      </c>
      <c r="Q249" t="b">
        <v>0</v>
      </c>
      <c r="R249" t="b">
        <v>0</v>
      </c>
      <c r="S249" t="b">
        <v>1</v>
      </c>
      <c r="T249" s="24" t="str">
        <f t="shared" si="23"/>
        <v>Link</v>
      </c>
    </row>
    <row r="250" spans="1:20" hidden="1" x14ac:dyDescent="0.2">
      <c r="A250" t="s">
        <v>1578</v>
      </c>
      <c r="B250" t="s">
        <v>14</v>
      </c>
      <c r="C250" t="s">
        <v>15</v>
      </c>
      <c r="D250" t="s">
        <v>1579</v>
      </c>
      <c r="E250" t="s">
        <v>1580</v>
      </c>
      <c r="F2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0" s="27">
        <f t="shared" si="18"/>
        <v>40080</v>
      </c>
      <c r="H250" s="7" t="str">
        <f t="shared" si="19"/>
        <v>16:54:56</v>
      </c>
      <c r="I250" s="8" t="str">
        <f t="shared" si="20"/>
        <v>Afternoon</v>
      </c>
      <c r="J250" t="s">
        <v>1581</v>
      </c>
      <c r="L250">
        <v>0</v>
      </c>
      <c r="M250">
        <v>0</v>
      </c>
      <c r="N250">
        <v>0</v>
      </c>
      <c r="O250" s="4">
        <f t="shared" si="21"/>
        <v>0</v>
      </c>
      <c r="P250" s="5" t="str">
        <f t="shared" si="22"/>
        <v>No engagement</v>
      </c>
      <c r="Q250" t="b">
        <v>0</v>
      </c>
      <c r="R250" t="b">
        <v>0</v>
      </c>
      <c r="S250" t="b">
        <v>1</v>
      </c>
      <c r="T250" s="24" t="str">
        <f t="shared" si="23"/>
        <v>Link</v>
      </c>
    </row>
    <row r="251" spans="1:20" hidden="1" x14ac:dyDescent="0.2">
      <c r="A251" t="s">
        <v>1575</v>
      </c>
      <c r="B251" t="s">
        <v>14</v>
      </c>
      <c r="C251" t="s">
        <v>15</v>
      </c>
      <c r="D251" t="s">
        <v>1576</v>
      </c>
      <c r="E251" t="s">
        <v>1577</v>
      </c>
      <c r="F2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1" s="27">
        <f t="shared" si="18"/>
        <v>40080</v>
      </c>
      <c r="H251" s="7" t="str">
        <f t="shared" si="19"/>
        <v>17:09:59</v>
      </c>
      <c r="I251" s="8" t="str">
        <f t="shared" si="20"/>
        <v>Afternoon</v>
      </c>
      <c r="J251" t="s">
        <v>312</v>
      </c>
      <c r="L251">
        <v>0</v>
      </c>
      <c r="M251">
        <v>0</v>
      </c>
      <c r="N251">
        <v>0</v>
      </c>
      <c r="O251" s="4">
        <f t="shared" si="21"/>
        <v>0</v>
      </c>
      <c r="P251" s="5" t="str">
        <f t="shared" si="22"/>
        <v>No engagement</v>
      </c>
      <c r="Q251" t="b">
        <v>0</v>
      </c>
      <c r="R251" t="b">
        <v>0</v>
      </c>
      <c r="S251" t="b">
        <v>0</v>
      </c>
      <c r="T251" s="24" t="str">
        <f t="shared" si="23"/>
        <v>Text only</v>
      </c>
    </row>
    <row r="252" spans="1:20" hidden="1" x14ac:dyDescent="0.2">
      <c r="A252" t="s">
        <v>1572</v>
      </c>
      <c r="B252" t="s">
        <v>14</v>
      </c>
      <c r="C252" t="s">
        <v>15</v>
      </c>
      <c r="D252" t="s">
        <v>1573</v>
      </c>
      <c r="E252" t="s">
        <v>1574</v>
      </c>
      <c r="F2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2" s="27">
        <f t="shared" si="18"/>
        <v>40080</v>
      </c>
      <c r="H252" s="7" t="str">
        <f t="shared" si="19"/>
        <v>18:20:57</v>
      </c>
      <c r="I252" s="8" t="str">
        <f t="shared" si="20"/>
        <v>Evening</v>
      </c>
      <c r="L252">
        <v>0</v>
      </c>
      <c r="M252">
        <v>0</v>
      </c>
      <c r="N252">
        <v>0</v>
      </c>
      <c r="O252" s="4">
        <f t="shared" si="21"/>
        <v>0</v>
      </c>
      <c r="P252" s="5" t="str">
        <f t="shared" si="22"/>
        <v>No engagement</v>
      </c>
      <c r="Q252" t="b">
        <v>0</v>
      </c>
      <c r="R252" t="b">
        <v>0</v>
      </c>
      <c r="S252" t="b">
        <v>1</v>
      </c>
      <c r="T252" s="24" t="str">
        <f t="shared" si="23"/>
        <v>Link</v>
      </c>
    </row>
    <row r="253" spans="1:20" hidden="1" x14ac:dyDescent="0.2">
      <c r="A253" t="s">
        <v>1569</v>
      </c>
      <c r="B253" t="s">
        <v>14</v>
      </c>
      <c r="C253" t="s">
        <v>15</v>
      </c>
      <c r="D253" t="s">
        <v>1570</v>
      </c>
      <c r="E253" t="s">
        <v>1571</v>
      </c>
      <c r="F2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3" s="27">
        <f t="shared" si="18"/>
        <v>40080</v>
      </c>
      <c r="H253" s="7" t="str">
        <f t="shared" si="19"/>
        <v>19:42:24</v>
      </c>
      <c r="I253" s="8" t="str">
        <f t="shared" si="20"/>
        <v>Evening</v>
      </c>
      <c r="J253" t="s">
        <v>1568</v>
      </c>
      <c r="L253">
        <v>0</v>
      </c>
      <c r="M253">
        <v>0</v>
      </c>
      <c r="N253">
        <v>0</v>
      </c>
      <c r="O253" s="4">
        <f t="shared" si="21"/>
        <v>0</v>
      </c>
      <c r="P253" s="5" t="str">
        <f t="shared" si="22"/>
        <v>No engagement</v>
      </c>
      <c r="Q253" t="b">
        <v>0</v>
      </c>
      <c r="R253" t="b">
        <v>0</v>
      </c>
      <c r="S253" t="b">
        <v>0</v>
      </c>
      <c r="T253" s="24" t="str">
        <f t="shared" si="23"/>
        <v>Text only</v>
      </c>
    </row>
    <row r="254" spans="1:20" hidden="1" x14ac:dyDescent="0.2">
      <c r="A254" t="s">
        <v>1562</v>
      </c>
      <c r="B254" t="s">
        <v>14</v>
      </c>
      <c r="C254" t="s">
        <v>15</v>
      </c>
      <c r="D254" t="s">
        <v>1563</v>
      </c>
      <c r="E254" t="s">
        <v>1564</v>
      </c>
      <c r="F2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4" s="27">
        <f t="shared" si="18"/>
        <v>40080</v>
      </c>
      <c r="H254" s="7" t="str">
        <f t="shared" si="19"/>
        <v>22:25:32</v>
      </c>
      <c r="I254" s="8" t="str">
        <f t="shared" si="20"/>
        <v>Evening</v>
      </c>
      <c r="L254">
        <v>0</v>
      </c>
      <c r="M254">
        <v>0</v>
      </c>
      <c r="N254">
        <v>0</v>
      </c>
      <c r="O254" s="4">
        <f t="shared" si="21"/>
        <v>0</v>
      </c>
      <c r="P254" s="5" t="str">
        <f t="shared" si="22"/>
        <v>No engagement</v>
      </c>
      <c r="Q254" t="b">
        <v>0</v>
      </c>
      <c r="R254" t="b">
        <v>0</v>
      </c>
      <c r="S254" t="b">
        <v>1</v>
      </c>
      <c r="T254" s="24" t="str">
        <f t="shared" si="23"/>
        <v>Link</v>
      </c>
    </row>
    <row r="255" spans="1:20" hidden="1" x14ac:dyDescent="0.2">
      <c r="A255" t="s">
        <v>1558</v>
      </c>
      <c r="B255" t="s">
        <v>14</v>
      </c>
      <c r="C255" t="s">
        <v>15</v>
      </c>
      <c r="D255" t="s">
        <v>1559</v>
      </c>
      <c r="E255" t="s">
        <v>1560</v>
      </c>
      <c r="F2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5" s="27">
        <f t="shared" si="18"/>
        <v>40080</v>
      </c>
      <c r="H255" s="7" t="str">
        <f t="shared" si="19"/>
        <v>23:10:59</v>
      </c>
      <c r="I255" s="8" t="str">
        <f t="shared" si="20"/>
        <v>Evening</v>
      </c>
      <c r="J255" t="s">
        <v>1561</v>
      </c>
      <c r="L255">
        <v>0</v>
      </c>
      <c r="M255">
        <v>0</v>
      </c>
      <c r="N255">
        <v>0</v>
      </c>
      <c r="O255" s="4">
        <f t="shared" si="21"/>
        <v>0</v>
      </c>
      <c r="P255" s="5" t="str">
        <f t="shared" si="22"/>
        <v>No engagement</v>
      </c>
      <c r="Q255" t="b">
        <v>0</v>
      </c>
      <c r="R255" t="b">
        <v>0</v>
      </c>
      <c r="S255" t="b">
        <v>0</v>
      </c>
      <c r="T255" s="24" t="str">
        <f t="shared" si="23"/>
        <v>Text only</v>
      </c>
    </row>
    <row r="256" spans="1:20" hidden="1" x14ac:dyDescent="0.2">
      <c r="A256" t="s">
        <v>1555</v>
      </c>
      <c r="B256" t="s">
        <v>14</v>
      </c>
      <c r="C256" t="s">
        <v>15</v>
      </c>
      <c r="D256" t="s">
        <v>1556</v>
      </c>
      <c r="E256" t="s">
        <v>1557</v>
      </c>
      <c r="F2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6" s="27">
        <f t="shared" si="18"/>
        <v>40081</v>
      </c>
      <c r="H256" s="7" t="str">
        <f t="shared" si="19"/>
        <v>17:54:37</v>
      </c>
      <c r="I256" s="8" t="str">
        <f t="shared" si="20"/>
        <v>Afternoon</v>
      </c>
      <c r="L256">
        <v>0</v>
      </c>
      <c r="M256">
        <v>0</v>
      </c>
      <c r="N256">
        <v>0</v>
      </c>
      <c r="O256" s="4">
        <f t="shared" si="21"/>
        <v>0</v>
      </c>
      <c r="P256" s="5" t="str">
        <f t="shared" si="22"/>
        <v>No engagement</v>
      </c>
      <c r="Q256" t="b">
        <v>0</v>
      </c>
      <c r="R256" t="b">
        <v>0</v>
      </c>
      <c r="S256" t="b">
        <v>1</v>
      </c>
      <c r="T256" s="24" t="str">
        <f t="shared" si="23"/>
        <v>Link</v>
      </c>
    </row>
    <row r="257" spans="1:20" hidden="1" x14ac:dyDescent="0.2">
      <c r="A257" t="s">
        <v>1549</v>
      </c>
      <c r="B257" t="s">
        <v>14</v>
      </c>
      <c r="C257" t="s">
        <v>15</v>
      </c>
      <c r="D257" t="s">
        <v>1550</v>
      </c>
      <c r="E257" t="s">
        <v>1551</v>
      </c>
      <c r="F2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7" s="27">
        <f t="shared" si="18"/>
        <v>40081</v>
      </c>
      <c r="H257" s="7" t="str">
        <f t="shared" si="19"/>
        <v>23:05:54</v>
      </c>
      <c r="I257" s="8" t="str">
        <f t="shared" si="20"/>
        <v>Evening</v>
      </c>
      <c r="L257">
        <v>0</v>
      </c>
      <c r="M257">
        <v>0</v>
      </c>
      <c r="N257">
        <v>0</v>
      </c>
      <c r="O257" s="4">
        <f t="shared" si="21"/>
        <v>0</v>
      </c>
      <c r="P257" s="5" t="str">
        <f t="shared" si="22"/>
        <v>No engagement</v>
      </c>
      <c r="Q257" t="b">
        <v>0</v>
      </c>
      <c r="R257" t="b">
        <v>0</v>
      </c>
      <c r="S257" t="b">
        <v>1</v>
      </c>
      <c r="T257" s="24" t="str">
        <f t="shared" si="23"/>
        <v>Link</v>
      </c>
    </row>
    <row r="258" spans="1:20" hidden="1" x14ac:dyDescent="0.2">
      <c r="A258" t="s">
        <v>1546</v>
      </c>
      <c r="B258" t="s">
        <v>14</v>
      </c>
      <c r="C258" t="s">
        <v>15</v>
      </c>
      <c r="D258" t="s">
        <v>1547</v>
      </c>
      <c r="E258" t="s">
        <v>1548</v>
      </c>
      <c r="F2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8" s="27">
        <f t="shared" ref="G258:G321" si="24">DATEVALUE((LEFT(E258,10)))</f>
        <v>40084</v>
      </c>
      <c r="H258" s="7" t="str">
        <f t="shared" ref="H258:H321" si="25">MID(E258,12,8)</f>
        <v>19:48:33</v>
      </c>
      <c r="I258" s="8" t="str">
        <f t="shared" ref="I258:I321" si="26">IF(HOUR(H258)&lt;7,"Early morning",
IF(HOUR(H258)&lt;11,"Morning",
IF(HOUR(H258)&lt;14,"Mid-day",
IF(HOUR(H258)&lt;18,"Afternoon","Evening"))))</f>
        <v>Evening</v>
      </c>
      <c r="L258">
        <v>0</v>
      </c>
      <c r="M258">
        <v>0</v>
      </c>
      <c r="N258">
        <v>0</v>
      </c>
      <c r="O258" s="4">
        <f t="shared" ref="O258:O321" si="27">L258+M258+N258</f>
        <v>0</v>
      </c>
      <c r="P258" s="5" t="str">
        <f t="shared" ref="P258:P321" si="28">IF(O258&lt;1,"No engagement", IF(O258&lt;5,"Low engagement", IF(O258&lt;10,"Moderate engagement", "High engagement")))</f>
        <v>No engagement</v>
      </c>
      <c r="Q258" t="b">
        <v>0</v>
      </c>
      <c r="R258" t="b">
        <v>0</v>
      </c>
      <c r="S258" t="b">
        <v>0</v>
      </c>
      <c r="T258" s="24" t="str">
        <f t="shared" ref="T258:T321" si="29">IF(Q258=TRUE,"Photo",IF(R258=TRUE,"Video",IF(S258=TRUE,"Link",("Text only"))))</f>
        <v>Text only</v>
      </c>
    </row>
    <row r="259" spans="1:20" hidden="1" x14ac:dyDescent="0.2">
      <c r="A259" t="s">
        <v>1543</v>
      </c>
      <c r="B259" t="s">
        <v>14</v>
      </c>
      <c r="C259" t="s">
        <v>15</v>
      </c>
      <c r="D259" t="s">
        <v>1544</v>
      </c>
      <c r="E259" t="s">
        <v>1545</v>
      </c>
      <c r="F2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59" s="27">
        <f t="shared" si="24"/>
        <v>40084</v>
      </c>
      <c r="H259" s="7" t="str">
        <f t="shared" si="25"/>
        <v>21:19:48</v>
      </c>
      <c r="I259" s="8" t="str">
        <f t="shared" si="26"/>
        <v>Evening</v>
      </c>
      <c r="J259" t="s">
        <v>1527</v>
      </c>
      <c r="L259">
        <v>0</v>
      </c>
      <c r="M259">
        <v>0</v>
      </c>
      <c r="N259">
        <v>0</v>
      </c>
      <c r="O259" s="4">
        <f t="shared" si="27"/>
        <v>0</v>
      </c>
      <c r="P259" s="5" t="str">
        <f t="shared" si="28"/>
        <v>No engagement</v>
      </c>
      <c r="Q259" t="b">
        <v>0</v>
      </c>
      <c r="R259" t="b">
        <v>0</v>
      </c>
      <c r="S259" t="b">
        <v>0</v>
      </c>
      <c r="T259" s="24" t="str">
        <f t="shared" si="29"/>
        <v>Text only</v>
      </c>
    </row>
    <row r="260" spans="1:20" hidden="1" x14ac:dyDescent="0.2">
      <c r="A260" t="s">
        <v>1534</v>
      </c>
      <c r="B260" t="s">
        <v>14</v>
      </c>
      <c r="C260" t="s">
        <v>15</v>
      </c>
      <c r="D260" t="s">
        <v>1535</v>
      </c>
      <c r="E260" t="s">
        <v>1536</v>
      </c>
      <c r="F2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Prior Recall</v>
      </c>
      <c r="G260" s="27">
        <f t="shared" si="24"/>
        <v>40084</v>
      </c>
      <c r="H260" s="7" t="str">
        <f t="shared" si="25"/>
        <v>23:28:49</v>
      </c>
      <c r="I260" s="8" t="str">
        <f t="shared" si="26"/>
        <v>Evening</v>
      </c>
      <c r="L260">
        <v>0</v>
      </c>
      <c r="M260">
        <v>0</v>
      </c>
      <c r="N260">
        <v>0</v>
      </c>
      <c r="O260" s="4">
        <f t="shared" si="27"/>
        <v>0</v>
      </c>
      <c r="P260" s="5" t="str">
        <f t="shared" si="28"/>
        <v>No engagement</v>
      </c>
      <c r="Q260" t="b">
        <v>0</v>
      </c>
      <c r="R260" t="b">
        <v>0</v>
      </c>
      <c r="S260" t="b">
        <v>1</v>
      </c>
      <c r="T260" s="24" t="str">
        <f t="shared" si="29"/>
        <v>Link</v>
      </c>
    </row>
    <row r="261" spans="1:20" hidden="1" x14ac:dyDescent="0.2">
      <c r="A261" t="s">
        <v>881</v>
      </c>
      <c r="B261" t="s">
        <v>14</v>
      </c>
      <c r="C261" t="s">
        <v>15</v>
      </c>
      <c r="D261" t="s">
        <v>7323</v>
      </c>
      <c r="E261" t="s">
        <v>882</v>
      </c>
      <c r="F2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1" s="27">
        <f t="shared" si="24"/>
        <v>40208</v>
      </c>
      <c r="H261" s="7" t="str">
        <f t="shared" si="25"/>
        <v>22:47:57</v>
      </c>
      <c r="I261" s="8" t="str">
        <f t="shared" si="26"/>
        <v>Evening</v>
      </c>
      <c r="L261">
        <v>5</v>
      </c>
      <c r="M261">
        <v>0</v>
      </c>
      <c r="N261">
        <v>43</v>
      </c>
      <c r="O261" s="4">
        <f t="shared" si="27"/>
        <v>48</v>
      </c>
      <c r="P261" s="5" t="str">
        <f t="shared" si="28"/>
        <v>High engagement</v>
      </c>
      <c r="Q261" t="b">
        <v>0</v>
      </c>
      <c r="R261" t="b">
        <v>0</v>
      </c>
      <c r="S261" t="b">
        <v>1</v>
      </c>
      <c r="T261" s="24" t="str">
        <f t="shared" si="29"/>
        <v>Link</v>
      </c>
    </row>
    <row r="262" spans="1:20" hidden="1" x14ac:dyDescent="0.2">
      <c r="A262" t="s">
        <v>805</v>
      </c>
      <c r="B262" t="s">
        <v>14</v>
      </c>
      <c r="C262" t="s">
        <v>15</v>
      </c>
      <c r="D262" t="s">
        <v>7324</v>
      </c>
      <c r="E262" t="s">
        <v>806</v>
      </c>
      <c r="F2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2" s="27">
        <f t="shared" si="24"/>
        <v>40210</v>
      </c>
      <c r="H262" s="7" t="str">
        <f t="shared" si="25"/>
        <v>18:59:44</v>
      </c>
      <c r="I262" s="8" t="str">
        <f t="shared" si="26"/>
        <v>Evening</v>
      </c>
      <c r="L262">
        <v>1</v>
      </c>
      <c r="M262">
        <v>0</v>
      </c>
      <c r="N262">
        <v>26</v>
      </c>
      <c r="O262" s="4">
        <f t="shared" si="27"/>
        <v>27</v>
      </c>
      <c r="P262" s="5" t="str">
        <f t="shared" si="28"/>
        <v>High engagement</v>
      </c>
      <c r="Q262" t="b">
        <v>0</v>
      </c>
      <c r="R262" t="b">
        <v>0</v>
      </c>
      <c r="S262" t="b">
        <v>0</v>
      </c>
      <c r="T262" s="24" t="str">
        <f t="shared" si="29"/>
        <v>Text only</v>
      </c>
    </row>
    <row r="263" spans="1:20" hidden="1" x14ac:dyDescent="0.2">
      <c r="A263" t="s">
        <v>923</v>
      </c>
      <c r="B263" t="s">
        <v>14</v>
      </c>
      <c r="C263" t="s">
        <v>15</v>
      </c>
      <c r="D263" t="s">
        <v>7325</v>
      </c>
      <c r="E263" t="s">
        <v>924</v>
      </c>
      <c r="F2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3" s="27">
        <f t="shared" si="24"/>
        <v>40205</v>
      </c>
      <c r="H263" s="7" t="str">
        <f t="shared" si="25"/>
        <v>21:18:09</v>
      </c>
      <c r="I263" s="8" t="str">
        <f t="shared" si="26"/>
        <v>Evening</v>
      </c>
      <c r="L263">
        <v>2</v>
      </c>
      <c r="M263">
        <v>0</v>
      </c>
      <c r="N263">
        <v>25</v>
      </c>
      <c r="O263" s="4">
        <f t="shared" si="27"/>
        <v>27</v>
      </c>
      <c r="P263" s="5" t="str">
        <f t="shared" si="28"/>
        <v>High engagement</v>
      </c>
      <c r="Q263" t="b">
        <v>0</v>
      </c>
      <c r="R263" t="b">
        <v>0</v>
      </c>
      <c r="S263" t="b">
        <v>1</v>
      </c>
      <c r="T263" s="24" t="str">
        <f t="shared" si="29"/>
        <v>Link</v>
      </c>
    </row>
    <row r="264" spans="1:20" hidden="1" x14ac:dyDescent="0.2">
      <c r="A264" t="s">
        <v>704</v>
      </c>
      <c r="B264" t="s">
        <v>14</v>
      </c>
      <c r="C264" t="s">
        <v>15</v>
      </c>
      <c r="D264" t="s">
        <v>705</v>
      </c>
      <c r="E264" t="s">
        <v>706</v>
      </c>
      <c r="F2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4" s="27">
        <f t="shared" si="24"/>
        <v>40212</v>
      </c>
      <c r="H264" s="7" t="str">
        <f t="shared" si="25"/>
        <v>18:00:04</v>
      </c>
      <c r="I264" s="8" t="str">
        <f t="shared" si="26"/>
        <v>Evening</v>
      </c>
      <c r="L264">
        <v>1</v>
      </c>
      <c r="M264">
        <v>0</v>
      </c>
      <c r="N264">
        <v>24</v>
      </c>
      <c r="O264" s="4">
        <f t="shared" si="27"/>
        <v>25</v>
      </c>
      <c r="P264" s="5" t="str">
        <f t="shared" si="28"/>
        <v>High engagement</v>
      </c>
      <c r="Q264" t="b">
        <v>0</v>
      </c>
      <c r="R264" t="b">
        <v>0</v>
      </c>
      <c r="S264" t="b">
        <v>1</v>
      </c>
      <c r="T264" s="24" t="str">
        <f t="shared" si="29"/>
        <v>Link</v>
      </c>
    </row>
    <row r="265" spans="1:20" hidden="1" x14ac:dyDescent="0.2">
      <c r="A265" t="s">
        <v>933</v>
      </c>
      <c r="B265" t="s">
        <v>14</v>
      </c>
      <c r="C265" t="s">
        <v>15</v>
      </c>
      <c r="D265" t="s">
        <v>934</v>
      </c>
      <c r="E265" t="s">
        <v>935</v>
      </c>
      <c r="F2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5" s="27">
        <f t="shared" si="24"/>
        <v>40204</v>
      </c>
      <c r="H265" s="7" t="str">
        <f t="shared" si="25"/>
        <v>22:36:21</v>
      </c>
      <c r="I265" s="8" t="str">
        <f t="shared" si="26"/>
        <v>Evening</v>
      </c>
      <c r="L265">
        <v>0</v>
      </c>
      <c r="M265">
        <v>0</v>
      </c>
      <c r="N265">
        <v>19</v>
      </c>
      <c r="O265" s="4">
        <f t="shared" si="27"/>
        <v>19</v>
      </c>
      <c r="P265" s="5" t="str">
        <f t="shared" si="28"/>
        <v>High engagement</v>
      </c>
      <c r="Q265" t="b">
        <v>0</v>
      </c>
      <c r="R265" t="b">
        <v>0</v>
      </c>
      <c r="S265" t="b">
        <v>1</v>
      </c>
      <c r="T265" s="24" t="str">
        <f t="shared" si="29"/>
        <v>Link</v>
      </c>
    </row>
    <row r="266" spans="1:20" hidden="1" x14ac:dyDescent="0.2">
      <c r="A266" t="s">
        <v>957</v>
      </c>
      <c r="B266" t="s">
        <v>14</v>
      </c>
      <c r="C266" t="s">
        <v>15</v>
      </c>
      <c r="D266" t="s">
        <v>958</v>
      </c>
      <c r="E266" t="s">
        <v>959</v>
      </c>
      <c r="F2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6" s="27">
        <f t="shared" si="24"/>
        <v>40199</v>
      </c>
      <c r="H266" s="7" t="str">
        <f t="shared" si="25"/>
        <v>21:19:39</v>
      </c>
      <c r="I266" s="8" t="str">
        <f t="shared" si="26"/>
        <v>Evening</v>
      </c>
      <c r="L266">
        <v>0</v>
      </c>
      <c r="M266">
        <v>0</v>
      </c>
      <c r="N266">
        <v>16</v>
      </c>
      <c r="O266" s="4">
        <f t="shared" si="27"/>
        <v>16</v>
      </c>
      <c r="P266" s="5" t="str">
        <f t="shared" si="28"/>
        <v>High engagement</v>
      </c>
      <c r="Q266" t="b">
        <v>0</v>
      </c>
      <c r="R266" t="b">
        <v>0</v>
      </c>
      <c r="S266" t="b">
        <v>1</v>
      </c>
      <c r="T266" s="24" t="str">
        <f t="shared" si="29"/>
        <v>Link</v>
      </c>
    </row>
    <row r="267" spans="1:20" hidden="1" x14ac:dyDescent="0.2">
      <c r="A267" t="s">
        <v>722</v>
      </c>
      <c r="B267" t="s">
        <v>14</v>
      </c>
      <c r="C267" t="s">
        <v>15</v>
      </c>
      <c r="D267" t="s">
        <v>723</v>
      </c>
      <c r="E267" t="s">
        <v>724</v>
      </c>
      <c r="F2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7" s="27">
        <f t="shared" si="24"/>
        <v>40212</v>
      </c>
      <c r="H267" s="7" t="str">
        <f t="shared" si="25"/>
        <v>17:33:43</v>
      </c>
      <c r="I267" s="8" t="str">
        <f t="shared" si="26"/>
        <v>Afternoon</v>
      </c>
      <c r="L267">
        <v>0</v>
      </c>
      <c r="M267">
        <v>0</v>
      </c>
      <c r="N267">
        <v>14</v>
      </c>
      <c r="O267" s="4">
        <f t="shared" si="27"/>
        <v>14</v>
      </c>
      <c r="P267" s="5" t="str">
        <f t="shared" si="28"/>
        <v>High engagement</v>
      </c>
      <c r="Q267" t="b">
        <v>0</v>
      </c>
      <c r="R267" t="b">
        <v>0</v>
      </c>
      <c r="S267" t="b">
        <v>1</v>
      </c>
      <c r="T267" s="24" t="str">
        <f t="shared" si="29"/>
        <v>Link</v>
      </c>
    </row>
    <row r="268" spans="1:20" hidden="1" x14ac:dyDescent="0.2">
      <c r="A268" t="s">
        <v>675</v>
      </c>
      <c r="B268" t="s">
        <v>14</v>
      </c>
      <c r="C268" t="s">
        <v>15</v>
      </c>
      <c r="D268" t="s">
        <v>7326</v>
      </c>
      <c r="E268" t="s">
        <v>676</v>
      </c>
      <c r="F2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8" s="27">
        <f t="shared" si="24"/>
        <v>40214</v>
      </c>
      <c r="H268" s="7" t="str">
        <f t="shared" si="25"/>
        <v>17:58:41</v>
      </c>
      <c r="I268" s="8" t="str">
        <f t="shared" si="26"/>
        <v>Afternoon</v>
      </c>
      <c r="L268">
        <v>3</v>
      </c>
      <c r="M268">
        <v>0</v>
      </c>
      <c r="N268">
        <v>14</v>
      </c>
      <c r="O268" s="4">
        <f t="shared" si="27"/>
        <v>17</v>
      </c>
      <c r="P268" s="5" t="str">
        <f t="shared" si="28"/>
        <v>High engagement</v>
      </c>
      <c r="Q268" t="b">
        <v>0</v>
      </c>
      <c r="R268" t="b">
        <v>0</v>
      </c>
      <c r="S268" t="b">
        <v>1</v>
      </c>
      <c r="T268" s="24" t="str">
        <f t="shared" si="29"/>
        <v>Link</v>
      </c>
    </row>
    <row r="269" spans="1:20" hidden="1" x14ac:dyDescent="0.2">
      <c r="A269" t="s">
        <v>859</v>
      </c>
      <c r="B269" t="s">
        <v>14</v>
      </c>
      <c r="C269" t="s">
        <v>15</v>
      </c>
      <c r="D269" t="s">
        <v>7327</v>
      </c>
      <c r="E269" t="s">
        <v>860</v>
      </c>
      <c r="F2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69" s="27">
        <f t="shared" si="24"/>
        <v>40208</v>
      </c>
      <c r="H269" s="7" t="str">
        <f t="shared" si="25"/>
        <v>23:17:43</v>
      </c>
      <c r="I269" s="8" t="str">
        <f t="shared" si="26"/>
        <v>Evening</v>
      </c>
      <c r="L269">
        <v>1</v>
      </c>
      <c r="M269">
        <v>0</v>
      </c>
      <c r="N269">
        <v>13</v>
      </c>
      <c r="O269" s="4">
        <f t="shared" si="27"/>
        <v>14</v>
      </c>
      <c r="P269" s="5" t="str">
        <f t="shared" si="28"/>
        <v>High engagement</v>
      </c>
      <c r="Q269" t="b">
        <v>0</v>
      </c>
      <c r="R269" t="b">
        <v>0</v>
      </c>
      <c r="S269" t="b">
        <v>1</v>
      </c>
      <c r="T269" s="24" t="str">
        <f t="shared" si="29"/>
        <v>Link</v>
      </c>
    </row>
    <row r="270" spans="1:20" hidden="1" x14ac:dyDescent="0.2">
      <c r="A270" t="s">
        <v>833</v>
      </c>
      <c r="B270" t="s">
        <v>14</v>
      </c>
      <c r="C270" t="s">
        <v>15</v>
      </c>
      <c r="D270" t="s">
        <v>7328</v>
      </c>
      <c r="E270" t="s">
        <v>834</v>
      </c>
      <c r="F2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0" s="27">
        <f t="shared" si="24"/>
        <v>40210</v>
      </c>
      <c r="H270" s="7" t="str">
        <f t="shared" si="25"/>
        <v>11:36:23</v>
      </c>
      <c r="I270" s="8" t="str">
        <f t="shared" si="26"/>
        <v>Mid-day</v>
      </c>
      <c r="L270">
        <v>0</v>
      </c>
      <c r="M270">
        <v>0</v>
      </c>
      <c r="N270">
        <v>13</v>
      </c>
      <c r="O270" s="4">
        <f t="shared" si="27"/>
        <v>13</v>
      </c>
      <c r="P270" s="5" t="str">
        <f t="shared" si="28"/>
        <v>High engagement</v>
      </c>
      <c r="Q270" t="b">
        <v>0</v>
      </c>
      <c r="R270" t="b">
        <v>0</v>
      </c>
      <c r="S270" t="b">
        <v>1</v>
      </c>
      <c r="T270" s="24" t="str">
        <f t="shared" si="29"/>
        <v>Link</v>
      </c>
    </row>
    <row r="271" spans="1:20" hidden="1" x14ac:dyDescent="0.2">
      <c r="A271" t="s">
        <v>694</v>
      </c>
      <c r="B271" t="s">
        <v>14</v>
      </c>
      <c r="C271" t="s">
        <v>15</v>
      </c>
      <c r="D271" t="s">
        <v>695</v>
      </c>
      <c r="E271" t="s">
        <v>696</v>
      </c>
      <c r="F2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1" s="27">
        <f t="shared" si="24"/>
        <v>40213</v>
      </c>
      <c r="H271" s="7" t="str">
        <f t="shared" si="25"/>
        <v>19:30:23</v>
      </c>
      <c r="I271" s="8" t="str">
        <f t="shared" si="26"/>
        <v>Evening</v>
      </c>
      <c r="L271">
        <v>2</v>
      </c>
      <c r="M271">
        <v>0</v>
      </c>
      <c r="N271">
        <v>13</v>
      </c>
      <c r="O271" s="4">
        <f t="shared" si="27"/>
        <v>15</v>
      </c>
      <c r="P271" s="5" t="str">
        <f t="shared" si="28"/>
        <v>High engagement</v>
      </c>
      <c r="Q271" t="b">
        <v>0</v>
      </c>
      <c r="R271" t="b">
        <v>0</v>
      </c>
      <c r="S271" t="b">
        <v>1</v>
      </c>
      <c r="T271" s="24" t="str">
        <f t="shared" si="29"/>
        <v>Link</v>
      </c>
    </row>
    <row r="272" spans="1:20" hidden="1" x14ac:dyDescent="0.2">
      <c r="A272" t="s">
        <v>919</v>
      </c>
      <c r="B272" t="s">
        <v>14</v>
      </c>
      <c r="C272" t="s">
        <v>15</v>
      </c>
      <c r="D272" t="s">
        <v>920</v>
      </c>
      <c r="E272" t="s">
        <v>921</v>
      </c>
      <c r="F2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2" s="27">
        <f t="shared" si="24"/>
        <v>40207</v>
      </c>
      <c r="H272" s="7" t="str">
        <f t="shared" si="25"/>
        <v>01:12:13</v>
      </c>
      <c r="I272" s="8" t="str">
        <f t="shared" si="26"/>
        <v>Early morning</v>
      </c>
      <c r="L272">
        <v>0</v>
      </c>
      <c r="M272">
        <v>0</v>
      </c>
      <c r="N272">
        <v>12</v>
      </c>
      <c r="O272" s="4">
        <f t="shared" si="27"/>
        <v>12</v>
      </c>
      <c r="P272" s="5" t="str">
        <f t="shared" si="28"/>
        <v>High engagement</v>
      </c>
      <c r="Q272" t="b">
        <v>0</v>
      </c>
      <c r="R272" t="b">
        <v>0</v>
      </c>
      <c r="S272" t="b">
        <v>1</v>
      </c>
      <c r="T272" s="24" t="str">
        <f t="shared" si="29"/>
        <v>Link</v>
      </c>
    </row>
    <row r="273" spans="1:20" hidden="1" x14ac:dyDescent="0.2">
      <c r="A273" t="s">
        <v>835</v>
      </c>
      <c r="B273" t="s">
        <v>14</v>
      </c>
      <c r="C273" t="s">
        <v>15</v>
      </c>
      <c r="D273" t="s">
        <v>836</v>
      </c>
      <c r="E273" t="s">
        <v>837</v>
      </c>
      <c r="F2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3" s="27">
        <f t="shared" si="24"/>
        <v>40210</v>
      </c>
      <c r="H273" s="7" t="str">
        <f t="shared" si="25"/>
        <v>11:26:04</v>
      </c>
      <c r="I273" s="8" t="str">
        <f t="shared" si="26"/>
        <v>Mid-day</v>
      </c>
      <c r="L273">
        <v>0</v>
      </c>
      <c r="M273">
        <v>0</v>
      </c>
      <c r="N273">
        <v>12</v>
      </c>
      <c r="O273" s="4">
        <f t="shared" si="27"/>
        <v>12</v>
      </c>
      <c r="P273" s="5" t="str">
        <f t="shared" si="28"/>
        <v>High engagement</v>
      </c>
      <c r="Q273" t="b">
        <v>0</v>
      </c>
      <c r="R273" t="b">
        <v>0</v>
      </c>
      <c r="S273" t="b">
        <v>1</v>
      </c>
      <c r="T273" s="24" t="str">
        <f t="shared" si="29"/>
        <v>Link</v>
      </c>
    </row>
    <row r="274" spans="1:20" hidden="1" x14ac:dyDescent="0.2">
      <c r="A274" t="s">
        <v>701</v>
      </c>
      <c r="B274" t="s">
        <v>14</v>
      </c>
      <c r="C274" t="s">
        <v>15</v>
      </c>
      <c r="D274" t="s">
        <v>702</v>
      </c>
      <c r="E274" t="s">
        <v>703</v>
      </c>
      <c r="F2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4" s="27">
        <f t="shared" si="24"/>
        <v>40213</v>
      </c>
      <c r="H274" s="7" t="str">
        <f t="shared" si="25"/>
        <v>01:59:15</v>
      </c>
      <c r="I274" s="8" t="str">
        <f t="shared" si="26"/>
        <v>Early morning</v>
      </c>
      <c r="L274">
        <v>3</v>
      </c>
      <c r="M274">
        <v>0</v>
      </c>
      <c r="N274">
        <v>11</v>
      </c>
      <c r="O274" s="4">
        <f t="shared" si="27"/>
        <v>14</v>
      </c>
      <c r="P274" s="5" t="str">
        <f t="shared" si="28"/>
        <v>High engagement</v>
      </c>
      <c r="Q274" t="b">
        <v>0</v>
      </c>
      <c r="R274" t="b">
        <v>0</v>
      </c>
      <c r="S274" t="b">
        <v>1</v>
      </c>
      <c r="T274" s="24" t="str">
        <f t="shared" si="29"/>
        <v>Link</v>
      </c>
    </row>
    <row r="275" spans="1:20" hidden="1" x14ac:dyDescent="0.2">
      <c r="A275" t="s">
        <v>686</v>
      </c>
      <c r="B275" t="s">
        <v>14</v>
      </c>
      <c r="C275" t="s">
        <v>15</v>
      </c>
      <c r="D275" t="s">
        <v>687</v>
      </c>
      <c r="E275" t="s">
        <v>688</v>
      </c>
      <c r="F2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5" s="27">
        <f t="shared" si="24"/>
        <v>40214</v>
      </c>
      <c r="H275" s="7" t="str">
        <f t="shared" si="25"/>
        <v>10:24:11</v>
      </c>
      <c r="I275" s="8" t="str">
        <f t="shared" si="26"/>
        <v>Morning</v>
      </c>
      <c r="L275">
        <v>3</v>
      </c>
      <c r="M275">
        <v>0</v>
      </c>
      <c r="N275">
        <v>10</v>
      </c>
      <c r="O275" s="4">
        <f t="shared" si="27"/>
        <v>13</v>
      </c>
      <c r="P275" s="5" t="str">
        <f t="shared" si="28"/>
        <v>High engagement</v>
      </c>
      <c r="Q275" t="b">
        <v>0</v>
      </c>
      <c r="R275" t="b">
        <v>0</v>
      </c>
      <c r="S275" t="b">
        <v>1</v>
      </c>
      <c r="T275" s="24" t="str">
        <f t="shared" si="29"/>
        <v>Link</v>
      </c>
    </row>
    <row r="276" spans="1:20" hidden="1" x14ac:dyDescent="0.2">
      <c r="A276" t="s">
        <v>889</v>
      </c>
      <c r="B276" t="s">
        <v>14</v>
      </c>
      <c r="C276" t="s">
        <v>15</v>
      </c>
      <c r="D276" t="s">
        <v>890</v>
      </c>
      <c r="E276" t="s">
        <v>891</v>
      </c>
      <c r="F2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6" s="27">
        <f t="shared" si="24"/>
        <v>40208</v>
      </c>
      <c r="H276" s="7" t="str">
        <f t="shared" si="25"/>
        <v>22:37:17</v>
      </c>
      <c r="I276" s="8" t="str">
        <f t="shared" si="26"/>
        <v>Evening</v>
      </c>
      <c r="L276">
        <v>1</v>
      </c>
      <c r="M276">
        <v>0</v>
      </c>
      <c r="N276">
        <v>9</v>
      </c>
      <c r="O276" s="4">
        <f t="shared" si="27"/>
        <v>10</v>
      </c>
      <c r="P276" s="5" t="str">
        <f t="shared" si="28"/>
        <v>High engagement</v>
      </c>
      <c r="Q276" t="b">
        <v>0</v>
      </c>
      <c r="R276" t="b">
        <v>0</v>
      </c>
      <c r="S276" t="b">
        <v>1</v>
      </c>
      <c r="T276" s="24" t="str">
        <f t="shared" si="29"/>
        <v>Link</v>
      </c>
    </row>
    <row r="277" spans="1:20" hidden="1" x14ac:dyDescent="0.2">
      <c r="A277" t="s">
        <v>697</v>
      </c>
      <c r="B277" t="s">
        <v>14</v>
      </c>
      <c r="C277" t="s">
        <v>15</v>
      </c>
      <c r="D277" t="s">
        <v>698</v>
      </c>
      <c r="E277" t="s">
        <v>699</v>
      </c>
      <c r="F2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7" s="27">
        <f t="shared" si="24"/>
        <v>40213</v>
      </c>
      <c r="H277" s="7" t="str">
        <f t="shared" si="25"/>
        <v>17:19:34</v>
      </c>
      <c r="I277" s="8" t="str">
        <f t="shared" si="26"/>
        <v>Afternoon</v>
      </c>
      <c r="L277">
        <v>1</v>
      </c>
      <c r="M277">
        <v>0</v>
      </c>
      <c r="N277">
        <v>9</v>
      </c>
      <c r="O277" s="4">
        <f t="shared" si="27"/>
        <v>10</v>
      </c>
      <c r="P277" s="5" t="str">
        <f t="shared" si="28"/>
        <v>High engagement</v>
      </c>
      <c r="Q277" t="b">
        <v>0</v>
      </c>
      <c r="R277" t="b">
        <v>0</v>
      </c>
      <c r="S277" t="b">
        <v>1</v>
      </c>
      <c r="T277" s="24" t="str">
        <f t="shared" si="29"/>
        <v>Link</v>
      </c>
    </row>
    <row r="278" spans="1:20" hidden="1" x14ac:dyDescent="0.2">
      <c r="A278" t="s">
        <v>690</v>
      </c>
      <c r="B278" t="s">
        <v>14</v>
      </c>
      <c r="C278" t="s">
        <v>15</v>
      </c>
      <c r="D278" t="s">
        <v>691</v>
      </c>
      <c r="E278" t="s">
        <v>692</v>
      </c>
      <c r="F2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8" s="27">
        <f t="shared" si="24"/>
        <v>40213</v>
      </c>
      <c r="H278" s="7" t="str">
        <f t="shared" si="25"/>
        <v>19:52:12</v>
      </c>
      <c r="I278" s="8" t="str">
        <f t="shared" si="26"/>
        <v>Evening</v>
      </c>
      <c r="J278" t="s">
        <v>693</v>
      </c>
      <c r="L278">
        <v>2</v>
      </c>
      <c r="M278">
        <v>0</v>
      </c>
      <c r="N278">
        <v>9</v>
      </c>
      <c r="O278" s="4">
        <f t="shared" si="27"/>
        <v>11</v>
      </c>
      <c r="P278" s="5" t="str">
        <f t="shared" si="28"/>
        <v>High engagement</v>
      </c>
      <c r="Q278" t="b">
        <v>0</v>
      </c>
      <c r="R278" t="b">
        <v>0</v>
      </c>
      <c r="S278" t="b">
        <v>0</v>
      </c>
      <c r="T278" s="24" t="str">
        <f t="shared" si="29"/>
        <v>Text only</v>
      </c>
    </row>
    <row r="279" spans="1:20" hidden="1" x14ac:dyDescent="0.2">
      <c r="A279" t="s">
        <v>683</v>
      </c>
      <c r="B279" t="s">
        <v>14</v>
      </c>
      <c r="C279" t="s">
        <v>15</v>
      </c>
      <c r="D279" t="s">
        <v>684</v>
      </c>
      <c r="E279" t="s">
        <v>685</v>
      </c>
      <c r="F2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79" s="27">
        <f t="shared" si="24"/>
        <v>40214</v>
      </c>
      <c r="H279" s="7" t="str">
        <f t="shared" si="25"/>
        <v>16:11:30</v>
      </c>
      <c r="I279" s="8" t="str">
        <f t="shared" si="26"/>
        <v>Afternoon</v>
      </c>
      <c r="L279">
        <v>2</v>
      </c>
      <c r="M279">
        <v>0</v>
      </c>
      <c r="N279">
        <v>9</v>
      </c>
      <c r="O279" s="4">
        <f t="shared" si="27"/>
        <v>11</v>
      </c>
      <c r="P279" s="5" t="str">
        <f t="shared" si="28"/>
        <v>High engagement</v>
      </c>
      <c r="Q279" t="b">
        <v>0</v>
      </c>
      <c r="R279" t="b">
        <v>0</v>
      </c>
      <c r="S279" t="b">
        <v>1</v>
      </c>
      <c r="T279" s="24" t="str">
        <f t="shared" si="29"/>
        <v>Link</v>
      </c>
    </row>
    <row r="280" spans="1:20" hidden="1" x14ac:dyDescent="0.2">
      <c r="A280" t="s">
        <v>677</v>
      </c>
      <c r="B280" t="s">
        <v>14</v>
      </c>
      <c r="C280" t="s">
        <v>15</v>
      </c>
      <c r="D280" t="s">
        <v>678</v>
      </c>
      <c r="E280" t="s">
        <v>679</v>
      </c>
      <c r="F2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0" s="27">
        <f t="shared" si="24"/>
        <v>40214</v>
      </c>
      <c r="H280" s="7" t="str">
        <f t="shared" si="25"/>
        <v>16:34:03</v>
      </c>
      <c r="I280" s="8" t="str">
        <f t="shared" si="26"/>
        <v>Afternoon</v>
      </c>
      <c r="L280">
        <v>1</v>
      </c>
      <c r="M280">
        <v>0</v>
      </c>
      <c r="N280">
        <v>9</v>
      </c>
      <c r="O280" s="4">
        <f t="shared" si="27"/>
        <v>10</v>
      </c>
      <c r="P280" s="5" t="str">
        <f t="shared" si="28"/>
        <v>High engagement</v>
      </c>
      <c r="Q280" t="b">
        <v>0</v>
      </c>
      <c r="R280" t="b">
        <v>0</v>
      </c>
      <c r="S280" t="b">
        <v>1</v>
      </c>
      <c r="T280" s="24" t="str">
        <f t="shared" si="29"/>
        <v>Link</v>
      </c>
    </row>
    <row r="281" spans="1:20" hidden="1" x14ac:dyDescent="0.2">
      <c r="A281" t="s">
        <v>1026</v>
      </c>
      <c r="B281" t="s">
        <v>14</v>
      </c>
      <c r="C281" t="s">
        <v>15</v>
      </c>
      <c r="D281" t="s">
        <v>1027</v>
      </c>
      <c r="E281" t="s">
        <v>1028</v>
      </c>
      <c r="F2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281" s="27">
        <f t="shared" si="24"/>
        <v>40183</v>
      </c>
      <c r="H281" s="7" t="str">
        <f t="shared" si="25"/>
        <v>19:52:43</v>
      </c>
      <c r="I281" s="8" t="str">
        <f t="shared" si="26"/>
        <v>Evening</v>
      </c>
      <c r="L281">
        <v>0</v>
      </c>
      <c r="M281">
        <v>0</v>
      </c>
      <c r="N281">
        <v>8</v>
      </c>
      <c r="O281" s="4">
        <f t="shared" si="27"/>
        <v>8</v>
      </c>
      <c r="P281" s="5" t="str">
        <f t="shared" si="28"/>
        <v>Moderate engagement</v>
      </c>
      <c r="Q281" t="b">
        <v>0</v>
      </c>
      <c r="R281" t="b">
        <v>0</v>
      </c>
      <c r="S281" t="b">
        <v>1</v>
      </c>
      <c r="T281" s="24" t="str">
        <f t="shared" si="29"/>
        <v>Link</v>
      </c>
    </row>
    <row r="282" spans="1:20" hidden="1" x14ac:dyDescent="0.2">
      <c r="A282" t="s">
        <v>995</v>
      </c>
      <c r="B282" t="s">
        <v>14</v>
      </c>
      <c r="C282" t="s">
        <v>15</v>
      </c>
      <c r="D282" t="s">
        <v>996</v>
      </c>
      <c r="E282" t="s">
        <v>997</v>
      </c>
      <c r="F2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282" s="27">
        <f t="shared" si="24"/>
        <v>40189</v>
      </c>
      <c r="H282" s="7" t="str">
        <f t="shared" si="25"/>
        <v>22:35:01</v>
      </c>
      <c r="I282" s="8" t="str">
        <f t="shared" si="26"/>
        <v>Evening</v>
      </c>
      <c r="L282">
        <v>1</v>
      </c>
      <c r="M282">
        <v>0</v>
      </c>
      <c r="N282">
        <v>8</v>
      </c>
      <c r="O282" s="4">
        <f t="shared" si="27"/>
        <v>9</v>
      </c>
      <c r="P282" s="5" t="str">
        <f t="shared" si="28"/>
        <v>Moderate engagement</v>
      </c>
      <c r="Q282" t="b">
        <v>0</v>
      </c>
      <c r="R282" t="b">
        <v>0</v>
      </c>
      <c r="S282" t="b">
        <v>1</v>
      </c>
      <c r="T282" s="24" t="str">
        <f t="shared" si="29"/>
        <v>Link</v>
      </c>
    </row>
    <row r="283" spans="1:20" hidden="1" x14ac:dyDescent="0.2">
      <c r="A283" t="s">
        <v>925</v>
      </c>
      <c r="B283" t="s">
        <v>14</v>
      </c>
      <c r="C283" t="s">
        <v>15</v>
      </c>
      <c r="D283" t="s">
        <v>926</v>
      </c>
      <c r="E283" t="s">
        <v>927</v>
      </c>
      <c r="F2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3" s="27">
        <f t="shared" si="24"/>
        <v>40205</v>
      </c>
      <c r="H283" s="7" t="str">
        <f t="shared" si="25"/>
        <v>17:09:12</v>
      </c>
      <c r="I283" s="8" t="str">
        <f t="shared" si="26"/>
        <v>Afternoon</v>
      </c>
      <c r="L283">
        <v>1</v>
      </c>
      <c r="M283">
        <v>0</v>
      </c>
      <c r="N283">
        <v>8</v>
      </c>
      <c r="O283" s="4">
        <f t="shared" si="27"/>
        <v>9</v>
      </c>
      <c r="P283" s="5" t="str">
        <f t="shared" si="28"/>
        <v>Moderate engagement</v>
      </c>
      <c r="Q283" t="b">
        <v>0</v>
      </c>
      <c r="R283" t="b">
        <v>0</v>
      </c>
      <c r="S283" t="b">
        <v>1</v>
      </c>
      <c r="T283" s="24" t="str">
        <f t="shared" si="29"/>
        <v>Link</v>
      </c>
    </row>
    <row r="284" spans="1:20" hidden="1" x14ac:dyDescent="0.2">
      <c r="A284" t="s">
        <v>902</v>
      </c>
      <c r="B284" t="s">
        <v>14</v>
      </c>
      <c r="C284" t="s">
        <v>15</v>
      </c>
      <c r="D284" t="s">
        <v>903</v>
      </c>
      <c r="E284" t="s">
        <v>904</v>
      </c>
      <c r="F2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4" s="27">
        <f t="shared" si="24"/>
        <v>40207</v>
      </c>
      <c r="H284" s="7" t="str">
        <f t="shared" si="25"/>
        <v>22:00:37</v>
      </c>
      <c r="I284" s="8" t="str">
        <f t="shared" si="26"/>
        <v>Evening</v>
      </c>
      <c r="L284">
        <v>2</v>
      </c>
      <c r="M284">
        <v>0</v>
      </c>
      <c r="N284">
        <v>8</v>
      </c>
      <c r="O284" s="4">
        <f t="shared" si="27"/>
        <v>10</v>
      </c>
      <c r="P284" s="5" t="str">
        <f t="shared" si="28"/>
        <v>High engagement</v>
      </c>
      <c r="Q284" t="b">
        <v>0</v>
      </c>
      <c r="R284" t="b">
        <v>0</v>
      </c>
      <c r="S284" t="b">
        <v>1</v>
      </c>
      <c r="T284" s="24" t="str">
        <f t="shared" si="29"/>
        <v>Link</v>
      </c>
    </row>
    <row r="285" spans="1:20" hidden="1" x14ac:dyDescent="0.2">
      <c r="A285" t="s">
        <v>830</v>
      </c>
      <c r="B285" t="s">
        <v>14</v>
      </c>
      <c r="C285" t="s">
        <v>15</v>
      </c>
      <c r="D285" t="s">
        <v>831</v>
      </c>
      <c r="E285" t="s">
        <v>832</v>
      </c>
      <c r="F2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5" s="27">
        <f t="shared" si="24"/>
        <v>40210</v>
      </c>
      <c r="H285" s="7" t="str">
        <f t="shared" si="25"/>
        <v>12:10:39</v>
      </c>
      <c r="I285" s="8" t="str">
        <f t="shared" si="26"/>
        <v>Mid-day</v>
      </c>
      <c r="L285">
        <v>0</v>
      </c>
      <c r="M285">
        <v>0</v>
      </c>
      <c r="N285">
        <v>8</v>
      </c>
      <c r="O285" s="4">
        <f t="shared" si="27"/>
        <v>8</v>
      </c>
      <c r="P285" s="5" t="str">
        <f t="shared" si="28"/>
        <v>Moderate engagement</v>
      </c>
      <c r="Q285" t="b">
        <v>0</v>
      </c>
      <c r="R285" t="b">
        <v>0</v>
      </c>
      <c r="S285" t="b">
        <v>1</v>
      </c>
      <c r="T285" s="24" t="str">
        <f t="shared" si="29"/>
        <v>Link</v>
      </c>
    </row>
    <row r="286" spans="1:20" hidden="1" x14ac:dyDescent="0.2">
      <c r="A286" t="s">
        <v>814</v>
      </c>
      <c r="B286" t="s">
        <v>14</v>
      </c>
      <c r="C286" t="s">
        <v>15</v>
      </c>
      <c r="D286" t="s">
        <v>815</v>
      </c>
      <c r="E286" t="s">
        <v>816</v>
      </c>
      <c r="F2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6" s="27">
        <f t="shared" si="24"/>
        <v>40210</v>
      </c>
      <c r="H286" s="7" t="str">
        <f t="shared" si="25"/>
        <v>15:36:29</v>
      </c>
      <c r="I286" s="8" t="str">
        <f t="shared" si="26"/>
        <v>Afternoon</v>
      </c>
      <c r="L286">
        <v>0</v>
      </c>
      <c r="M286">
        <v>0</v>
      </c>
      <c r="N286">
        <v>8</v>
      </c>
      <c r="O286" s="4">
        <f t="shared" si="27"/>
        <v>8</v>
      </c>
      <c r="P286" s="5" t="str">
        <f t="shared" si="28"/>
        <v>Moderate engagement</v>
      </c>
      <c r="Q286" t="b">
        <v>0</v>
      </c>
      <c r="R286" t="b">
        <v>0</v>
      </c>
      <c r="S286" t="b">
        <v>1</v>
      </c>
      <c r="T286" s="24" t="str">
        <f t="shared" si="29"/>
        <v>Link</v>
      </c>
    </row>
    <row r="287" spans="1:20" hidden="1" x14ac:dyDescent="0.2">
      <c r="A287" t="s">
        <v>1083</v>
      </c>
      <c r="B287" t="s">
        <v>14</v>
      </c>
      <c r="C287" t="s">
        <v>15</v>
      </c>
      <c r="D287" t="s">
        <v>1084</v>
      </c>
      <c r="E287" t="s">
        <v>1085</v>
      </c>
      <c r="F2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287" s="27">
        <f t="shared" si="24"/>
        <v>40161</v>
      </c>
      <c r="H287" s="7" t="str">
        <f t="shared" si="25"/>
        <v>16:54:10</v>
      </c>
      <c r="I287" s="8" t="str">
        <f t="shared" si="26"/>
        <v>Afternoon</v>
      </c>
      <c r="L287">
        <v>0</v>
      </c>
      <c r="M287">
        <v>0</v>
      </c>
      <c r="N287">
        <v>7</v>
      </c>
      <c r="O287" s="4">
        <f t="shared" si="27"/>
        <v>7</v>
      </c>
      <c r="P287" s="5" t="str">
        <f t="shared" si="28"/>
        <v>Moderate engagement</v>
      </c>
      <c r="Q287" t="b">
        <v>0</v>
      </c>
      <c r="R287" t="b">
        <v>0</v>
      </c>
      <c r="S287" t="b">
        <v>1</v>
      </c>
      <c r="T287" s="24" t="str">
        <f t="shared" si="29"/>
        <v>Link</v>
      </c>
    </row>
    <row r="288" spans="1:20" hidden="1" x14ac:dyDescent="0.2">
      <c r="A288" t="s">
        <v>864</v>
      </c>
      <c r="B288" t="s">
        <v>14</v>
      </c>
      <c r="C288" t="s">
        <v>15</v>
      </c>
      <c r="D288" t="s">
        <v>865</v>
      </c>
      <c r="E288" t="s">
        <v>866</v>
      </c>
      <c r="F2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8" s="27">
        <f t="shared" si="24"/>
        <v>40208</v>
      </c>
      <c r="H288" s="7" t="str">
        <f t="shared" si="25"/>
        <v>23:11:48</v>
      </c>
      <c r="I288" s="8" t="str">
        <f t="shared" si="26"/>
        <v>Evening</v>
      </c>
      <c r="L288">
        <v>3</v>
      </c>
      <c r="M288">
        <v>0</v>
      </c>
      <c r="N288">
        <v>7</v>
      </c>
      <c r="O288" s="4">
        <f t="shared" si="27"/>
        <v>10</v>
      </c>
      <c r="P288" s="5" t="str">
        <f t="shared" si="28"/>
        <v>High engagement</v>
      </c>
      <c r="Q288" t="b">
        <v>0</v>
      </c>
      <c r="R288" t="b">
        <v>0</v>
      </c>
      <c r="S288" t="b">
        <v>0</v>
      </c>
      <c r="T288" s="24" t="str">
        <f t="shared" si="29"/>
        <v>Text only</v>
      </c>
    </row>
    <row r="289" spans="1:20" hidden="1" x14ac:dyDescent="0.2">
      <c r="A289" t="s">
        <v>790</v>
      </c>
      <c r="B289" t="s">
        <v>14</v>
      </c>
      <c r="C289" t="s">
        <v>15</v>
      </c>
      <c r="D289" t="s">
        <v>791</v>
      </c>
      <c r="E289" t="s">
        <v>792</v>
      </c>
      <c r="F2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89" s="27">
        <f t="shared" si="24"/>
        <v>40210</v>
      </c>
      <c r="H289" s="7" t="str">
        <f t="shared" si="25"/>
        <v>19:55:25</v>
      </c>
      <c r="I289" s="8" t="str">
        <f t="shared" si="26"/>
        <v>Evening</v>
      </c>
      <c r="L289">
        <v>2</v>
      </c>
      <c r="M289">
        <v>0</v>
      </c>
      <c r="N289">
        <v>7</v>
      </c>
      <c r="O289" s="4">
        <f t="shared" si="27"/>
        <v>9</v>
      </c>
      <c r="P289" s="5" t="str">
        <f t="shared" si="28"/>
        <v>Moderate engagement</v>
      </c>
      <c r="Q289" t="b">
        <v>0</v>
      </c>
      <c r="R289" t="b">
        <v>0</v>
      </c>
      <c r="S289" t="b">
        <v>0</v>
      </c>
      <c r="T289" s="24" t="str">
        <f t="shared" si="29"/>
        <v>Text only</v>
      </c>
    </row>
    <row r="290" spans="1:20" hidden="1" x14ac:dyDescent="0.2">
      <c r="A290" t="s">
        <v>680</v>
      </c>
      <c r="B290" t="s">
        <v>14</v>
      </c>
      <c r="C290" t="s">
        <v>15</v>
      </c>
      <c r="D290" t="s">
        <v>681</v>
      </c>
      <c r="E290" t="s">
        <v>682</v>
      </c>
      <c r="F2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0" s="27">
        <f t="shared" si="24"/>
        <v>40214</v>
      </c>
      <c r="H290" s="7" t="str">
        <f t="shared" si="25"/>
        <v>16:32:08</v>
      </c>
      <c r="I290" s="8" t="str">
        <f t="shared" si="26"/>
        <v>Afternoon</v>
      </c>
      <c r="L290">
        <v>1</v>
      </c>
      <c r="M290">
        <v>0</v>
      </c>
      <c r="N290">
        <v>7</v>
      </c>
      <c r="O290" s="4">
        <f t="shared" si="27"/>
        <v>8</v>
      </c>
      <c r="P290" s="5" t="str">
        <f t="shared" si="28"/>
        <v>Moderate engagement</v>
      </c>
      <c r="Q290" t="b">
        <v>0</v>
      </c>
      <c r="R290" t="b">
        <v>0</v>
      </c>
      <c r="S290" t="b">
        <v>1</v>
      </c>
      <c r="T290" s="24" t="str">
        <f t="shared" si="29"/>
        <v>Link</v>
      </c>
    </row>
    <row r="291" spans="1:20" hidden="1" x14ac:dyDescent="0.2">
      <c r="A291" t="s">
        <v>1156</v>
      </c>
      <c r="B291" t="s">
        <v>14</v>
      </c>
      <c r="C291" t="s">
        <v>15</v>
      </c>
      <c r="D291" t="s">
        <v>1157</v>
      </c>
      <c r="E291" t="s">
        <v>1158</v>
      </c>
      <c r="F2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291" s="27">
        <f t="shared" si="24"/>
        <v>40141</v>
      </c>
      <c r="H291" s="7" t="str">
        <f t="shared" si="25"/>
        <v>21:57:22</v>
      </c>
      <c r="I291" s="8" t="str">
        <f t="shared" si="26"/>
        <v>Evening</v>
      </c>
      <c r="L291">
        <v>0</v>
      </c>
      <c r="M291">
        <v>0</v>
      </c>
      <c r="N291">
        <v>6</v>
      </c>
      <c r="O291" s="4">
        <f t="shared" si="27"/>
        <v>6</v>
      </c>
      <c r="P291" s="5" t="str">
        <f t="shared" si="28"/>
        <v>Moderate engagement</v>
      </c>
      <c r="Q291" t="b">
        <v>0</v>
      </c>
      <c r="R291" t="b">
        <v>0</v>
      </c>
      <c r="S291" t="b">
        <v>1</v>
      </c>
      <c r="T291" s="24" t="str">
        <f t="shared" si="29"/>
        <v>Link</v>
      </c>
    </row>
    <row r="292" spans="1:20" hidden="1" x14ac:dyDescent="0.2">
      <c r="A292" t="s">
        <v>845</v>
      </c>
      <c r="B292" t="s">
        <v>14</v>
      </c>
      <c r="C292" t="s">
        <v>15</v>
      </c>
      <c r="D292" t="s">
        <v>846</v>
      </c>
      <c r="E292" t="s">
        <v>847</v>
      </c>
      <c r="F2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2" s="27">
        <f t="shared" si="24"/>
        <v>40208</v>
      </c>
      <c r="H292" s="7" t="str">
        <f t="shared" si="25"/>
        <v>23:24:51</v>
      </c>
      <c r="I292" s="8" t="str">
        <f t="shared" si="26"/>
        <v>Evening</v>
      </c>
      <c r="L292">
        <v>2</v>
      </c>
      <c r="M292">
        <v>0</v>
      </c>
      <c r="N292">
        <v>6</v>
      </c>
      <c r="O292" s="4">
        <f t="shared" si="27"/>
        <v>8</v>
      </c>
      <c r="P292" s="5" t="str">
        <f t="shared" si="28"/>
        <v>Moderate engagement</v>
      </c>
      <c r="Q292" t="b">
        <v>0</v>
      </c>
      <c r="R292" t="b">
        <v>0</v>
      </c>
      <c r="S292" t="b">
        <v>1</v>
      </c>
      <c r="T292" s="24" t="str">
        <f t="shared" si="29"/>
        <v>Link</v>
      </c>
    </row>
    <row r="293" spans="1:20" hidden="1" x14ac:dyDescent="0.2">
      <c r="A293" t="s">
        <v>818</v>
      </c>
      <c r="B293" t="s">
        <v>14</v>
      </c>
      <c r="C293" t="s">
        <v>15</v>
      </c>
      <c r="D293" t="s">
        <v>817</v>
      </c>
      <c r="E293" t="s">
        <v>819</v>
      </c>
      <c r="F2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3" s="27">
        <f t="shared" si="24"/>
        <v>40210</v>
      </c>
      <c r="H293" s="7" t="str">
        <f t="shared" si="25"/>
        <v>14:36:44</v>
      </c>
      <c r="I293" s="8" t="str">
        <f t="shared" si="26"/>
        <v>Afternoon</v>
      </c>
      <c r="L293">
        <v>0</v>
      </c>
      <c r="M293">
        <v>0</v>
      </c>
      <c r="N293">
        <v>6</v>
      </c>
      <c r="O293" s="4">
        <f t="shared" si="27"/>
        <v>6</v>
      </c>
      <c r="P293" s="5" t="str">
        <f t="shared" si="28"/>
        <v>Moderate engagement</v>
      </c>
      <c r="Q293" t="b">
        <v>0</v>
      </c>
      <c r="R293" t="b">
        <v>0</v>
      </c>
      <c r="S293" t="b">
        <v>1</v>
      </c>
      <c r="T293" s="24" t="str">
        <f t="shared" si="29"/>
        <v>Link</v>
      </c>
    </row>
    <row r="294" spans="1:20" hidden="1" x14ac:dyDescent="0.2">
      <c r="A294" t="s">
        <v>807</v>
      </c>
      <c r="B294" t="s">
        <v>14</v>
      </c>
      <c r="C294" t="s">
        <v>15</v>
      </c>
      <c r="D294" t="s">
        <v>808</v>
      </c>
      <c r="E294" t="s">
        <v>809</v>
      </c>
      <c r="F2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4" s="27">
        <f t="shared" si="24"/>
        <v>40210</v>
      </c>
      <c r="H294" s="7" t="str">
        <f t="shared" si="25"/>
        <v>18:43:57</v>
      </c>
      <c r="I294" s="8" t="str">
        <f t="shared" si="26"/>
        <v>Evening</v>
      </c>
      <c r="L294">
        <v>0</v>
      </c>
      <c r="M294">
        <v>0</v>
      </c>
      <c r="N294">
        <v>6</v>
      </c>
      <c r="O294" s="4">
        <f t="shared" si="27"/>
        <v>6</v>
      </c>
      <c r="P294" s="5" t="str">
        <f t="shared" si="28"/>
        <v>Moderate engagement</v>
      </c>
      <c r="Q294" t="b">
        <v>0</v>
      </c>
      <c r="R294" t="b">
        <v>0</v>
      </c>
      <c r="S294" t="b">
        <v>1</v>
      </c>
      <c r="T294" s="24" t="str">
        <f t="shared" si="29"/>
        <v>Link</v>
      </c>
    </row>
    <row r="295" spans="1:20" hidden="1" x14ac:dyDescent="0.2">
      <c r="A295" t="s">
        <v>796</v>
      </c>
      <c r="B295" t="s">
        <v>14</v>
      </c>
      <c r="C295" t="s">
        <v>15</v>
      </c>
      <c r="D295" t="s">
        <v>797</v>
      </c>
      <c r="E295" t="s">
        <v>798</v>
      </c>
      <c r="F2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5" s="27">
        <f t="shared" si="24"/>
        <v>40210</v>
      </c>
      <c r="H295" s="7" t="str">
        <f t="shared" si="25"/>
        <v>19:42:17</v>
      </c>
      <c r="I295" s="8" t="str">
        <f t="shared" si="26"/>
        <v>Evening</v>
      </c>
      <c r="L295">
        <v>2</v>
      </c>
      <c r="M295">
        <v>0</v>
      </c>
      <c r="N295">
        <v>6</v>
      </c>
      <c r="O295" s="4">
        <f t="shared" si="27"/>
        <v>8</v>
      </c>
      <c r="P295" s="5" t="str">
        <f t="shared" si="28"/>
        <v>Moderate engagement</v>
      </c>
      <c r="Q295" t="b">
        <v>0</v>
      </c>
      <c r="R295" t="b">
        <v>0</v>
      </c>
      <c r="S295" t="b">
        <v>0</v>
      </c>
      <c r="T295" s="24" t="str">
        <f t="shared" si="29"/>
        <v>Text only</v>
      </c>
    </row>
    <row r="296" spans="1:20" hidden="1" x14ac:dyDescent="0.2">
      <c r="A296" t="s">
        <v>787</v>
      </c>
      <c r="B296" t="s">
        <v>14</v>
      </c>
      <c r="C296" t="s">
        <v>15</v>
      </c>
      <c r="D296" t="s">
        <v>788</v>
      </c>
      <c r="E296" t="s">
        <v>789</v>
      </c>
      <c r="F2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6" s="27">
        <f t="shared" si="24"/>
        <v>40210</v>
      </c>
      <c r="H296" s="7" t="str">
        <f t="shared" si="25"/>
        <v>19:56:37</v>
      </c>
      <c r="I296" s="8" t="str">
        <f t="shared" si="26"/>
        <v>Evening</v>
      </c>
      <c r="L296">
        <v>3</v>
      </c>
      <c r="M296">
        <v>0</v>
      </c>
      <c r="N296">
        <v>6</v>
      </c>
      <c r="O296" s="4">
        <f t="shared" si="27"/>
        <v>9</v>
      </c>
      <c r="P296" s="5" t="str">
        <f t="shared" si="28"/>
        <v>Moderate engagement</v>
      </c>
      <c r="Q296" t="b">
        <v>0</v>
      </c>
      <c r="R296" t="b">
        <v>0</v>
      </c>
      <c r="S296" t="b">
        <v>0</v>
      </c>
      <c r="T296" s="24" t="str">
        <f t="shared" si="29"/>
        <v>Text only</v>
      </c>
    </row>
    <row r="297" spans="1:20" hidden="1" x14ac:dyDescent="0.2">
      <c r="A297" t="s">
        <v>743</v>
      </c>
      <c r="B297" t="s">
        <v>14</v>
      </c>
      <c r="C297" t="s">
        <v>15</v>
      </c>
      <c r="D297" t="s">
        <v>744</v>
      </c>
      <c r="E297" t="s">
        <v>745</v>
      </c>
      <c r="F2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7" s="27">
        <f t="shared" si="24"/>
        <v>40210</v>
      </c>
      <c r="H297" s="7" t="str">
        <f t="shared" si="25"/>
        <v>20:22:52</v>
      </c>
      <c r="I297" s="8" t="str">
        <f t="shared" si="26"/>
        <v>Evening</v>
      </c>
      <c r="L297">
        <v>1</v>
      </c>
      <c r="M297">
        <v>0</v>
      </c>
      <c r="N297">
        <v>6</v>
      </c>
      <c r="O297" s="4">
        <f t="shared" si="27"/>
        <v>7</v>
      </c>
      <c r="P297" s="5" t="str">
        <f t="shared" si="28"/>
        <v>Moderate engagement</v>
      </c>
      <c r="Q297" t="b">
        <v>0</v>
      </c>
      <c r="R297" t="b">
        <v>0</v>
      </c>
      <c r="S297" t="b">
        <v>1</v>
      </c>
      <c r="T297" s="24" t="str">
        <f t="shared" si="29"/>
        <v>Link</v>
      </c>
    </row>
    <row r="298" spans="1:20" hidden="1" x14ac:dyDescent="0.2">
      <c r="A298" t="s">
        <v>714</v>
      </c>
      <c r="B298" t="s">
        <v>14</v>
      </c>
      <c r="C298" t="s">
        <v>15</v>
      </c>
      <c r="D298" t="s">
        <v>715</v>
      </c>
      <c r="E298" t="s">
        <v>716</v>
      </c>
      <c r="F2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298" s="27">
        <f t="shared" si="24"/>
        <v>40212</v>
      </c>
      <c r="H298" s="7" t="str">
        <f t="shared" si="25"/>
        <v>17:46:54</v>
      </c>
      <c r="I298" s="8" t="str">
        <f t="shared" si="26"/>
        <v>Afternoon</v>
      </c>
      <c r="L298">
        <v>0</v>
      </c>
      <c r="M298">
        <v>0</v>
      </c>
      <c r="N298">
        <v>6</v>
      </c>
      <c r="O298" s="4">
        <f t="shared" si="27"/>
        <v>6</v>
      </c>
      <c r="P298" s="5" t="str">
        <f t="shared" si="28"/>
        <v>Moderate engagement</v>
      </c>
      <c r="Q298" t="b">
        <v>0</v>
      </c>
      <c r="R298" t="b">
        <v>0</v>
      </c>
      <c r="S298" t="b">
        <v>1</v>
      </c>
      <c r="T298" s="24" t="str">
        <f t="shared" si="29"/>
        <v>Link</v>
      </c>
    </row>
    <row r="299" spans="1:20" hidden="1" x14ac:dyDescent="0.2">
      <c r="A299" t="s">
        <v>1135</v>
      </c>
      <c r="B299" t="s">
        <v>14</v>
      </c>
      <c r="C299" t="s">
        <v>15</v>
      </c>
      <c r="D299" t="s">
        <v>1136</v>
      </c>
      <c r="E299" t="s">
        <v>1137</v>
      </c>
      <c r="F2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299" s="27">
        <f t="shared" si="24"/>
        <v>40149</v>
      </c>
      <c r="H299" s="7" t="str">
        <f t="shared" si="25"/>
        <v>16:32:45</v>
      </c>
      <c r="I299" s="8" t="str">
        <f t="shared" si="26"/>
        <v>Afternoon</v>
      </c>
      <c r="L299">
        <v>0</v>
      </c>
      <c r="M299">
        <v>0</v>
      </c>
      <c r="N299">
        <v>5</v>
      </c>
      <c r="O299" s="4">
        <f t="shared" si="27"/>
        <v>5</v>
      </c>
      <c r="P299" s="5" t="str">
        <f t="shared" si="28"/>
        <v>Moderate engagement</v>
      </c>
      <c r="Q299" t="b">
        <v>0</v>
      </c>
      <c r="R299" t="b">
        <v>0</v>
      </c>
      <c r="S299" t="b">
        <v>1</v>
      </c>
      <c r="T299" s="24" t="str">
        <f t="shared" si="29"/>
        <v>Link</v>
      </c>
    </row>
    <row r="300" spans="1:20" hidden="1" x14ac:dyDescent="0.2">
      <c r="A300" t="s">
        <v>1020</v>
      </c>
      <c r="B300" t="s">
        <v>14</v>
      </c>
      <c r="C300" t="s">
        <v>15</v>
      </c>
      <c r="D300" t="s">
        <v>1021</v>
      </c>
      <c r="E300" t="s">
        <v>1022</v>
      </c>
      <c r="F3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0" s="27">
        <f t="shared" si="24"/>
        <v>40189</v>
      </c>
      <c r="H300" s="7" t="str">
        <f t="shared" si="25"/>
        <v>15:08:48</v>
      </c>
      <c r="I300" s="8" t="str">
        <f t="shared" si="26"/>
        <v>Afternoon</v>
      </c>
      <c r="L300">
        <v>1</v>
      </c>
      <c r="M300">
        <v>0</v>
      </c>
      <c r="N300">
        <v>5</v>
      </c>
      <c r="O300" s="4">
        <f t="shared" si="27"/>
        <v>6</v>
      </c>
      <c r="P300" s="5" t="str">
        <f t="shared" si="28"/>
        <v>Moderate engagement</v>
      </c>
      <c r="Q300" t="b">
        <v>0</v>
      </c>
      <c r="R300" t="b">
        <v>0</v>
      </c>
      <c r="S300" t="b">
        <v>0</v>
      </c>
      <c r="T300" s="24" t="str">
        <f t="shared" si="29"/>
        <v>Text only</v>
      </c>
    </row>
    <row r="301" spans="1:20" hidden="1" x14ac:dyDescent="0.2">
      <c r="A301" t="s">
        <v>989</v>
      </c>
      <c r="B301" t="s">
        <v>14</v>
      </c>
      <c r="C301" t="s">
        <v>15</v>
      </c>
      <c r="D301" t="s">
        <v>990</v>
      </c>
      <c r="E301" t="s">
        <v>991</v>
      </c>
      <c r="F3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1" s="27">
        <f t="shared" si="24"/>
        <v>40191</v>
      </c>
      <c r="H301" s="7" t="str">
        <f t="shared" si="25"/>
        <v>01:09:11</v>
      </c>
      <c r="I301" s="8" t="str">
        <f t="shared" si="26"/>
        <v>Early morning</v>
      </c>
      <c r="L301">
        <v>2</v>
      </c>
      <c r="M301">
        <v>0</v>
      </c>
      <c r="N301">
        <v>5</v>
      </c>
      <c r="O301" s="4">
        <f t="shared" si="27"/>
        <v>7</v>
      </c>
      <c r="P301" s="5" t="str">
        <f t="shared" si="28"/>
        <v>Moderate engagement</v>
      </c>
      <c r="Q301" t="b">
        <v>0</v>
      </c>
      <c r="R301" t="b">
        <v>0</v>
      </c>
      <c r="S301" t="b">
        <v>1</v>
      </c>
      <c r="T301" s="24" t="str">
        <f t="shared" si="29"/>
        <v>Link</v>
      </c>
    </row>
    <row r="302" spans="1:20" hidden="1" x14ac:dyDescent="0.2">
      <c r="A302" t="s">
        <v>983</v>
      </c>
      <c r="B302" t="s">
        <v>14</v>
      </c>
      <c r="C302" t="s">
        <v>15</v>
      </c>
      <c r="D302" t="s">
        <v>984</v>
      </c>
      <c r="E302" t="s">
        <v>985</v>
      </c>
      <c r="F3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2" s="27">
        <f t="shared" si="24"/>
        <v>40192</v>
      </c>
      <c r="H302" s="7" t="str">
        <f t="shared" si="25"/>
        <v>19:41:55</v>
      </c>
      <c r="I302" s="8" t="str">
        <f t="shared" si="26"/>
        <v>Evening</v>
      </c>
      <c r="L302">
        <v>0</v>
      </c>
      <c r="M302">
        <v>0</v>
      </c>
      <c r="N302">
        <v>5</v>
      </c>
      <c r="O302" s="4">
        <f t="shared" si="27"/>
        <v>5</v>
      </c>
      <c r="P302" s="5" t="str">
        <f t="shared" si="28"/>
        <v>Moderate engagement</v>
      </c>
      <c r="Q302" t="b">
        <v>0</v>
      </c>
      <c r="R302" t="b">
        <v>0</v>
      </c>
      <c r="S302" t="b">
        <v>1</v>
      </c>
      <c r="T302" s="24" t="str">
        <f t="shared" si="29"/>
        <v>Link</v>
      </c>
    </row>
    <row r="303" spans="1:20" hidden="1" x14ac:dyDescent="0.2">
      <c r="A303" t="s">
        <v>895</v>
      </c>
      <c r="B303" t="s">
        <v>14</v>
      </c>
      <c r="C303" t="s">
        <v>15</v>
      </c>
      <c r="D303" t="s">
        <v>896</v>
      </c>
      <c r="E303" t="s">
        <v>897</v>
      </c>
      <c r="F3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03" s="27">
        <f t="shared" si="24"/>
        <v>40207</v>
      </c>
      <c r="H303" s="7" t="str">
        <f t="shared" si="25"/>
        <v>23:21:12</v>
      </c>
      <c r="I303" s="8" t="str">
        <f t="shared" si="26"/>
        <v>Evening</v>
      </c>
      <c r="L303">
        <v>1</v>
      </c>
      <c r="M303">
        <v>0</v>
      </c>
      <c r="N303">
        <v>5</v>
      </c>
      <c r="O303" s="4">
        <f t="shared" si="27"/>
        <v>6</v>
      </c>
      <c r="P303" s="5" t="str">
        <f t="shared" si="28"/>
        <v>Moderate engagement</v>
      </c>
      <c r="Q303" t="b">
        <v>0</v>
      </c>
      <c r="R303" t="b">
        <v>0</v>
      </c>
      <c r="S303" t="b">
        <v>1</v>
      </c>
      <c r="T303" s="24" t="str">
        <f t="shared" si="29"/>
        <v>Link</v>
      </c>
    </row>
    <row r="304" spans="1:20" hidden="1" x14ac:dyDescent="0.2">
      <c r="A304" t="s">
        <v>1159</v>
      </c>
      <c r="B304" t="s">
        <v>14</v>
      </c>
      <c r="C304" t="s">
        <v>15</v>
      </c>
      <c r="D304" t="s">
        <v>1160</v>
      </c>
      <c r="E304" t="s">
        <v>1161</v>
      </c>
      <c r="F3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04" s="27">
        <f t="shared" si="24"/>
        <v>40141</v>
      </c>
      <c r="H304" s="7" t="str">
        <f t="shared" si="25"/>
        <v>19:55:18</v>
      </c>
      <c r="I304" s="8" t="str">
        <f t="shared" si="26"/>
        <v>Evening</v>
      </c>
      <c r="L304">
        <v>0</v>
      </c>
      <c r="M304">
        <v>0</v>
      </c>
      <c r="N304">
        <v>4</v>
      </c>
      <c r="O304" s="4">
        <f t="shared" si="27"/>
        <v>4</v>
      </c>
      <c r="P304" s="5" t="str">
        <f t="shared" si="28"/>
        <v>Low engagement</v>
      </c>
      <c r="Q304" t="b">
        <v>0</v>
      </c>
      <c r="R304" t="b">
        <v>0</v>
      </c>
      <c r="S304" t="b">
        <v>1</v>
      </c>
      <c r="T304" s="24" t="str">
        <f t="shared" si="29"/>
        <v>Link</v>
      </c>
    </row>
    <row r="305" spans="1:20" hidden="1" x14ac:dyDescent="0.2">
      <c r="A305" t="s">
        <v>1141</v>
      </c>
      <c r="B305" t="s">
        <v>14</v>
      </c>
      <c r="C305" t="s">
        <v>15</v>
      </c>
      <c r="D305" t="s">
        <v>1142</v>
      </c>
      <c r="E305" t="s">
        <v>1143</v>
      </c>
      <c r="F3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5" s="27">
        <f t="shared" si="24"/>
        <v>40148</v>
      </c>
      <c r="H305" s="7" t="str">
        <f t="shared" si="25"/>
        <v>18:35:37</v>
      </c>
      <c r="I305" s="8" t="str">
        <f t="shared" si="26"/>
        <v>Evening</v>
      </c>
      <c r="L305">
        <v>0</v>
      </c>
      <c r="M305">
        <v>0</v>
      </c>
      <c r="N305">
        <v>4</v>
      </c>
      <c r="O305" s="4">
        <f t="shared" si="27"/>
        <v>4</v>
      </c>
      <c r="P305" s="5" t="str">
        <f t="shared" si="28"/>
        <v>Low engagement</v>
      </c>
      <c r="Q305" t="b">
        <v>0</v>
      </c>
      <c r="R305" t="b">
        <v>0</v>
      </c>
      <c r="S305" t="b">
        <v>1</v>
      </c>
      <c r="T305" s="24" t="str">
        <f t="shared" si="29"/>
        <v>Link</v>
      </c>
    </row>
    <row r="306" spans="1:20" hidden="1" x14ac:dyDescent="0.2">
      <c r="A306" t="s">
        <v>1111</v>
      </c>
      <c r="B306" t="s">
        <v>14</v>
      </c>
      <c r="C306" t="s">
        <v>15</v>
      </c>
      <c r="D306" t="s">
        <v>1112</v>
      </c>
      <c r="E306" t="s">
        <v>1113</v>
      </c>
      <c r="F3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6" s="27">
        <f t="shared" si="24"/>
        <v>40156</v>
      </c>
      <c r="H306" s="7" t="str">
        <f t="shared" si="25"/>
        <v>00:24:55</v>
      </c>
      <c r="I306" s="8" t="str">
        <f t="shared" si="26"/>
        <v>Early morning</v>
      </c>
      <c r="L306">
        <v>1</v>
      </c>
      <c r="M306">
        <v>0</v>
      </c>
      <c r="N306">
        <v>4</v>
      </c>
      <c r="O306" s="4">
        <f t="shared" si="27"/>
        <v>5</v>
      </c>
      <c r="P306" s="5" t="str">
        <f t="shared" si="28"/>
        <v>Moderate engagement</v>
      </c>
      <c r="Q306" t="b">
        <v>0</v>
      </c>
      <c r="R306" t="b">
        <v>0</v>
      </c>
      <c r="S306" t="b">
        <v>1</v>
      </c>
      <c r="T306" s="24" t="str">
        <f t="shared" si="29"/>
        <v>Link</v>
      </c>
    </row>
    <row r="307" spans="1:20" hidden="1" x14ac:dyDescent="0.2">
      <c r="A307" t="s">
        <v>1017</v>
      </c>
      <c r="B307" t="s">
        <v>14</v>
      </c>
      <c r="C307" t="s">
        <v>15</v>
      </c>
      <c r="D307" t="s">
        <v>1018</v>
      </c>
      <c r="E307" t="s">
        <v>1019</v>
      </c>
      <c r="F3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7" s="27">
        <f t="shared" si="24"/>
        <v>40189</v>
      </c>
      <c r="H307" s="7" t="str">
        <f t="shared" si="25"/>
        <v>15:17:26</v>
      </c>
      <c r="I307" s="8" t="str">
        <f t="shared" si="26"/>
        <v>Afternoon</v>
      </c>
      <c r="L307">
        <v>0</v>
      </c>
      <c r="M307">
        <v>0</v>
      </c>
      <c r="N307">
        <v>4</v>
      </c>
      <c r="O307" s="4">
        <f t="shared" si="27"/>
        <v>4</v>
      </c>
      <c r="P307" s="5" t="str">
        <f t="shared" si="28"/>
        <v>Low engagement</v>
      </c>
      <c r="Q307" t="b">
        <v>0</v>
      </c>
      <c r="R307" t="b">
        <v>0</v>
      </c>
      <c r="S307" t="b">
        <v>1</v>
      </c>
      <c r="T307" s="24" t="str">
        <f t="shared" si="29"/>
        <v>Link</v>
      </c>
    </row>
    <row r="308" spans="1:20" hidden="1" x14ac:dyDescent="0.2">
      <c r="A308" t="s">
        <v>1008</v>
      </c>
      <c r="B308" t="s">
        <v>14</v>
      </c>
      <c r="C308" t="s">
        <v>15</v>
      </c>
      <c r="D308" t="s">
        <v>1009</v>
      </c>
      <c r="E308" t="s">
        <v>1010</v>
      </c>
      <c r="F3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8" s="27">
        <f t="shared" si="24"/>
        <v>40189</v>
      </c>
      <c r="H308" s="7" t="str">
        <f t="shared" si="25"/>
        <v>15:22:50</v>
      </c>
      <c r="I308" s="8" t="str">
        <f t="shared" si="26"/>
        <v>Afternoon</v>
      </c>
      <c r="L308">
        <v>0</v>
      </c>
      <c r="M308">
        <v>0</v>
      </c>
      <c r="N308">
        <v>4</v>
      </c>
      <c r="O308" s="4">
        <f t="shared" si="27"/>
        <v>4</v>
      </c>
      <c r="P308" s="5" t="str">
        <f t="shared" si="28"/>
        <v>Low engagement</v>
      </c>
      <c r="Q308" t="b">
        <v>0</v>
      </c>
      <c r="R308" t="b">
        <v>0</v>
      </c>
      <c r="S308" t="b">
        <v>1</v>
      </c>
      <c r="T308" s="24" t="str">
        <f t="shared" si="29"/>
        <v>Link</v>
      </c>
    </row>
    <row r="309" spans="1:20" hidden="1" x14ac:dyDescent="0.2">
      <c r="A309" t="s">
        <v>1002</v>
      </c>
      <c r="B309" t="s">
        <v>14</v>
      </c>
      <c r="C309" t="s">
        <v>15</v>
      </c>
      <c r="D309" t="s">
        <v>1003</v>
      </c>
      <c r="E309" t="s">
        <v>1004</v>
      </c>
      <c r="F3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09" s="27">
        <f t="shared" si="24"/>
        <v>40189</v>
      </c>
      <c r="H309" s="7" t="str">
        <f t="shared" si="25"/>
        <v>15:42:52</v>
      </c>
      <c r="I309" s="8" t="str">
        <f t="shared" si="26"/>
        <v>Afternoon</v>
      </c>
      <c r="L309">
        <v>0</v>
      </c>
      <c r="M309">
        <v>0</v>
      </c>
      <c r="N309">
        <v>4</v>
      </c>
      <c r="O309" s="4">
        <f t="shared" si="27"/>
        <v>4</v>
      </c>
      <c r="P309" s="5" t="str">
        <f t="shared" si="28"/>
        <v>Low engagement</v>
      </c>
      <c r="Q309" t="b">
        <v>0</v>
      </c>
      <c r="R309" t="b">
        <v>0</v>
      </c>
      <c r="S309" t="b">
        <v>1</v>
      </c>
      <c r="T309" s="24" t="str">
        <f t="shared" si="29"/>
        <v>Link</v>
      </c>
    </row>
    <row r="310" spans="1:20" hidden="1" x14ac:dyDescent="0.2">
      <c r="A310" t="s">
        <v>980</v>
      </c>
      <c r="B310" t="s">
        <v>14</v>
      </c>
      <c r="C310" t="s">
        <v>15</v>
      </c>
      <c r="D310" t="s">
        <v>981</v>
      </c>
      <c r="E310" t="s">
        <v>982</v>
      </c>
      <c r="F3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0" s="27">
        <f t="shared" si="24"/>
        <v>40193</v>
      </c>
      <c r="H310" s="7" t="str">
        <f t="shared" si="25"/>
        <v>18:03:07</v>
      </c>
      <c r="I310" s="8" t="str">
        <f t="shared" si="26"/>
        <v>Evening</v>
      </c>
      <c r="L310">
        <v>0</v>
      </c>
      <c r="M310">
        <v>0</v>
      </c>
      <c r="N310">
        <v>4</v>
      </c>
      <c r="O310" s="4">
        <f t="shared" si="27"/>
        <v>4</v>
      </c>
      <c r="P310" s="5" t="str">
        <f t="shared" si="28"/>
        <v>Low engagement</v>
      </c>
      <c r="Q310" t="b">
        <v>0</v>
      </c>
      <c r="R310" t="b">
        <v>0</v>
      </c>
      <c r="S310" t="b">
        <v>1</v>
      </c>
      <c r="T310" s="24" t="str">
        <f t="shared" si="29"/>
        <v>Link</v>
      </c>
    </row>
    <row r="311" spans="1:20" hidden="1" x14ac:dyDescent="0.2">
      <c r="A311" t="s">
        <v>947</v>
      </c>
      <c r="B311" t="s">
        <v>14</v>
      </c>
      <c r="C311" t="s">
        <v>15</v>
      </c>
      <c r="D311" t="s">
        <v>948</v>
      </c>
      <c r="E311" t="s">
        <v>949</v>
      </c>
      <c r="F3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11" s="27">
        <f t="shared" si="24"/>
        <v>40200</v>
      </c>
      <c r="H311" s="7" t="str">
        <f t="shared" si="25"/>
        <v>23:33:34</v>
      </c>
      <c r="I311" s="8" t="str">
        <f t="shared" si="26"/>
        <v>Evening</v>
      </c>
      <c r="L311">
        <v>0</v>
      </c>
      <c r="M311">
        <v>0</v>
      </c>
      <c r="N311">
        <v>4</v>
      </c>
      <c r="O311" s="4">
        <f t="shared" si="27"/>
        <v>4</v>
      </c>
      <c r="P311" s="5" t="str">
        <f t="shared" si="28"/>
        <v>Low engagement</v>
      </c>
      <c r="Q311" t="b">
        <v>0</v>
      </c>
      <c r="R311" t="b">
        <v>0</v>
      </c>
      <c r="S311" t="b">
        <v>1</v>
      </c>
      <c r="T311" s="24" t="str">
        <f t="shared" si="29"/>
        <v>Link</v>
      </c>
    </row>
    <row r="312" spans="1:20" hidden="1" x14ac:dyDescent="0.2">
      <c r="A312" t="s">
        <v>1153</v>
      </c>
      <c r="B312" t="s">
        <v>14</v>
      </c>
      <c r="C312" t="s">
        <v>15</v>
      </c>
      <c r="D312" t="s">
        <v>1154</v>
      </c>
      <c r="E312" t="s">
        <v>1155</v>
      </c>
      <c r="F3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2" s="27">
        <f t="shared" si="24"/>
        <v>40142</v>
      </c>
      <c r="H312" s="7" t="str">
        <f t="shared" si="25"/>
        <v>13:02:35</v>
      </c>
      <c r="I312" s="8" t="str">
        <f t="shared" si="26"/>
        <v>Mid-day</v>
      </c>
      <c r="L312">
        <v>1</v>
      </c>
      <c r="M312">
        <v>0</v>
      </c>
      <c r="N312">
        <v>3</v>
      </c>
      <c r="O312" s="4">
        <f t="shared" si="27"/>
        <v>4</v>
      </c>
      <c r="P312" s="5" t="str">
        <f t="shared" si="28"/>
        <v>Low engagement</v>
      </c>
      <c r="Q312" t="b">
        <v>0</v>
      </c>
      <c r="R312" t="b">
        <v>0</v>
      </c>
      <c r="S312" t="b">
        <v>1</v>
      </c>
      <c r="T312" s="24" t="str">
        <f t="shared" si="29"/>
        <v>Link</v>
      </c>
    </row>
    <row r="313" spans="1:20" hidden="1" x14ac:dyDescent="0.2">
      <c r="A313" t="s">
        <v>1144</v>
      </c>
      <c r="B313" t="s">
        <v>14</v>
      </c>
      <c r="C313" t="s">
        <v>15</v>
      </c>
      <c r="D313" t="s">
        <v>1145</v>
      </c>
      <c r="E313" t="s">
        <v>1146</v>
      </c>
      <c r="F3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3" s="27">
        <f t="shared" si="24"/>
        <v>40148</v>
      </c>
      <c r="H313" s="7" t="str">
        <f t="shared" si="25"/>
        <v>17:46:47</v>
      </c>
      <c r="I313" s="8" t="str">
        <f t="shared" si="26"/>
        <v>Afternoon</v>
      </c>
      <c r="L313">
        <v>0</v>
      </c>
      <c r="M313">
        <v>0</v>
      </c>
      <c r="N313">
        <v>3</v>
      </c>
      <c r="O313" s="4">
        <f t="shared" si="27"/>
        <v>3</v>
      </c>
      <c r="P313" s="5" t="str">
        <f t="shared" si="28"/>
        <v>Low engagement</v>
      </c>
      <c r="Q313" t="b">
        <v>0</v>
      </c>
      <c r="R313" t="b">
        <v>0</v>
      </c>
      <c r="S313" t="b">
        <v>1</v>
      </c>
      <c r="T313" s="24" t="str">
        <f t="shared" si="29"/>
        <v>Link</v>
      </c>
    </row>
    <row r="314" spans="1:20" hidden="1" x14ac:dyDescent="0.2">
      <c r="A314" t="s">
        <v>1129</v>
      </c>
      <c r="B314" t="s">
        <v>14</v>
      </c>
      <c r="C314" t="s">
        <v>15</v>
      </c>
      <c r="D314" t="s">
        <v>1130</v>
      </c>
      <c r="E314" t="s">
        <v>1131</v>
      </c>
      <c r="F3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4" s="27">
        <f t="shared" si="24"/>
        <v>40149</v>
      </c>
      <c r="H314" s="7" t="str">
        <f t="shared" si="25"/>
        <v>19:10:04</v>
      </c>
      <c r="I314" s="8" t="str">
        <f t="shared" si="26"/>
        <v>Evening</v>
      </c>
      <c r="L314">
        <v>1</v>
      </c>
      <c r="M314">
        <v>0</v>
      </c>
      <c r="N314">
        <v>3</v>
      </c>
      <c r="O314" s="4">
        <f t="shared" si="27"/>
        <v>4</v>
      </c>
      <c r="P314" s="5" t="str">
        <f t="shared" si="28"/>
        <v>Low engagement</v>
      </c>
      <c r="Q314" t="b">
        <v>0</v>
      </c>
      <c r="R314" t="b">
        <v>0</v>
      </c>
      <c r="S314" t="b">
        <v>1</v>
      </c>
      <c r="T314" s="24" t="str">
        <f t="shared" si="29"/>
        <v>Link</v>
      </c>
    </row>
    <row r="315" spans="1:20" hidden="1" x14ac:dyDescent="0.2">
      <c r="A315" t="s">
        <v>1117</v>
      </c>
      <c r="B315" t="s">
        <v>14</v>
      </c>
      <c r="C315" t="s">
        <v>15</v>
      </c>
      <c r="D315" t="s">
        <v>1118</v>
      </c>
      <c r="E315" t="s">
        <v>1119</v>
      </c>
      <c r="F3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5" s="27">
        <f t="shared" si="24"/>
        <v>40155</v>
      </c>
      <c r="H315" s="7" t="str">
        <f t="shared" si="25"/>
        <v>20:00:32</v>
      </c>
      <c r="I315" s="8" t="str">
        <f t="shared" si="26"/>
        <v>Evening</v>
      </c>
      <c r="L315">
        <v>0</v>
      </c>
      <c r="M315">
        <v>0</v>
      </c>
      <c r="N315">
        <v>3</v>
      </c>
      <c r="O315" s="4">
        <f t="shared" si="27"/>
        <v>3</v>
      </c>
      <c r="P315" s="5" t="str">
        <f t="shared" si="28"/>
        <v>Low engagement</v>
      </c>
      <c r="Q315" t="b">
        <v>0</v>
      </c>
      <c r="R315" t="b">
        <v>0</v>
      </c>
      <c r="S315" t="b">
        <v>1</v>
      </c>
      <c r="T315" s="24" t="str">
        <f t="shared" si="29"/>
        <v>Link</v>
      </c>
    </row>
    <row r="316" spans="1:20" hidden="1" x14ac:dyDescent="0.2">
      <c r="A316" t="s">
        <v>1114</v>
      </c>
      <c r="B316" t="s">
        <v>14</v>
      </c>
      <c r="C316" t="s">
        <v>15</v>
      </c>
      <c r="D316" t="s">
        <v>1115</v>
      </c>
      <c r="E316" t="s">
        <v>1116</v>
      </c>
      <c r="F3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6" s="27">
        <f t="shared" si="24"/>
        <v>40155</v>
      </c>
      <c r="H316" s="7" t="str">
        <f t="shared" si="25"/>
        <v>22:17:33</v>
      </c>
      <c r="I316" s="8" t="str">
        <f t="shared" si="26"/>
        <v>Evening</v>
      </c>
      <c r="L316">
        <v>0</v>
      </c>
      <c r="M316">
        <v>0</v>
      </c>
      <c r="N316">
        <v>3</v>
      </c>
      <c r="O316" s="4">
        <f t="shared" si="27"/>
        <v>3</v>
      </c>
      <c r="P316" s="5" t="str">
        <f t="shared" si="28"/>
        <v>Low engagement</v>
      </c>
      <c r="Q316" t="b">
        <v>0</v>
      </c>
      <c r="R316" t="b">
        <v>0</v>
      </c>
      <c r="S316" t="b">
        <v>1</v>
      </c>
      <c r="T316" s="24" t="str">
        <f t="shared" si="29"/>
        <v>Link</v>
      </c>
    </row>
    <row r="317" spans="1:20" hidden="1" x14ac:dyDescent="0.2">
      <c r="A317" t="s">
        <v>1080</v>
      </c>
      <c r="B317" t="s">
        <v>14</v>
      </c>
      <c r="C317" t="s">
        <v>15</v>
      </c>
      <c r="D317" t="s">
        <v>1081</v>
      </c>
      <c r="E317" t="s">
        <v>1082</v>
      </c>
      <c r="F3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7" s="27">
        <f t="shared" si="24"/>
        <v>40162</v>
      </c>
      <c r="H317" s="7" t="str">
        <f t="shared" si="25"/>
        <v>16:16:14</v>
      </c>
      <c r="I317" s="8" t="str">
        <f t="shared" si="26"/>
        <v>Afternoon</v>
      </c>
      <c r="L317">
        <v>0</v>
      </c>
      <c r="M317">
        <v>0</v>
      </c>
      <c r="N317">
        <v>3</v>
      </c>
      <c r="O317" s="4">
        <f t="shared" si="27"/>
        <v>3</v>
      </c>
      <c r="P317" s="5" t="str">
        <f t="shared" si="28"/>
        <v>Low engagement</v>
      </c>
      <c r="Q317" t="b">
        <v>0</v>
      </c>
      <c r="R317" t="b">
        <v>0</v>
      </c>
      <c r="S317" t="b">
        <v>1</v>
      </c>
      <c r="T317" s="24" t="str">
        <f t="shared" si="29"/>
        <v>Link</v>
      </c>
    </row>
    <row r="318" spans="1:20" hidden="1" x14ac:dyDescent="0.2">
      <c r="A318" t="s">
        <v>1070</v>
      </c>
      <c r="B318" t="s">
        <v>14</v>
      </c>
      <c r="C318" t="s">
        <v>15</v>
      </c>
      <c r="D318" t="s">
        <v>1071</v>
      </c>
      <c r="E318" t="s">
        <v>1072</v>
      </c>
      <c r="F3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8" s="27">
        <f t="shared" si="24"/>
        <v>40165</v>
      </c>
      <c r="H318" s="7" t="str">
        <f t="shared" si="25"/>
        <v>17:57:29</v>
      </c>
      <c r="I318" s="8" t="str">
        <f t="shared" si="26"/>
        <v>Afternoon</v>
      </c>
      <c r="L318">
        <v>0</v>
      </c>
      <c r="M318">
        <v>0</v>
      </c>
      <c r="N318">
        <v>3</v>
      </c>
      <c r="O318" s="4">
        <f t="shared" si="27"/>
        <v>3</v>
      </c>
      <c r="P318" s="5" t="str">
        <f t="shared" si="28"/>
        <v>Low engagement</v>
      </c>
      <c r="Q318" t="b">
        <v>0</v>
      </c>
      <c r="R318" t="b">
        <v>0</v>
      </c>
      <c r="S318" t="b">
        <v>1</v>
      </c>
      <c r="T318" s="24" t="str">
        <f t="shared" si="29"/>
        <v>Link</v>
      </c>
    </row>
    <row r="319" spans="1:20" hidden="1" x14ac:dyDescent="0.2">
      <c r="A319" t="s">
        <v>1014</v>
      </c>
      <c r="B319" t="s">
        <v>14</v>
      </c>
      <c r="C319" t="s">
        <v>15</v>
      </c>
      <c r="D319" t="s">
        <v>1015</v>
      </c>
      <c r="E319" t="s">
        <v>1016</v>
      </c>
      <c r="F3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19" s="27">
        <f t="shared" si="24"/>
        <v>40189</v>
      </c>
      <c r="H319" s="7" t="str">
        <f t="shared" si="25"/>
        <v>15:21:22</v>
      </c>
      <c r="I319" s="8" t="str">
        <f t="shared" si="26"/>
        <v>Afternoon</v>
      </c>
      <c r="L319">
        <v>0</v>
      </c>
      <c r="M319">
        <v>0</v>
      </c>
      <c r="N319">
        <v>3</v>
      </c>
      <c r="O319" s="4">
        <f t="shared" si="27"/>
        <v>3</v>
      </c>
      <c r="P319" s="5" t="str">
        <f t="shared" si="28"/>
        <v>Low engagement</v>
      </c>
      <c r="Q319" t="b">
        <v>0</v>
      </c>
      <c r="R319" t="b">
        <v>0</v>
      </c>
      <c r="S319" t="b">
        <v>0</v>
      </c>
      <c r="T319" s="24" t="str">
        <f t="shared" si="29"/>
        <v>Text only</v>
      </c>
    </row>
    <row r="320" spans="1:20" hidden="1" x14ac:dyDescent="0.2">
      <c r="A320" t="s">
        <v>1005</v>
      </c>
      <c r="B320" t="s">
        <v>14</v>
      </c>
      <c r="C320" t="s">
        <v>15</v>
      </c>
      <c r="D320" t="s">
        <v>1006</v>
      </c>
      <c r="E320" t="s">
        <v>1007</v>
      </c>
      <c r="F3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20" s="27">
        <f t="shared" si="24"/>
        <v>40189</v>
      </c>
      <c r="H320" s="7" t="str">
        <f t="shared" si="25"/>
        <v>15:29:13</v>
      </c>
      <c r="I320" s="8" t="str">
        <f t="shared" si="26"/>
        <v>Afternoon</v>
      </c>
      <c r="L320">
        <v>0</v>
      </c>
      <c r="M320">
        <v>0</v>
      </c>
      <c r="N320">
        <v>3</v>
      </c>
      <c r="O320" s="4">
        <f t="shared" si="27"/>
        <v>3</v>
      </c>
      <c r="P320" s="5" t="str">
        <f t="shared" si="28"/>
        <v>Low engagement</v>
      </c>
      <c r="Q320" t="b">
        <v>0</v>
      </c>
      <c r="R320" t="b">
        <v>0</v>
      </c>
      <c r="S320" t="b">
        <v>1</v>
      </c>
      <c r="T320" s="24" t="str">
        <f t="shared" si="29"/>
        <v>Link</v>
      </c>
    </row>
    <row r="321" spans="1:20" hidden="1" x14ac:dyDescent="0.2">
      <c r="A321" t="s">
        <v>999</v>
      </c>
      <c r="B321" t="s">
        <v>14</v>
      </c>
      <c r="C321" t="s">
        <v>15</v>
      </c>
      <c r="D321" t="s">
        <v>1000</v>
      </c>
      <c r="E321" t="s">
        <v>1001</v>
      </c>
      <c r="F3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21" s="27">
        <f t="shared" si="24"/>
        <v>40189</v>
      </c>
      <c r="H321" s="7" t="str">
        <f t="shared" si="25"/>
        <v>17:00:18</v>
      </c>
      <c r="I321" s="8" t="str">
        <f t="shared" si="26"/>
        <v>Afternoon</v>
      </c>
      <c r="L321">
        <v>0</v>
      </c>
      <c r="M321">
        <v>0</v>
      </c>
      <c r="N321">
        <v>3</v>
      </c>
      <c r="O321" s="4">
        <f t="shared" si="27"/>
        <v>3</v>
      </c>
      <c r="P321" s="5" t="str">
        <f t="shared" si="28"/>
        <v>Low engagement</v>
      </c>
      <c r="Q321" t="b">
        <v>0</v>
      </c>
      <c r="R321" t="b">
        <v>0</v>
      </c>
      <c r="S321" t="b">
        <v>1</v>
      </c>
      <c r="T321" s="24" t="str">
        <f t="shared" si="29"/>
        <v>Link</v>
      </c>
    </row>
    <row r="322" spans="1:20" hidden="1" x14ac:dyDescent="0.2">
      <c r="A322" t="s">
        <v>986</v>
      </c>
      <c r="B322" t="s">
        <v>14</v>
      </c>
      <c r="C322" t="s">
        <v>15</v>
      </c>
      <c r="D322" t="s">
        <v>987</v>
      </c>
      <c r="E322" t="s">
        <v>988</v>
      </c>
      <c r="F3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22" s="27">
        <f t="shared" ref="G322:G385" si="30">DATEVALUE((LEFT(E322,10)))</f>
        <v>40192</v>
      </c>
      <c r="H322" s="7" t="str">
        <f t="shared" ref="H322:H385" si="31">MID(E322,12,8)</f>
        <v>00:36:59</v>
      </c>
      <c r="I322" s="8" t="str">
        <f t="shared" ref="I322:I385" si="32">IF(HOUR(H322)&lt;7,"Early morning",
IF(HOUR(H322)&lt;11,"Morning",
IF(HOUR(H322)&lt;14,"Mid-day",
IF(HOUR(H322)&lt;18,"Afternoon","Evening"))))</f>
        <v>Early morning</v>
      </c>
      <c r="L322">
        <v>1</v>
      </c>
      <c r="M322">
        <v>0</v>
      </c>
      <c r="N322">
        <v>3</v>
      </c>
      <c r="O322" s="4">
        <f t="shared" ref="O322:O385" si="33">L322+M322+N322</f>
        <v>4</v>
      </c>
      <c r="P322" s="5" t="str">
        <f t="shared" ref="P322:P385" si="34">IF(O322&lt;1,"No engagement", IF(O322&lt;5,"Low engagement", IF(O322&lt;10,"Moderate engagement", "High engagement")))</f>
        <v>Low engagement</v>
      </c>
      <c r="Q322" t="b">
        <v>0</v>
      </c>
      <c r="R322" t="b">
        <v>0</v>
      </c>
      <c r="S322" t="b">
        <v>1</v>
      </c>
      <c r="T322" s="24" t="str">
        <f t="shared" ref="T322:T385" si="35">IF(Q322=TRUE,"Photo",IF(R322=TRUE,"Video",IF(S322=TRUE,"Link",("Text only"))))</f>
        <v>Link</v>
      </c>
    </row>
    <row r="323" spans="1:20" hidden="1" x14ac:dyDescent="0.2">
      <c r="A323" t="s">
        <v>906</v>
      </c>
      <c r="B323" t="s">
        <v>14</v>
      </c>
      <c r="C323" t="s">
        <v>15</v>
      </c>
      <c r="D323" t="s">
        <v>907</v>
      </c>
      <c r="E323" t="s">
        <v>908</v>
      </c>
      <c r="F3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23" s="27">
        <f t="shared" si="30"/>
        <v>40207</v>
      </c>
      <c r="H323" s="7" t="str">
        <f t="shared" si="31"/>
        <v>02:26:36</v>
      </c>
      <c r="I323" s="8" t="str">
        <f t="shared" si="32"/>
        <v>Early morning</v>
      </c>
      <c r="L323">
        <v>2</v>
      </c>
      <c r="M323">
        <v>0</v>
      </c>
      <c r="N323">
        <v>3</v>
      </c>
      <c r="O323" s="4">
        <f t="shared" si="33"/>
        <v>5</v>
      </c>
      <c r="P323" s="5" t="str">
        <f t="shared" si="34"/>
        <v>Moderate engagement</v>
      </c>
      <c r="Q323" t="b">
        <v>0</v>
      </c>
      <c r="R323" t="b">
        <v>0</v>
      </c>
      <c r="S323" t="b">
        <v>1</v>
      </c>
      <c r="T323" s="24" t="str">
        <f t="shared" si="35"/>
        <v>Link</v>
      </c>
    </row>
    <row r="324" spans="1:20" hidden="1" x14ac:dyDescent="0.2">
      <c r="A324" t="s">
        <v>861</v>
      </c>
      <c r="B324" t="s">
        <v>14</v>
      </c>
      <c r="C324" t="s">
        <v>15</v>
      </c>
      <c r="D324" t="s">
        <v>862</v>
      </c>
      <c r="E324" t="s">
        <v>863</v>
      </c>
      <c r="F3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24" s="27">
        <f t="shared" si="30"/>
        <v>40208</v>
      </c>
      <c r="H324" s="7" t="str">
        <f t="shared" si="31"/>
        <v>23:12:41</v>
      </c>
      <c r="I324" s="8" t="str">
        <f t="shared" si="32"/>
        <v>Evening</v>
      </c>
      <c r="L324">
        <v>1</v>
      </c>
      <c r="M324">
        <v>0</v>
      </c>
      <c r="N324">
        <v>3</v>
      </c>
      <c r="O324" s="4">
        <f t="shared" si="33"/>
        <v>4</v>
      </c>
      <c r="P324" s="5" t="str">
        <f t="shared" si="34"/>
        <v>Low engagement</v>
      </c>
      <c r="Q324" t="b">
        <v>0</v>
      </c>
      <c r="R324" t="b">
        <v>0</v>
      </c>
      <c r="S324" t="b">
        <v>1</v>
      </c>
      <c r="T324" s="24" t="str">
        <f t="shared" si="35"/>
        <v>Link</v>
      </c>
    </row>
    <row r="325" spans="1:20" hidden="1" x14ac:dyDescent="0.2">
      <c r="A325" t="s">
        <v>740</v>
      </c>
      <c r="B325" t="s">
        <v>14</v>
      </c>
      <c r="C325" t="s">
        <v>15</v>
      </c>
      <c r="D325" t="s">
        <v>741</v>
      </c>
      <c r="E325" t="s">
        <v>742</v>
      </c>
      <c r="F3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25" s="27">
        <f t="shared" si="30"/>
        <v>40210</v>
      </c>
      <c r="H325" s="7" t="str">
        <f t="shared" si="31"/>
        <v>20:26:59</v>
      </c>
      <c r="I325" s="8" t="str">
        <f t="shared" si="32"/>
        <v>Evening</v>
      </c>
      <c r="L325">
        <v>0</v>
      </c>
      <c r="M325">
        <v>0</v>
      </c>
      <c r="N325">
        <v>3</v>
      </c>
      <c r="O325" s="4">
        <f t="shared" si="33"/>
        <v>3</v>
      </c>
      <c r="P325" s="5" t="str">
        <f t="shared" si="34"/>
        <v>Low engagement</v>
      </c>
      <c r="Q325" t="b">
        <v>0</v>
      </c>
      <c r="R325" t="b">
        <v>0</v>
      </c>
      <c r="S325" t="b">
        <v>0</v>
      </c>
      <c r="T325" s="24" t="str">
        <f t="shared" si="35"/>
        <v>Text only</v>
      </c>
    </row>
    <row r="326" spans="1:20" hidden="1" x14ac:dyDescent="0.2">
      <c r="A326" t="s">
        <v>737</v>
      </c>
      <c r="B326" t="s">
        <v>14</v>
      </c>
      <c r="C326" t="s">
        <v>15</v>
      </c>
      <c r="D326" t="s">
        <v>738</v>
      </c>
      <c r="E326" t="s">
        <v>739</v>
      </c>
      <c r="F3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26" s="27">
        <f t="shared" si="30"/>
        <v>40210</v>
      </c>
      <c r="H326" s="7" t="str">
        <f t="shared" si="31"/>
        <v>20:28:38</v>
      </c>
      <c r="I326" s="8" t="str">
        <f t="shared" si="32"/>
        <v>Evening</v>
      </c>
      <c r="L326">
        <v>0</v>
      </c>
      <c r="M326">
        <v>0</v>
      </c>
      <c r="N326">
        <v>3</v>
      </c>
      <c r="O326" s="4">
        <f t="shared" si="33"/>
        <v>3</v>
      </c>
      <c r="P326" s="5" t="str">
        <f t="shared" si="34"/>
        <v>Low engagement</v>
      </c>
      <c r="Q326" t="b">
        <v>0</v>
      </c>
      <c r="R326" t="b">
        <v>0</v>
      </c>
      <c r="S326" t="b">
        <v>0</v>
      </c>
      <c r="T326" s="24" t="str">
        <f t="shared" si="35"/>
        <v>Text only</v>
      </c>
    </row>
    <row r="327" spans="1:20" hidden="1" x14ac:dyDescent="0.2">
      <c r="A327" t="s">
        <v>726</v>
      </c>
      <c r="B327" t="s">
        <v>14</v>
      </c>
      <c r="C327" t="s">
        <v>15</v>
      </c>
      <c r="D327" t="s">
        <v>727</v>
      </c>
      <c r="E327" t="s">
        <v>728</v>
      </c>
      <c r="F3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27" s="27">
        <f t="shared" si="30"/>
        <v>40212</v>
      </c>
      <c r="H327" s="7" t="str">
        <f t="shared" si="31"/>
        <v>01:56:05</v>
      </c>
      <c r="I327" s="8" t="str">
        <f t="shared" si="32"/>
        <v>Early morning</v>
      </c>
      <c r="L327">
        <v>0</v>
      </c>
      <c r="M327">
        <v>0</v>
      </c>
      <c r="N327">
        <v>3</v>
      </c>
      <c r="O327" s="4">
        <f t="shared" si="33"/>
        <v>3</v>
      </c>
      <c r="P327" s="5" t="str">
        <f t="shared" si="34"/>
        <v>Low engagement</v>
      </c>
      <c r="Q327" t="b">
        <v>0</v>
      </c>
      <c r="R327" t="b">
        <v>0</v>
      </c>
      <c r="S327" t="b">
        <v>1</v>
      </c>
      <c r="T327" s="24" t="str">
        <f t="shared" si="35"/>
        <v>Link</v>
      </c>
    </row>
    <row r="328" spans="1:20" hidden="1" x14ac:dyDescent="0.2">
      <c r="A328" t="s">
        <v>1319</v>
      </c>
      <c r="B328" t="s">
        <v>14</v>
      </c>
      <c r="C328" t="s">
        <v>15</v>
      </c>
      <c r="D328" t="s">
        <v>1320</v>
      </c>
      <c r="E328" t="s">
        <v>1321</v>
      </c>
      <c r="F3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28" s="27">
        <f t="shared" si="30"/>
        <v>40123</v>
      </c>
      <c r="H328" s="7" t="str">
        <f t="shared" si="31"/>
        <v>15:10:33</v>
      </c>
      <c r="I328" s="8" t="str">
        <f t="shared" si="32"/>
        <v>Afternoon</v>
      </c>
      <c r="L328">
        <v>0</v>
      </c>
      <c r="M328">
        <v>0</v>
      </c>
      <c r="N328">
        <v>2</v>
      </c>
      <c r="O328" s="4">
        <f t="shared" si="33"/>
        <v>2</v>
      </c>
      <c r="P328" s="5" t="str">
        <f t="shared" si="34"/>
        <v>Low engagement</v>
      </c>
      <c r="Q328" t="b">
        <v>0</v>
      </c>
      <c r="R328" t="b">
        <v>0</v>
      </c>
      <c r="S328" t="b">
        <v>1</v>
      </c>
      <c r="T328" s="24" t="str">
        <f t="shared" si="35"/>
        <v>Link</v>
      </c>
    </row>
    <row r="329" spans="1:20" hidden="1" x14ac:dyDescent="0.2">
      <c r="A329" t="s">
        <v>1168</v>
      </c>
      <c r="B329" t="s">
        <v>14</v>
      </c>
      <c r="C329" t="s">
        <v>15</v>
      </c>
      <c r="D329" t="s">
        <v>1169</v>
      </c>
      <c r="E329" t="s">
        <v>1170</v>
      </c>
      <c r="F3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29" s="27">
        <f t="shared" si="30"/>
        <v>40139</v>
      </c>
      <c r="H329" s="7" t="str">
        <f t="shared" si="31"/>
        <v>19:02:15</v>
      </c>
      <c r="I329" s="8" t="str">
        <f t="shared" si="32"/>
        <v>Evening</v>
      </c>
      <c r="L329">
        <v>0</v>
      </c>
      <c r="M329">
        <v>0</v>
      </c>
      <c r="N329">
        <v>2</v>
      </c>
      <c r="O329" s="4">
        <f t="shared" si="33"/>
        <v>2</v>
      </c>
      <c r="P329" s="5" t="str">
        <f t="shared" si="34"/>
        <v>Low engagement</v>
      </c>
      <c r="Q329" t="b">
        <v>0</v>
      </c>
      <c r="R329" t="b">
        <v>0</v>
      </c>
      <c r="S329" t="b">
        <v>1</v>
      </c>
      <c r="T329" s="24" t="str">
        <f t="shared" si="35"/>
        <v>Link</v>
      </c>
    </row>
    <row r="330" spans="1:20" hidden="1" x14ac:dyDescent="0.2">
      <c r="A330" t="s">
        <v>1150</v>
      </c>
      <c r="B330" t="s">
        <v>14</v>
      </c>
      <c r="C330" t="s">
        <v>15</v>
      </c>
      <c r="D330" t="s">
        <v>1151</v>
      </c>
      <c r="E330" t="s">
        <v>1152</v>
      </c>
      <c r="F3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0" s="27">
        <f t="shared" si="30"/>
        <v>40142</v>
      </c>
      <c r="H330" s="7" t="str">
        <f t="shared" si="31"/>
        <v>16:55:56</v>
      </c>
      <c r="I330" s="8" t="str">
        <f t="shared" si="32"/>
        <v>Afternoon</v>
      </c>
      <c r="L330">
        <v>0</v>
      </c>
      <c r="M330">
        <v>0</v>
      </c>
      <c r="N330">
        <v>2</v>
      </c>
      <c r="O330" s="4">
        <f t="shared" si="33"/>
        <v>2</v>
      </c>
      <c r="P330" s="5" t="str">
        <f t="shared" si="34"/>
        <v>Low engagement</v>
      </c>
      <c r="Q330" t="b">
        <v>0</v>
      </c>
      <c r="R330" t="b">
        <v>0</v>
      </c>
      <c r="S330" t="b">
        <v>1</v>
      </c>
      <c r="T330" s="24" t="str">
        <f t="shared" si="35"/>
        <v>Link</v>
      </c>
    </row>
    <row r="331" spans="1:20" hidden="1" x14ac:dyDescent="0.2">
      <c r="A331" t="s">
        <v>1147</v>
      </c>
      <c r="B331" t="s">
        <v>14</v>
      </c>
      <c r="C331" t="s">
        <v>15</v>
      </c>
      <c r="D331" t="s">
        <v>1148</v>
      </c>
      <c r="E331" t="s">
        <v>1149</v>
      </c>
      <c r="F3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1" s="27">
        <f t="shared" si="30"/>
        <v>40148</v>
      </c>
      <c r="H331" s="7" t="str">
        <f t="shared" si="31"/>
        <v>01:31:36</v>
      </c>
      <c r="I331" s="8" t="str">
        <f t="shared" si="32"/>
        <v>Early morning</v>
      </c>
      <c r="L331">
        <v>1</v>
      </c>
      <c r="M331">
        <v>0</v>
      </c>
      <c r="N331">
        <v>2</v>
      </c>
      <c r="O331" s="4">
        <f t="shared" si="33"/>
        <v>3</v>
      </c>
      <c r="P331" s="5" t="str">
        <f t="shared" si="34"/>
        <v>Low engagement</v>
      </c>
      <c r="Q331" t="b">
        <v>0</v>
      </c>
      <c r="R331" t="b">
        <v>0</v>
      </c>
      <c r="S331" t="b">
        <v>1</v>
      </c>
      <c r="T331" s="24" t="str">
        <f t="shared" si="35"/>
        <v>Link</v>
      </c>
    </row>
    <row r="332" spans="1:20" hidden="1" x14ac:dyDescent="0.2">
      <c r="A332" t="s">
        <v>1138</v>
      </c>
      <c r="B332" t="s">
        <v>14</v>
      </c>
      <c r="C332" t="s">
        <v>15</v>
      </c>
      <c r="D332" t="s">
        <v>1139</v>
      </c>
      <c r="E332" t="s">
        <v>1140</v>
      </c>
      <c r="F3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2" s="27">
        <f t="shared" si="30"/>
        <v>40149</v>
      </c>
      <c r="H332" s="7" t="str">
        <f t="shared" si="31"/>
        <v>16:19:40</v>
      </c>
      <c r="I332" s="8" t="str">
        <f t="shared" si="32"/>
        <v>Afternoon</v>
      </c>
      <c r="L332">
        <v>0</v>
      </c>
      <c r="M332">
        <v>0</v>
      </c>
      <c r="N332">
        <v>2</v>
      </c>
      <c r="O332" s="4">
        <f t="shared" si="33"/>
        <v>2</v>
      </c>
      <c r="P332" s="5" t="str">
        <f t="shared" si="34"/>
        <v>Low engagement</v>
      </c>
      <c r="Q332" t="b">
        <v>0</v>
      </c>
      <c r="R332" t="b">
        <v>0</v>
      </c>
      <c r="S332" t="b">
        <v>1</v>
      </c>
      <c r="T332" s="24" t="str">
        <f t="shared" si="35"/>
        <v>Link</v>
      </c>
    </row>
    <row r="333" spans="1:20" hidden="1" x14ac:dyDescent="0.2">
      <c r="A333" t="s">
        <v>1108</v>
      </c>
      <c r="B333" t="s">
        <v>14</v>
      </c>
      <c r="C333" t="s">
        <v>15</v>
      </c>
      <c r="D333" t="s">
        <v>1109</v>
      </c>
      <c r="E333" t="s">
        <v>1110</v>
      </c>
      <c r="F3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3" s="27">
        <f t="shared" si="30"/>
        <v>40156</v>
      </c>
      <c r="H333" s="7" t="str">
        <f t="shared" si="31"/>
        <v>19:25:54</v>
      </c>
      <c r="I333" s="8" t="str">
        <f t="shared" si="32"/>
        <v>Evening</v>
      </c>
      <c r="L333">
        <v>0</v>
      </c>
      <c r="M333">
        <v>0</v>
      </c>
      <c r="N333">
        <v>2</v>
      </c>
      <c r="O333" s="4">
        <f t="shared" si="33"/>
        <v>2</v>
      </c>
      <c r="P333" s="5" t="str">
        <f t="shared" si="34"/>
        <v>Low engagement</v>
      </c>
      <c r="Q333" t="b">
        <v>0</v>
      </c>
      <c r="R333" t="b">
        <v>0</v>
      </c>
      <c r="S333" t="b">
        <v>1</v>
      </c>
      <c r="T333" s="24" t="str">
        <f t="shared" si="35"/>
        <v>Link</v>
      </c>
    </row>
    <row r="334" spans="1:20" hidden="1" x14ac:dyDescent="0.2">
      <c r="A334" t="s">
        <v>1099</v>
      </c>
      <c r="B334" t="s">
        <v>14</v>
      </c>
      <c r="C334" t="s">
        <v>15</v>
      </c>
      <c r="D334" t="s">
        <v>1100</v>
      </c>
      <c r="E334" t="s">
        <v>1101</v>
      </c>
      <c r="F3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4" s="27">
        <f t="shared" si="30"/>
        <v>40157</v>
      </c>
      <c r="H334" s="7" t="str">
        <f t="shared" si="31"/>
        <v>19:28:08</v>
      </c>
      <c r="I334" s="8" t="str">
        <f t="shared" si="32"/>
        <v>Evening</v>
      </c>
      <c r="L334">
        <v>0</v>
      </c>
      <c r="M334">
        <v>0</v>
      </c>
      <c r="N334">
        <v>2</v>
      </c>
      <c r="O334" s="4">
        <f t="shared" si="33"/>
        <v>2</v>
      </c>
      <c r="P334" s="5" t="str">
        <f t="shared" si="34"/>
        <v>Low engagement</v>
      </c>
      <c r="Q334" t="b">
        <v>0</v>
      </c>
      <c r="R334" t="b">
        <v>0</v>
      </c>
      <c r="S334" t="b">
        <v>1</v>
      </c>
      <c r="T334" s="24" t="str">
        <f t="shared" si="35"/>
        <v>Link</v>
      </c>
    </row>
    <row r="335" spans="1:20" hidden="1" x14ac:dyDescent="0.2">
      <c r="A335" t="s">
        <v>1077</v>
      </c>
      <c r="B335" t="s">
        <v>14</v>
      </c>
      <c r="C335" t="s">
        <v>15</v>
      </c>
      <c r="D335" t="s">
        <v>1078</v>
      </c>
      <c r="E335" t="s">
        <v>1079</v>
      </c>
      <c r="F3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5" s="27">
        <f t="shared" si="30"/>
        <v>40165</v>
      </c>
      <c r="H335" s="7" t="str">
        <f t="shared" si="31"/>
        <v>02:24:46</v>
      </c>
      <c r="I335" s="8" t="str">
        <f t="shared" si="32"/>
        <v>Early morning</v>
      </c>
      <c r="L335">
        <v>0</v>
      </c>
      <c r="M335">
        <v>0</v>
      </c>
      <c r="N335">
        <v>2</v>
      </c>
      <c r="O335" s="4">
        <f t="shared" si="33"/>
        <v>2</v>
      </c>
      <c r="P335" s="5" t="str">
        <f t="shared" si="34"/>
        <v>Low engagement</v>
      </c>
      <c r="Q335" t="b">
        <v>0</v>
      </c>
      <c r="R335" t="b">
        <v>0</v>
      </c>
      <c r="S335" t="b">
        <v>0</v>
      </c>
      <c r="T335" s="24" t="str">
        <f t="shared" si="35"/>
        <v>Text only</v>
      </c>
    </row>
    <row r="336" spans="1:20" hidden="1" x14ac:dyDescent="0.2">
      <c r="A336" t="s">
        <v>1064</v>
      </c>
      <c r="B336" t="s">
        <v>14</v>
      </c>
      <c r="C336" t="s">
        <v>15</v>
      </c>
      <c r="D336" t="s">
        <v>1065</v>
      </c>
      <c r="E336" t="s">
        <v>1066</v>
      </c>
      <c r="F3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6" s="27">
        <f t="shared" si="30"/>
        <v>40166</v>
      </c>
      <c r="H336" s="7" t="str">
        <f t="shared" si="31"/>
        <v>20:31:28</v>
      </c>
      <c r="I336" s="8" t="str">
        <f t="shared" si="32"/>
        <v>Evening</v>
      </c>
      <c r="L336">
        <v>0</v>
      </c>
      <c r="M336">
        <v>0</v>
      </c>
      <c r="N336">
        <v>2</v>
      </c>
      <c r="O336" s="4">
        <f t="shared" si="33"/>
        <v>2</v>
      </c>
      <c r="P336" s="5" t="str">
        <f t="shared" si="34"/>
        <v>Low engagement</v>
      </c>
      <c r="Q336" t="b">
        <v>0</v>
      </c>
      <c r="R336" t="b">
        <v>0</v>
      </c>
      <c r="S336" t="b">
        <v>1</v>
      </c>
      <c r="T336" s="24" t="str">
        <f t="shared" si="35"/>
        <v>Link</v>
      </c>
    </row>
    <row r="337" spans="1:20" hidden="1" x14ac:dyDescent="0.2">
      <c r="A337" t="s">
        <v>1055</v>
      </c>
      <c r="B337" t="s">
        <v>14</v>
      </c>
      <c r="C337" t="s">
        <v>15</v>
      </c>
      <c r="D337" t="s">
        <v>1056</v>
      </c>
      <c r="E337" t="s">
        <v>1057</v>
      </c>
      <c r="F3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7" s="27">
        <f t="shared" si="30"/>
        <v>40169</v>
      </c>
      <c r="H337" s="7" t="str">
        <f t="shared" si="31"/>
        <v>00:04:35</v>
      </c>
      <c r="I337" s="8" t="str">
        <f t="shared" si="32"/>
        <v>Early morning</v>
      </c>
      <c r="L337">
        <v>0</v>
      </c>
      <c r="M337">
        <v>0</v>
      </c>
      <c r="N337">
        <v>2</v>
      </c>
      <c r="O337" s="4">
        <f t="shared" si="33"/>
        <v>2</v>
      </c>
      <c r="P337" s="5" t="str">
        <f t="shared" si="34"/>
        <v>Low engagement</v>
      </c>
      <c r="Q337" t="b">
        <v>0</v>
      </c>
      <c r="R337" t="b">
        <v>0</v>
      </c>
      <c r="S337" t="b">
        <v>1</v>
      </c>
      <c r="T337" s="24" t="str">
        <f t="shared" si="35"/>
        <v>Link</v>
      </c>
    </row>
    <row r="338" spans="1:20" hidden="1" x14ac:dyDescent="0.2">
      <c r="A338" t="s">
        <v>1048</v>
      </c>
      <c r="B338" t="s">
        <v>14</v>
      </c>
      <c r="C338" t="s">
        <v>15</v>
      </c>
      <c r="D338" t="s">
        <v>1049</v>
      </c>
      <c r="E338" t="s">
        <v>1050</v>
      </c>
      <c r="F3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8" s="27">
        <f t="shared" si="30"/>
        <v>40170</v>
      </c>
      <c r="H338" s="7" t="str">
        <f t="shared" si="31"/>
        <v>21:04:39</v>
      </c>
      <c r="I338" s="8" t="str">
        <f t="shared" si="32"/>
        <v>Evening</v>
      </c>
      <c r="L338">
        <v>1</v>
      </c>
      <c r="M338">
        <v>0</v>
      </c>
      <c r="N338">
        <v>2</v>
      </c>
      <c r="O338" s="4">
        <f t="shared" si="33"/>
        <v>3</v>
      </c>
      <c r="P338" s="5" t="str">
        <f t="shared" si="34"/>
        <v>Low engagement</v>
      </c>
      <c r="Q338" t="b">
        <v>0</v>
      </c>
      <c r="R338" t="b">
        <v>0</v>
      </c>
      <c r="S338" t="b">
        <v>1</v>
      </c>
      <c r="T338" s="24" t="str">
        <f t="shared" si="35"/>
        <v>Link</v>
      </c>
    </row>
    <row r="339" spans="1:20" hidden="1" x14ac:dyDescent="0.2">
      <c r="A339" t="s">
        <v>1011</v>
      </c>
      <c r="B339" t="s">
        <v>14</v>
      </c>
      <c r="C339" t="s">
        <v>15</v>
      </c>
      <c r="D339" t="s">
        <v>1012</v>
      </c>
      <c r="E339" t="s">
        <v>1013</v>
      </c>
      <c r="F3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39" s="27">
        <f t="shared" si="30"/>
        <v>40189</v>
      </c>
      <c r="H339" s="7" t="str">
        <f t="shared" si="31"/>
        <v>15:21:45</v>
      </c>
      <c r="I339" s="8" t="str">
        <f t="shared" si="32"/>
        <v>Afternoon</v>
      </c>
      <c r="L339">
        <v>0</v>
      </c>
      <c r="M339">
        <v>0</v>
      </c>
      <c r="N339">
        <v>2</v>
      </c>
      <c r="O339" s="4">
        <f t="shared" si="33"/>
        <v>2</v>
      </c>
      <c r="P339" s="5" t="str">
        <f t="shared" si="34"/>
        <v>Low engagement</v>
      </c>
      <c r="Q339" t="b">
        <v>0</v>
      </c>
      <c r="R339" t="b">
        <v>0</v>
      </c>
      <c r="S339" t="b">
        <v>0</v>
      </c>
      <c r="T339" s="24" t="str">
        <f t="shared" si="35"/>
        <v>Text only</v>
      </c>
    </row>
    <row r="340" spans="1:20" hidden="1" x14ac:dyDescent="0.2">
      <c r="A340" t="s">
        <v>915</v>
      </c>
      <c r="B340" t="s">
        <v>14</v>
      </c>
      <c r="C340" t="s">
        <v>15</v>
      </c>
      <c r="D340" t="s">
        <v>916</v>
      </c>
      <c r="E340" t="s">
        <v>917</v>
      </c>
      <c r="F3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40" s="27">
        <f t="shared" si="30"/>
        <v>40207</v>
      </c>
      <c r="H340" s="7" t="str">
        <f t="shared" si="31"/>
        <v>01:36:45</v>
      </c>
      <c r="I340" s="8" t="str">
        <f t="shared" si="32"/>
        <v>Early morning</v>
      </c>
      <c r="J340" t="s">
        <v>918</v>
      </c>
      <c r="L340">
        <v>0</v>
      </c>
      <c r="M340">
        <v>0</v>
      </c>
      <c r="N340">
        <v>2</v>
      </c>
      <c r="O340" s="4">
        <f t="shared" si="33"/>
        <v>2</v>
      </c>
      <c r="P340" s="5" t="str">
        <f t="shared" si="34"/>
        <v>Low engagement</v>
      </c>
      <c r="Q340" t="b">
        <v>0</v>
      </c>
      <c r="R340" t="b">
        <v>0</v>
      </c>
      <c r="S340" t="b">
        <v>1</v>
      </c>
      <c r="T340" s="24" t="str">
        <f t="shared" si="35"/>
        <v>Link</v>
      </c>
    </row>
    <row r="341" spans="1:20" hidden="1" x14ac:dyDescent="0.2">
      <c r="A341" t="s">
        <v>732</v>
      </c>
      <c r="B341" t="s">
        <v>14</v>
      </c>
      <c r="C341" t="s">
        <v>15</v>
      </c>
      <c r="D341" t="s">
        <v>733</v>
      </c>
      <c r="E341" t="s">
        <v>734</v>
      </c>
      <c r="F3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41" s="27">
        <f t="shared" si="30"/>
        <v>40211</v>
      </c>
      <c r="H341" s="7" t="str">
        <f t="shared" si="31"/>
        <v>18:28:51</v>
      </c>
      <c r="I341" s="8" t="str">
        <f t="shared" si="32"/>
        <v>Evening</v>
      </c>
      <c r="L341">
        <v>0</v>
      </c>
      <c r="M341">
        <v>0</v>
      </c>
      <c r="N341">
        <v>2</v>
      </c>
      <c r="O341" s="4">
        <f t="shared" si="33"/>
        <v>2</v>
      </c>
      <c r="P341" s="5" t="str">
        <f t="shared" si="34"/>
        <v>Low engagement</v>
      </c>
      <c r="Q341" t="b">
        <v>0</v>
      </c>
      <c r="R341" t="b">
        <v>0</v>
      </c>
      <c r="S341" t="b">
        <v>1</v>
      </c>
      <c r="T341" s="24" t="str">
        <f t="shared" si="35"/>
        <v>Link</v>
      </c>
    </row>
    <row r="342" spans="1:20" hidden="1" x14ac:dyDescent="0.2">
      <c r="A342" t="s">
        <v>729</v>
      </c>
      <c r="B342" t="s">
        <v>14</v>
      </c>
      <c r="C342" t="s">
        <v>15</v>
      </c>
      <c r="D342" t="s">
        <v>730</v>
      </c>
      <c r="E342" t="s">
        <v>731</v>
      </c>
      <c r="F3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42" s="27">
        <f t="shared" si="30"/>
        <v>40212</v>
      </c>
      <c r="H342" s="7" t="str">
        <f t="shared" si="31"/>
        <v>01:52:18</v>
      </c>
      <c r="I342" s="8" t="str">
        <f t="shared" si="32"/>
        <v>Early morning</v>
      </c>
      <c r="L342">
        <v>0</v>
      </c>
      <c r="M342">
        <v>0</v>
      </c>
      <c r="N342">
        <v>2</v>
      </c>
      <c r="O342" s="4">
        <f t="shared" si="33"/>
        <v>2</v>
      </c>
      <c r="P342" s="5" t="str">
        <f t="shared" si="34"/>
        <v>Low engagement</v>
      </c>
      <c r="Q342" t="b">
        <v>0</v>
      </c>
      <c r="R342" t="b">
        <v>0</v>
      </c>
      <c r="S342" t="b">
        <v>1</v>
      </c>
      <c r="T342" s="24" t="str">
        <f t="shared" si="35"/>
        <v>Link</v>
      </c>
    </row>
    <row r="343" spans="1:20" hidden="1" x14ac:dyDescent="0.2">
      <c r="A343" t="s">
        <v>717</v>
      </c>
      <c r="B343" t="s">
        <v>14</v>
      </c>
      <c r="C343" t="s">
        <v>15</v>
      </c>
      <c r="D343" t="s">
        <v>718</v>
      </c>
      <c r="E343" t="s">
        <v>719</v>
      </c>
      <c r="F3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43" s="27">
        <f t="shared" si="30"/>
        <v>40212</v>
      </c>
      <c r="H343" s="7" t="str">
        <f t="shared" si="31"/>
        <v>17:43:54</v>
      </c>
      <c r="I343" s="8" t="str">
        <f t="shared" si="32"/>
        <v>Afternoon</v>
      </c>
      <c r="L343">
        <v>0</v>
      </c>
      <c r="M343">
        <v>0</v>
      </c>
      <c r="N343">
        <v>2</v>
      </c>
      <c r="O343" s="4">
        <f t="shared" si="33"/>
        <v>2</v>
      </c>
      <c r="P343" s="5" t="str">
        <f t="shared" si="34"/>
        <v>Low engagement</v>
      </c>
      <c r="Q343" t="b">
        <v>0</v>
      </c>
      <c r="R343" t="b">
        <v>0</v>
      </c>
      <c r="S343" t="b">
        <v>1</v>
      </c>
      <c r="T343" s="24" t="str">
        <f t="shared" si="35"/>
        <v>Link</v>
      </c>
    </row>
    <row r="344" spans="1:20" hidden="1" x14ac:dyDescent="0.2">
      <c r="A344" t="s">
        <v>707</v>
      </c>
      <c r="B344" t="s">
        <v>14</v>
      </c>
      <c r="C344" t="s">
        <v>15</v>
      </c>
      <c r="D344" t="s">
        <v>708</v>
      </c>
      <c r="E344" t="s">
        <v>709</v>
      </c>
      <c r="F3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44" s="27">
        <f t="shared" si="30"/>
        <v>40212</v>
      </c>
      <c r="H344" s="7" t="str">
        <f t="shared" si="31"/>
        <v>17:50:55</v>
      </c>
      <c r="I344" s="8" t="str">
        <f t="shared" si="32"/>
        <v>Afternoon</v>
      </c>
      <c r="L344">
        <v>0</v>
      </c>
      <c r="M344">
        <v>0</v>
      </c>
      <c r="N344">
        <v>2</v>
      </c>
      <c r="O344" s="4">
        <f t="shared" si="33"/>
        <v>2</v>
      </c>
      <c r="P344" s="5" t="str">
        <f t="shared" si="34"/>
        <v>Low engagement</v>
      </c>
      <c r="Q344" t="b">
        <v>0</v>
      </c>
      <c r="R344" t="b">
        <v>0</v>
      </c>
      <c r="S344" t="b">
        <v>1</v>
      </c>
      <c r="T344" s="24" t="str">
        <f t="shared" si="35"/>
        <v>Link</v>
      </c>
    </row>
    <row r="345" spans="1:20" hidden="1" x14ac:dyDescent="0.2">
      <c r="A345" t="s">
        <v>1340</v>
      </c>
      <c r="B345" t="s">
        <v>14</v>
      </c>
      <c r="C345" t="s">
        <v>15</v>
      </c>
      <c r="D345" t="s">
        <v>1341</v>
      </c>
      <c r="E345" t="s">
        <v>1342</v>
      </c>
      <c r="F3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45" s="27">
        <f t="shared" si="30"/>
        <v>40120</v>
      </c>
      <c r="H345" s="7" t="str">
        <f t="shared" si="31"/>
        <v>16:16:36</v>
      </c>
      <c r="I345" s="8" t="str">
        <f t="shared" si="32"/>
        <v>Afternoon</v>
      </c>
      <c r="L345">
        <v>1</v>
      </c>
      <c r="M345">
        <v>1</v>
      </c>
      <c r="N345">
        <v>1</v>
      </c>
      <c r="O345" s="4">
        <f t="shared" si="33"/>
        <v>3</v>
      </c>
      <c r="P345" s="5" t="str">
        <f t="shared" si="34"/>
        <v>Low engagement</v>
      </c>
      <c r="Q345" t="b">
        <v>0</v>
      </c>
      <c r="R345" t="b">
        <v>0</v>
      </c>
      <c r="S345" t="b">
        <v>1</v>
      </c>
      <c r="T345" s="24" t="str">
        <f t="shared" si="35"/>
        <v>Link</v>
      </c>
    </row>
    <row r="346" spans="1:20" hidden="1" x14ac:dyDescent="0.2">
      <c r="A346" t="s">
        <v>1309</v>
      </c>
      <c r="B346" t="s">
        <v>14</v>
      </c>
      <c r="C346" t="s">
        <v>15</v>
      </c>
      <c r="D346" t="s">
        <v>1310</v>
      </c>
      <c r="E346" t="s">
        <v>1311</v>
      </c>
      <c r="F3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46" s="27">
        <f t="shared" si="30"/>
        <v>40125</v>
      </c>
      <c r="H346" s="7" t="str">
        <f t="shared" si="31"/>
        <v>18:19:16</v>
      </c>
      <c r="I346" s="8" t="str">
        <f t="shared" si="32"/>
        <v>Evening</v>
      </c>
      <c r="K346" t="s">
        <v>166</v>
      </c>
      <c r="L346">
        <v>1</v>
      </c>
      <c r="M346">
        <v>0</v>
      </c>
      <c r="N346">
        <v>1</v>
      </c>
      <c r="O346" s="4">
        <f t="shared" si="33"/>
        <v>2</v>
      </c>
      <c r="P346" s="5" t="str">
        <f t="shared" si="34"/>
        <v>Low engagement</v>
      </c>
      <c r="Q346" t="b">
        <v>0</v>
      </c>
      <c r="R346" t="b">
        <v>0</v>
      </c>
      <c r="S346" t="b">
        <v>1</v>
      </c>
      <c r="T346" s="24" t="str">
        <f t="shared" si="35"/>
        <v>Link</v>
      </c>
    </row>
    <row r="347" spans="1:20" hidden="1" x14ac:dyDescent="0.2">
      <c r="A347" t="s">
        <v>1252</v>
      </c>
      <c r="B347" t="s">
        <v>14</v>
      </c>
      <c r="C347" t="s">
        <v>15</v>
      </c>
      <c r="D347" t="s">
        <v>1253</v>
      </c>
      <c r="E347" t="s">
        <v>1254</v>
      </c>
      <c r="F3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47" s="27">
        <f t="shared" si="30"/>
        <v>40137</v>
      </c>
      <c r="H347" s="7" t="str">
        <f t="shared" si="31"/>
        <v>05:21:17</v>
      </c>
      <c r="I347" s="8" t="str">
        <f t="shared" si="32"/>
        <v>Early morning</v>
      </c>
      <c r="L347">
        <v>0</v>
      </c>
      <c r="M347">
        <v>0</v>
      </c>
      <c r="N347">
        <v>1</v>
      </c>
      <c r="O347" s="4">
        <f t="shared" si="33"/>
        <v>1</v>
      </c>
      <c r="P347" s="5" t="str">
        <f t="shared" si="34"/>
        <v>Low engagement</v>
      </c>
      <c r="Q347" t="b">
        <v>0</v>
      </c>
      <c r="R347" t="b">
        <v>0</v>
      </c>
      <c r="S347" t="b">
        <v>1</v>
      </c>
      <c r="T347" s="24" t="str">
        <f t="shared" si="35"/>
        <v>Link</v>
      </c>
    </row>
    <row r="348" spans="1:20" hidden="1" x14ac:dyDescent="0.2">
      <c r="A348" t="s">
        <v>1249</v>
      </c>
      <c r="B348" t="s">
        <v>14</v>
      </c>
      <c r="C348" t="s">
        <v>15</v>
      </c>
      <c r="D348" t="s">
        <v>1250</v>
      </c>
      <c r="E348" t="s">
        <v>1251</v>
      </c>
      <c r="F3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48" s="27">
        <f t="shared" si="30"/>
        <v>40137</v>
      </c>
      <c r="H348" s="7" t="str">
        <f t="shared" si="31"/>
        <v>14:20:35</v>
      </c>
      <c r="I348" s="8" t="str">
        <f t="shared" si="32"/>
        <v>Afternoon</v>
      </c>
      <c r="L348">
        <v>0</v>
      </c>
      <c r="M348">
        <v>0</v>
      </c>
      <c r="N348">
        <v>1</v>
      </c>
      <c r="O348" s="4">
        <f t="shared" si="33"/>
        <v>1</v>
      </c>
      <c r="P348" s="5" t="str">
        <f t="shared" si="34"/>
        <v>Low engagement</v>
      </c>
      <c r="Q348" t="b">
        <v>0</v>
      </c>
      <c r="R348" t="b">
        <v>0</v>
      </c>
      <c r="S348" t="b">
        <v>0</v>
      </c>
      <c r="T348" s="24" t="str">
        <f t="shared" si="35"/>
        <v>Text only</v>
      </c>
    </row>
    <row r="349" spans="1:20" hidden="1" x14ac:dyDescent="0.2">
      <c r="A349" t="s">
        <v>1246</v>
      </c>
      <c r="B349" t="s">
        <v>14</v>
      </c>
      <c r="C349" t="s">
        <v>15</v>
      </c>
      <c r="D349" t="s">
        <v>1247</v>
      </c>
      <c r="E349" t="s">
        <v>1248</v>
      </c>
      <c r="F3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49" s="27">
        <f t="shared" si="30"/>
        <v>40137</v>
      </c>
      <c r="H349" s="7" t="str">
        <f t="shared" si="31"/>
        <v>15:03:11</v>
      </c>
      <c r="I349" s="8" t="str">
        <f t="shared" si="32"/>
        <v>Afternoon</v>
      </c>
      <c r="L349">
        <v>1</v>
      </c>
      <c r="M349">
        <v>1</v>
      </c>
      <c r="N349">
        <v>1</v>
      </c>
      <c r="O349" s="4">
        <f t="shared" si="33"/>
        <v>3</v>
      </c>
      <c r="P349" s="5" t="str">
        <f t="shared" si="34"/>
        <v>Low engagement</v>
      </c>
      <c r="Q349" t="b">
        <v>0</v>
      </c>
      <c r="R349" t="b">
        <v>0</v>
      </c>
      <c r="S349" t="b">
        <v>1</v>
      </c>
      <c r="T349" s="24" t="str">
        <f t="shared" si="35"/>
        <v>Link</v>
      </c>
    </row>
    <row r="350" spans="1:20" hidden="1" x14ac:dyDescent="0.2">
      <c r="A350" t="s">
        <v>1228</v>
      </c>
      <c r="B350" t="s">
        <v>14</v>
      </c>
      <c r="C350" t="s">
        <v>15</v>
      </c>
      <c r="D350" t="s">
        <v>1229</v>
      </c>
      <c r="E350" t="s">
        <v>1230</v>
      </c>
      <c r="F3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0" s="27">
        <f t="shared" si="30"/>
        <v>40138</v>
      </c>
      <c r="H350" s="7" t="str">
        <f t="shared" si="31"/>
        <v>03:08:42</v>
      </c>
      <c r="I350" s="8" t="str">
        <f t="shared" si="32"/>
        <v>Early morning</v>
      </c>
      <c r="L350">
        <v>0</v>
      </c>
      <c r="M350">
        <v>0</v>
      </c>
      <c r="N350">
        <v>1</v>
      </c>
      <c r="O350" s="4">
        <f t="shared" si="33"/>
        <v>1</v>
      </c>
      <c r="P350" s="5" t="str">
        <f t="shared" si="34"/>
        <v>Low engagement</v>
      </c>
      <c r="Q350" t="b">
        <v>0</v>
      </c>
      <c r="R350" t="b">
        <v>0</v>
      </c>
      <c r="S350" t="b">
        <v>0</v>
      </c>
      <c r="T350" s="24" t="str">
        <f t="shared" si="35"/>
        <v>Text only</v>
      </c>
    </row>
    <row r="351" spans="1:20" hidden="1" x14ac:dyDescent="0.2">
      <c r="A351" t="s">
        <v>1210</v>
      </c>
      <c r="B351" t="s">
        <v>14</v>
      </c>
      <c r="C351" t="s">
        <v>15</v>
      </c>
      <c r="D351" t="s">
        <v>1211</v>
      </c>
      <c r="E351" t="s">
        <v>1212</v>
      </c>
      <c r="F3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1" s="27">
        <f t="shared" si="30"/>
        <v>40138</v>
      </c>
      <c r="H351" s="7" t="str">
        <f t="shared" si="31"/>
        <v>10:23:19</v>
      </c>
      <c r="I351" s="8" t="str">
        <f t="shared" si="32"/>
        <v>Morning</v>
      </c>
      <c r="L351">
        <v>0</v>
      </c>
      <c r="M351">
        <v>0</v>
      </c>
      <c r="N351">
        <v>1</v>
      </c>
      <c r="O351" s="4">
        <f t="shared" si="33"/>
        <v>1</v>
      </c>
      <c r="P351" s="5" t="str">
        <f t="shared" si="34"/>
        <v>Low engagement</v>
      </c>
      <c r="Q351" t="b">
        <v>0</v>
      </c>
      <c r="R351" t="b">
        <v>0</v>
      </c>
      <c r="S351" t="b">
        <v>0</v>
      </c>
      <c r="T351" s="24" t="str">
        <f t="shared" si="35"/>
        <v>Text only</v>
      </c>
    </row>
    <row r="352" spans="1:20" hidden="1" x14ac:dyDescent="0.2">
      <c r="A352" t="s">
        <v>1198</v>
      </c>
      <c r="B352" t="s">
        <v>14</v>
      </c>
      <c r="C352" t="s">
        <v>15</v>
      </c>
      <c r="D352" t="s">
        <v>1199</v>
      </c>
      <c r="E352" t="s">
        <v>1200</v>
      </c>
      <c r="F3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2" s="27">
        <f t="shared" si="30"/>
        <v>40138</v>
      </c>
      <c r="H352" s="7" t="str">
        <f t="shared" si="31"/>
        <v>14:50:50</v>
      </c>
      <c r="I352" s="8" t="str">
        <f t="shared" si="32"/>
        <v>Afternoon</v>
      </c>
      <c r="L352">
        <v>0</v>
      </c>
      <c r="M352">
        <v>0</v>
      </c>
      <c r="N352">
        <v>1</v>
      </c>
      <c r="O352" s="4">
        <f t="shared" si="33"/>
        <v>1</v>
      </c>
      <c r="P352" s="5" t="str">
        <f t="shared" si="34"/>
        <v>Low engagement</v>
      </c>
      <c r="Q352" t="b">
        <v>0</v>
      </c>
      <c r="R352" t="b">
        <v>0</v>
      </c>
      <c r="S352" t="b">
        <v>0</v>
      </c>
      <c r="T352" s="24" t="str">
        <f t="shared" si="35"/>
        <v>Text only</v>
      </c>
    </row>
    <row r="353" spans="1:20" hidden="1" x14ac:dyDescent="0.2">
      <c r="A353" t="s">
        <v>1192</v>
      </c>
      <c r="B353" t="s">
        <v>14</v>
      </c>
      <c r="C353" t="s">
        <v>15</v>
      </c>
      <c r="D353" t="s">
        <v>1193</v>
      </c>
      <c r="E353" t="s">
        <v>1194</v>
      </c>
      <c r="F3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3" s="27">
        <f t="shared" si="30"/>
        <v>40139</v>
      </c>
      <c r="H353" s="7" t="str">
        <f t="shared" si="31"/>
        <v>00:22:58</v>
      </c>
      <c r="I353" s="8" t="str">
        <f t="shared" si="32"/>
        <v>Early morning</v>
      </c>
      <c r="L353">
        <v>0</v>
      </c>
      <c r="M353">
        <v>0</v>
      </c>
      <c r="N353">
        <v>1</v>
      </c>
      <c r="O353" s="4">
        <f t="shared" si="33"/>
        <v>1</v>
      </c>
      <c r="P353" s="5" t="str">
        <f t="shared" si="34"/>
        <v>Low engagement</v>
      </c>
      <c r="Q353" t="b">
        <v>0</v>
      </c>
      <c r="R353" t="b">
        <v>0</v>
      </c>
      <c r="S353" t="b">
        <v>0</v>
      </c>
      <c r="T353" s="24" t="str">
        <f t="shared" si="35"/>
        <v>Text only</v>
      </c>
    </row>
    <row r="354" spans="1:20" hidden="1" x14ac:dyDescent="0.2">
      <c r="A354" t="s">
        <v>1183</v>
      </c>
      <c r="B354" t="s">
        <v>14</v>
      </c>
      <c r="C354" t="s">
        <v>15</v>
      </c>
      <c r="D354" t="s">
        <v>1184</v>
      </c>
      <c r="E354" t="s">
        <v>1185</v>
      </c>
      <c r="F3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4" s="27">
        <f t="shared" si="30"/>
        <v>40139</v>
      </c>
      <c r="H354" s="7" t="str">
        <f t="shared" si="31"/>
        <v>01:03:46</v>
      </c>
      <c r="I354" s="8" t="str">
        <f t="shared" si="32"/>
        <v>Early morning</v>
      </c>
      <c r="L354">
        <v>0</v>
      </c>
      <c r="M354">
        <v>0</v>
      </c>
      <c r="N354">
        <v>1</v>
      </c>
      <c r="O354" s="4">
        <f t="shared" si="33"/>
        <v>1</v>
      </c>
      <c r="P354" s="5" t="str">
        <f t="shared" si="34"/>
        <v>Low engagement</v>
      </c>
      <c r="Q354" t="b">
        <v>0</v>
      </c>
      <c r="R354" t="b">
        <v>0</v>
      </c>
      <c r="S354" t="b">
        <v>1</v>
      </c>
      <c r="T354" s="24" t="str">
        <f t="shared" si="35"/>
        <v>Link</v>
      </c>
    </row>
    <row r="355" spans="1:20" hidden="1" x14ac:dyDescent="0.2">
      <c r="A355" t="s">
        <v>1180</v>
      </c>
      <c r="B355" t="s">
        <v>14</v>
      </c>
      <c r="C355" t="s">
        <v>15</v>
      </c>
      <c r="D355" t="s">
        <v>1181</v>
      </c>
      <c r="E355" t="s">
        <v>1182</v>
      </c>
      <c r="F3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5" s="27">
        <f t="shared" si="30"/>
        <v>40139</v>
      </c>
      <c r="H355" s="7" t="str">
        <f t="shared" si="31"/>
        <v>01:09:22</v>
      </c>
      <c r="I355" s="8" t="str">
        <f t="shared" si="32"/>
        <v>Early morning</v>
      </c>
      <c r="L355">
        <v>0</v>
      </c>
      <c r="M355">
        <v>0</v>
      </c>
      <c r="N355">
        <v>1</v>
      </c>
      <c r="O355" s="4">
        <f t="shared" si="33"/>
        <v>1</v>
      </c>
      <c r="P355" s="5" t="str">
        <f t="shared" si="34"/>
        <v>Low engagement</v>
      </c>
      <c r="Q355" t="b">
        <v>0</v>
      </c>
      <c r="R355" t="b">
        <v>0</v>
      </c>
      <c r="S355" t="b">
        <v>1</v>
      </c>
      <c r="T355" s="24" t="str">
        <f t="shared" si="35"/>
        <v>Link</v>
      </c>
    </row>
    <row r="356" spans="1:20" hidden="1" x14ac:dyDescent="0.2">
      <c r="A356" t="s">
        <v>1171</v>
      </c>
      <c r="B356" t="s">
        <v>14</v>
      </c>
      <c r="C356" t="s">
        <v>15</v>
      </c>
      <c r="D356" t="s">
        <v>1172</v>
      </c>
      <c r="E356" t="s">
        <v>1173</v>
      </c>
      <c r="F3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6" s="27">
        <f t="shared" si="30"/>
        <v>40139</v>
      </c>
      <c r="H356" s="7" t="str">
        <f t="shared" si="31"/>
        <v>15:20:33</v>
      </c>
      <c r="I356" s="8" t="str">
        <f t="shared" si="32"/>
        <v>Afternoon</v>
      </c>
      <c r="L356">
        <v>0</v>
      </c>
      <c r="M356">
        <v>0</v>
      </c>
      <c r="N356">
        <v>1</v>
      </c>
      <c r="O356" s="4">
        <f t="shared" si="33"/>
        <v>1</v>
      </c>
      <c r="P356" s="5" t="str">
        <f t="shared" si="34"/>
        <v>Low engagement</v>
      </c>
      <c r="Q356" t="b">
        <v>0</v>
      </c>
      <c r="R356" t="b">
        <v>0</v>
      </c>
      <c r="S356" t="b">
        <v>0</v>
      </c>
      <c r="T356" s="24" t="str">
        <f t="shared" si="35"/>
        <v>Text only</v>
      </c>
    </row>
    <row r="357" spans="1:20" hidden="1" x14ac:dyDescent="0.2">
      <c r="A357" t="s">
        <v>1165</v>
      </c>
      <c r="B357" t="s">
        <v>14</v>
      </c>
      <c r="C357" t="s">
        <v>15</v>
      </c>
      <c r="D357" t="s">
        <v>1166</v>
      </c>
      <c r="E357" t="s">
        <v>1167</v>
      </c>
      <c r="F3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7" s="27">
        <f t="shared" si="30"/>
        <v>40139</v>
      </c>
      <c r="H357" s="7" t="str">
        <f t="shared" si="31"/>
        <v>23:28:21</v>
      </c>
      <c r="I357" s="8" t="str">
        <f t="shared" si="32"/>
        <v>Evening</v>
      </c>
      <c r="L357">
        <v>0</v>
      </c>
      <c r="M357">
        <v>0</v>
      </c>
      <c r="N357">
        <v>1</v>
      </c>
      <c r="O357" s="4">
        <f t="shared" si="33"/>
        <v>1</v>
      </c>
      <c r="P357" s="5" t="str">
        <f t="shared" si="34"/>
        <v>Low engagement</v>
      </c>
      <c r="Q357" t="b">
        <v>0</v>
      </c>
      <c r="R357" t="b">
        <v>0</v>
      </c>
      <c r="S357" t="b">
        <v>1</v>
      </c>
      <c r="T357" s="24" t="str">
        <f t="shared" si="35"/>
        <v>Link</v>
      </c>
    </row>
    <row r="358" spans="1:20" hidden="1" x14ac:dyDescent="0.2">
      <c r="A358" t="s">
        <v>1162</v>
      </c>
      <c r="B358" t="s">
        <v>14</v>
      </c>
      <c r="C358" t="s">
        <v>15</v>
      </c>
      <c r="D358" t="s">
        <v>1163</v>
      </c>
      <c r="E358" t="s">
        <v>1164</v>
      </c>
      <c r="F3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58" s="27">
        <f t="shared" si="30"/>
        <v>40140</v>
      </c>
      <c r="H358" s="7" t="str">
        <f t="shared" si="31"/>
        <v>22:43:43</v>
      </c>
      <c r="I358" s="8" t="str">
        <f t="shared" si="32"/>
        <v>Evening</v>
      </c>
      <c r="L358">
        <v>0</v>
      </c>
      <c r="M358">
        <v>0</v>
      </c>
      <c r="N358">
        <v>1</v>
      </c>
      <c r="O358" s="4">
        <f t="shared" si="33"/>
        <v>1</v>
      </c>
      <c r="P358" s="5" t="str">
        <f t="shared" si="34"/>
        <v>Low engagement</v>
      </c>
      <c r="Q358" t="b">
        <v>0</v>
      </c>
      <c r="R358" t="b">
        <v>0</v>
      </c>
      <c r="S358" t="b">
        <v>1</v>
      </c>
      <c r="T358" s="24" t="str">
        <f t="shared" si="35"/>
        <v>Link</v>
      </c>
    </row>
    <row r="359" spans="1:20" hidden="1" x14ac:dyDescent="0.2">
      <c r="A359" t="s">
        <v>1123</v>
      </c>
      <c r="B359" t="s">
        <v>14</v>
      </c>
      <c r="C359" t="s">
        <v>15</v>
      </c>
      <c r="D359" t="s">
        <v>1124</v>
      </c>
      <c r="E359" t="s">
        <v>1125</v>
      </c>
      <c r="F3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59" s="27">
        <f t="shared" si="30"/>
        <v>40151</v>
      </c>
      <c r="H359" s="7" t="str">
        <f t="shared" si="31"/>
        <v>18:37:18</v>
      </c>
      <c r="I359" s="8" t="str">
        <f t="shared" si="32"/>
        <v>Evening</v>
      </c>
      <c r="J359" t="s">
        <v>584</v>
      </c>
      <c r="L359">
        <v>0</v>
      </c>
      <c r="M359">
        <v>0</v>
      </c>
      <c r="N359">
        <v>1</v>
      </c>
      <c r="O359" s="4">
        <f t="shared" si="33"/>
        <v>1</v>
      </c>
      <c r="P359" s="5" t="str">
        <f t="shared" si="34"/>
        <v>Low engagement</v>
      </c>
      <c r="Q359" t="b">
        <v>0</v>
      </c>
      <c r="R359" t="b">
        <v>0</v>
      </c>
      <c r="S359" t="b">
        <v>0</v>
      </c>
      <c r="T359" s="24" t="str">
        <f t="shared" si="35"/>
        <v>Text only</v>
      </c>
    </row>
    <row r="360" spans="1:20" hidden="1" x14ac:dyDescent="0.2">
      <c r="A360" t="s">
        <v>1120</v>
      </c>
      <c r="B360" t="s">
        <v>14</v>
      </c>
      <c r="C360" t="s">
        <v>15</v>
      </c>
      <c r="D360" t="s">
        <v>1121</v>
      </c>
      <c r="E360" t="s">
        <v>1122</v>
      </c>
      <c r="F3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0" s="27">
        <f t="shared" si="30"/>
        <v>40154</v>
      </c>
      <c r="H360" s="7" t="str">
        <f t="shared" si="31"/>
        <v>17:22:12</v>
      </c>
      <c r="I360" s="8" t="str">
        <f t="shared" si="32"/>
        <v>Afternoon</v>
      </c>
      <c r="L360">
        <v>0</v>
      </c>
      <c r="M360">
        <v>0</v>
      </c>
      <c r="N360">
        <v>1</v>
      </c>
      <c r="O360" s="4">
        <f t="shared" si="33"/>
        <v>1</v>
      </c>
      <c r="P360" s="5" t="str">
        <f t="shared" si="34"/>
        <v>Low engagement</v>
      </c>
      <c r="Q360" t="b">
        <v>0</v>
      </c>
      <c r="R360" t="b">
        <v>0</v>
      </c>
      <c r="S360" t="b">
        <v>1</v>
      </c>
      <c r="T360" s="24" t="str">
        <f t="shared" si="35"/>
        <v>Link</v>
      </c>
    </row>
    <row r="361" spans="1:20" hidden="1" x14ac:dyDescent="0.2">
      <c r="A361" t="s">
        <v>1105</v>
      </c>
      <c r="B361" t="s">
        <v>14</v>
      </c>
      <c r="C361" t="s">
        <v>15</v>
      </c>
      <c r="D361" t="s">
        <v>1106</v>
      </c>
      <c r="E361" t="s">
        <v>1107</v>
      </c>
      <c r="F3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1" s="27">
        <f t="shared" si="30"/>
        <v>40157</v>
      </c>
      <c r="H361" s="7" t="str">
        <f t="shared" si="31"/>
        <v>00:50:52</v>
      </c>
      <c r="I361" s="8" t="str">
        <f t="shared" si="32"/>
        <v>Early morning</v>
      </c>
      <c r="L361">
        <v>0</v>
      </c>
      <c r="M361">
        <v>0</v>
      </c>
      <c r="N361">
        <v>1</v>
      </c>
      <c r="O361" s="4">
        <f t="shared" si="33"/>
        <v>1</v>
      </c>
      <c r="P361" s="5" t="str">
        <f t="shared" si="34"/>
        <v>Low engagement</v>
      </c>
      <c r="Q361" t="b">
        <v>0</v>
      </c>
      <c r="R361" t="b">
        <v>0</v>
      </c>
      <c r="S361" t="b">
        <v>0</v>
      </c>
      <c r="T361" s="24" t="str">
        <f t="shared" si="35"/>
        <v>Text only</v>
      </c>
    </row>
    <row r="362" spans="1:20" hidden="1" x14ac:dyDescent="0.2">
      <c r="A362" t="s">
        <v>1061</v>
      </c>
      <c r="B362" t="s">
        <v>14</v>
      </c>
      <c r="C362" t="s">
        <v>15</v>
      </c>
      <c r="D362" t="s">
        <v>1062</v>
      </c>
      <c r="E362" t="s">
        <v>1063</v>
      </c>
      <c r="F3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2" s="27">
        <f t="shared" si="30"/>
        <v>40168</v>
      </c>
      <c r="H362" s="7" t="str">
        <f t="shared" si="31"/>
        <v>17:38:54</v>
      </c>
      <c r="I362" s="8" t="str">
        <f t="shared" si="32"/>
        <v>Afternoon</v>
      </c>
      <c r="L362">
        <v>0</v>
      </c>
      <c r="M362">
        <v>0</v>
      </c>
      <c r="N362">
        <v>1</v>
      </c>
      <c r="O362" s="4">
        <f t="shared" si="33"/>
        <v>1</v>
      </c>
      <c r="P362" s="5" t="str">
        <f t="shared" si="34"/>
        <v>Low engagement</v>
      </c>
      <c r="Q362" t="b">
        <v>0</v>
      </c>
      <c r="R362" t="b">
        <v>0</v>
      </c>
      <c r="S362" t="b">
        <v>1</v>
      </c>
      <c r="T362" s="24" t="str">
        <f t="shared" si="35"/>
        <v>Link</v>
      </c>
    </row>
    <row r="363" spans="1:20" hidden="1" x14ac:dyDescent="0.2">
      <c r="A363" t="s">
        <v>1058</v>
      </c>
      <c r="B363" t="s">
        <v>14</v>
      </c>
      <c r="C363" t="s">
        <v>15</v>
      </c>
      <c r="D363" t="s">
        <v>1059</v>
      </c>
      <c r="E363" t="s">
        <v>1060</v>
      </c>
      <c r="F3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3" s="27">
        <f t="shared" si="30"/>
        <v>40168</v>
      </c>
      <c r="H363" s="7" t="str">
        <f t="shared" si="31"/>
        <v>22:35:20</v>
      </c>
      <c r="I363" s="8" t="str">
        <f t="shared" si="32"/>
        <v>Evening</v>
      </c>
      <c r="L363">
        <v>0</v>
      </c>
      <c r="M363">
        <v>0</v>
      </c>
      <c r="N363">
        <v>1</v>
      </c>
      <c r="O363" s="4">
        <f t="shared" si="33"/>
        <v>1</v>
      </c>
      <c r="P363" s="5" t="str">
        <f t="shared" si="34"/>
        <v>Low engagement</v>
      </c>
      <c r="Q363" t="b">
        <v>0</v>
      </c>
      <c r="R363" t="b">
        <v>0</v>
      </c>
      <c r="S363" t="b">
        <v>1</v>
      </c>
      <c r="T363" s="24" t="str">
        <f t="shared" si="35"/>
        <v>Link</v>
      </c>
    </row>
    <row r="364" spans="1:20" hidden="1" x14ac:dyDescent="0.2">
      <c r="A364" t="s">
        <v>1023</v>
      </c>
      <c r="B364" t="s">
        <v>14</v>
      </c>
      <c r="C364" t="s">
        <v>15</v>
      </c>
      <c r="D364" t="s">
        <v>1024</v>
      </c>
      <c r="E364" t="s">
        <v>1025</v>
      </c>
      <c r="F3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4" s="27">
        <f t="shared" si="30"/>
        <v>40187</v>
      </c>
      <c r="H364" s="7" t="str">
        <f t="shared" si="31"/>
        <v>01:44:27</v>
      </c>
      <c r="I364" s="8" t="str">
        <f t="shared" si="32"/>
        <v>Early morning</v>
      </c>
      <c r="L364">
        <v>0</v>
      </c>
      <c r="M364">
        <v>0</v>
      </c>
      <c r="N364">
        <v>1</v>
      </c>
      <c r="O364" s="4">
        <f t="shared" si="33"/>
        <v>1</v>
      </c>
      <c r="P364" s="5" t="str">
        <f t="shared" si="34"/>
        <v>Low engagement</v>
      </c>
      <c r="Q364" t="b">
        <v>0</v>
      </c>
      <c r="R364" t="b">
        <v>0</v>
      </c>
      <c r="S364" t="b">
        <v>0</v>
      </c>
      <c r="T364" s="24" t="str">
        <f t="shared" si="35"/>
        <v>Text only</v>
      </c>
    </row>
    <row r="365" spans="1:20" hidden="1" x14ac:dyDescent="0.2">
      <c r="A365" t="s">
        <v>992</v>
      </c>
      <c r="B365" t="s">
        <v>14</v>
      </c>
      <c r="C365" t="s">
        <v>15</v>
      </c>
      <c r="D365" t="s">
        <v>993</v>
      </c>
      <c r="E365" t="s">
        <v>994</v>
      </c>
      <c r="F3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5" s="27">
        <f t="shared" si="30"/>
        <v>40189</v>
      </c>
      <c r="H365" s="7" t="str">
        <f t="shared" si="31"/>
        <v>22:42:04</v>
      </c>
      <c r="I365" s="8" t="str">
        <f t="shared" si="32"/>
        <v>Evening</v>
      </c>
      <c r="J365" t="s">
        <v>584</v>
      </c>
      <c r="L365">
        <v>0</v>
      </c>
      <c r="M365">
        <v>0</v>
      </c>
      <c r="N365">
        <v>1</v>
      </c>
      <c r="O365" s="4">
        <f t="shared" si="33"/>
        <v>1</v>
      </c>
      <c r="P365" s="5" t="str">
        <f t="shared" si="34"/>
        <v>Low engagement</v>
      </c>
      <c r="Q365" t="b">
        <v>0</v>
      </c>
      <c r="R365" t="b">
        <v>0</v>
      </c>
      <c r="S365" t="b">
        <v>0</v>
      </c>
      <c r="T365" s="24" t="str">
        <f t="shared" si="35"/>
        <v>Text only</v>
      </c>
    </row>
    <row r="366" spans="1:20" hidden="1" x14ac:dyDescent="0.2">
      <c r="A366" t="s">
        <v>974</v>
      </c>
      <c r="B366" t="s">
        <v>14</v>
      </c>
      <c r="C366" t="s">
        <v>15</v>
      </c>
      <c r="D366" t="s">
        <v>975</v>
      </c>
      <c r="E366" t="s">
        <v>976</v>
      </c>
      <c r="F3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366" s="27">
        <f t="shared" si="30"/>
        <v>40194</v>
      </c>
      <c r="H366" s="7" t="str">
        <f t="shared" si="31"/>
        <v>01:23:32</v>
      </c>
      <c r="I366" s="8" t="str">
        <f t="shared" si="32"/>
        <v>Early morning</v>
      </c>
      <c r="L366">
        <v>0</v>
      </c>
      <c r="M366">
        <v>0</v>
      </c>
      <c r="N366">
        <v>1</v>
      </c>
      <c r="O366" s="4">
        <f t="shared" si="33"/>
        <v>1</v>
      </c>
      <c r="P366" s="5" t="str">
        <f t="shared" si="34"/>
        <v>Low engagement</v>
      </c>
      <c r="Q366" t="b">
        <v>0</v>
      </c>
      <c r="R366" t="b">
        <v>0</v>
      </c>
      <c r="S366" t="b">
        <v>1</v>
      </c>
      <c r="T366" s="24" t="str">
        <f t="shared" si="35"/>
        <v>Link</v>
      </c>
    </row>
    <row r="367" spans="1:20" hidden="1" x14ac:dyDescent="0.2">
      <c r="A367" t="s">
        <v>912</v>
      </c>
      <c r="B367" t="s">
        <v>14</v>
      </c>
      <c r="C367" t="s">
        <v>15</v>
      </c>
      <c r="D367" t="s">
        <v>913</v>
      </c>
      <c r="E367" t="s">
        <v>914</v>
      </c>
      <c r="F3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67" s="27">
        <f t="shared" si="30"/>
        <v>40207</v>
      </c>
      <c r="H367" s="7" t="str">
        <f t="shared" si="31"/>
        <v>02:23:37</v>
      </c>
      <c r="I367" s="8" t="str">
        <f t="shared" si="32"/>
        <v>Early morning</v>
      </c>
      <c r="L367">
        <v>1</v>
      </c>
      <c r="M367">
        <v>0</v>
      </c>
      <c r="N367">
        <v>1</v>
      </c>
      <c r="O367" s="4">
        <f t="shared" si="33"/>
        <v>2</v>
      </c>
      <c r="P367" s="5" t="str">
        <f t="shared" si="34"/>
        <v>Low engagement</v>
      </c>
      <c r="Q367" t="b">
        <v>0</v>
      </c>
      <c r="R367" t="b">
        <v>0</v>
      </c>
      <c r="S367" t="b">
        <v>1</v>
      </c>
      <c r="T367" s="24" t="str">
        <f t="shared" si="35"/>
        <v>Link</v>
      </c>
    </row>
    <row r="368" spans="1:20" hidden="1" x14ac:dyDescent="0.2">
      <c r="A368" t="s">
        <v>892</v>
      </c>
      <c r="B368" t="s">
        <v>14</v>
      </c>
      <c r="C368" t="s">
        <v>15</v>
      </c>
      <c r="D368" t="s">
        <v>893</v>
      </c>
      <c r="E368" t="s">
        <v>894</v>
      </c>
      <c r="F3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68" s="27">
        <f t="shared" si="30"/>
        <v>40208</v>
      </c>
      <c r="H368" s="7" t="str">
        <f t="shared" si="31"/>
        <v>01:01:02</v>
      </c>
      <c r="I368" s="8" t="str">
        <f t="shared" si="32"/>
        <v>Early morning</v>
      </c>
      <c r="L368">
        <v>0</v>
      </c>
      <c r="M368">
        <v>0</v>
      </c>
      <c r="N368">
        <v>1</v>
      </c>
      <c r="O368" s="4">
        <f t="shared" si="33"/>
        <v>1</v>
      </c>
      <c r="P368" s="5" t="str">
        <f t="shared" si="34"/>
        <v>Low engagement</v>
      </c>
      <c r="Q368" t="b">
        <v>0</v>
      </c>
      <c r="R368" t="b">
        <v>0</v>
      </c>
      <c r="S368" t="b">
        <v>0</v>
      </c>
      <c r="T368" s="24" t="str">
        <f t="shared" si="35"/>
        <v>Text only</v>
      </c>
    </row>
    <row r="369" spans="1:20" hidden="1" x14ac:dyDescent="0.2">
      <c r="A369" t="s">
        <v>820</v>
      </c>
      <c r="B369" t="s">
        <v>14</v>
      </c>
      <c r="C369" t="s">
        <v>15</v>
      </c>
      <c r="D369" t="s">
        <v>821</v>
      </c>
      <c r="E369" t="s">
        <v>822</v>
      </c>
      <c r="F3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69" s="27">
        <f t="shared" si="30"/>
        <v>40210</v>
      </c>
      <c r="H369" s="7" t="str">
        <f t="shared" si="31"/>
        <v>14:27:09</v>
      </c>
      <c r="I369" s="8" t="str">
        <f t="shared" si="32"/>
        <v>Afternoon</v>
      </c>
      <c r="L369">
        <v>0</v>
      </c>
      <c r="M369">
        <v>0</v>
      </c>
      <c r="N369">
        <v>1</v>
      </c>
      <c r="O369" s="4">
        <f t="shared" si="33"/>
        <v>1</v>
      </c>
      <c r="P369" s="5" t="str">
        <f t="shared" si="34"/>
        <v>Low engagement</v>
      </c>
      <c r="Q369" t="b">
        <v>0</v>
      </c>
      <c r="R369" t="b">
        <v>0</v>
      </c>
      <c r="S369" t="b">
        <v>0</v>
      </c>
      <c r="T369" s="24" t="str">
        <f t="shared" si="35"/>
        <v>Text only</v>
      </c>
    </row>
    <row r="370" spans="1:20" hidden="1" x14ac:dyDescent="0.2">
      <c r="A370" t="s">
        <v>810</v>
      </c>
      <c r="B370" t="s">
        <v>14</v>
      </c>
      <c r="C370" t="s">
        <v>15</v>
      </c>
      <c r="D370" t="s">
        <v>811</v>
      </c>
      <c r="E370" t="s">
        <v>812</v>
      </c>
      <c r="F3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70" s="27">
        <f t="shared" si="30"/>
        <v>40210</v>
      </c>
      <c r="H370" s="7" t="str">
        <f t="shared" si="31"/>
        <v>16:00:07</v>
      </c>
      <c r="I370" s="8" t="str">
        <f t="shared" si="32"/>
        <v>Afternoon</v>
      </c>
      <c r="J370" t="s">
        <v>813</v>
      </c>
      <c r="L370">
        <v>0</v>
      </c>
      <c r="M370">
        <v>0</v>
      </c>
      <c r="N370">
        <v>1</v>
      </c>
      <c r="O370" s="4">
        <f t="shared" si="33"/>
        <v>1</v>
      </c>
      <c r="P370" s="5" t="str">
        <f t="shared" si="34"/>
        <v>Low engagement</v>
      </c>
      <c r="Q370" t="b">
        <v>0</v>
      </c>
      <c r="R370" t="b">
        <v>0</v>
      </c>
      <c r="S370" t="b">
        <v>0</v>
      </c>
      <c r="T370" s="24" t="str">
        <f t="shared" si="35"/>
        <v>Text only</v>
      </c>
    </row>
    <row r="371" spans="1:20" hidden="1" x14ac:dyDescent="0.2">
      <c r="A371" t="s">
        <v>774</v>
      </c>
      <c r="B371" t="s">
        <v>14</v>
      </c>
      <c r="C371" t="s">
        <v>15</v>
      </c>
      <c r="D371" t="s">
        <v>775</v>
      </c>
      <c r="E371" t="s">
        <v>776</v>
      </c>
      <c r="F3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371" s="27">
        <f t="shared" si="30"/>
        <v>40210</v>
      </c>
      <c r="H371" s="7" t="str">
        <f t="shared" si="31"/>
        <v>20:03:33</v>
      </c>
      <c r="I371" s="8" t="str">
        <f t="shared" si="32"/>
        <v>Evening</v>
      </c>
      <c r="J371" t="s">
        <v>777</v>
      </c>
      <c r="L371">
        <v>0</v>
      </c>
      <c r="M371">
        <v>0</v>
      </c>
      <c r="N371">
        <v>1</v>
      </c>
      <c r="O371" s="4">
        <f t="shared" si="33"/>
        <v>1</v>
      </c>
      <c r="P371" s="5" t="str">
        <f t="shared" si="34"/>
        <v>Low engagement</v>
      </c>
      <c r="Q371" t="b">
        <v>0</v>
      </c>
      <c r="R371" t="b">
        <v>0</v>
      </c>
      <c r="S371" t="b">
        <v>0</v>
      </c>
      <c r="T371" s="24" t="str">
        <f t="shared" si="35"/>
        <v>Text only</v>
      </c>
    </row>
    <row r="372" spans="1:20" hidden="1" x14ac:dyDescent="0.2">
      <c r="A372" t="s">
        <v>1531</v>
      </c>
      <c r="B372" t="s">
        <v>14</v>
      </c>
      <c r="C372" t="s">
        <v>15</v>
      </c>
      <c r="D372" t="s">
        <v>1532</v>
      </c>
      <c r="E372" t="s">
        <v>1533</v>
      </c>
      <c r="F3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2" s="27">
        <f t="shared" si="30"/>
        <v>40085</v>
      </c>
      <c r="H372" s="7" t="str">
        <f t="shared" si="31"/>
        <v>19:29:46</v>
      </c>
      <c r="I372" s="8" t="str">
        <f t="shared" si="32"/>
        <v>Evening</v>
      </c>
      <c r="L372">
        <v>1</v>
      </c>
      <c r="M372">
        <v>0</v>
      </c>
      <c r="N372">
        <v>0</v>
      </c>
      <c r="O372" s="4">
        <f t="shared" si="33"/>
        <v>1</v>
      </c>
      <c r="P372" s="5" t="str">
        <f t="shared" si="34"/>
        <v>Low engagement</v>
      </c>
      <c r="Q372" t="b">
        <v>0</v>
      </c>
      <c r="R372" t="b">
        <v>0</v>
      </c>
      <c r="S372" t="b">
        <v>1</v>
      </c>
      <c r="T372" s="24" t="str">
        <f t="shared" si="35"/>
        <v>Link</v>
      </c>
    </row>
    <row r="373" spans="1:20" hidden="1" x14ac:dyDescent="0.2">
      <c r="A373" t="s">
        <v>1528</v>
      </c>
      <c r="B373" t="s">
        <v>14</v>
      </c>
      <c r="C373" t="s">
        <v>15</v>
      </c>
      <c r="D373" t="s">
        <v>1529</v>
      </c>
      <c r="E373" t="s">
        <v>1530</v>
      </c>
      <c r="F3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3" s="27">
        <f t="shared" si="30"/>
        <v>40085</v>
      </c>
      <c r="H373" s="7" t="str">
        <f t="shared" si="31"/>
        <v>21:34:41</v>
      </c>
      <c r="I373" s="8" t="str">
        <f t="shared" si="32"/>
        <v>Evening</v>
      </c>
      <c r="L373">
        <v>1</v>
      </c>
      <c r="M373">
        <v>0</v>
      </c>
      <c r="N373">
        <v>0</v>
      </c>
      <c r="O373" s="4">
        <f t="shared" si="33"/>
        <v>1</v>
      </c>
      <c r="P373" s="5" t="str">
        <f t="shared" si="34"/>
        <v>Low engagement</v>
      </c>
      <c r="Q373" t="b">
        <v>0</v>
      </c>
      <c r="R373" t="b">
        <v>0</v>
      </c>
      <c r="S373" t="b">
        <v>1</v>
      </c>
      <c r="T373" s="24" t="str">
        <f t="shared" si="35"/>
        <v>Link</v>
      </c>
    </row>
    <row r="374" spans="1:20" hidden="1" x14ac:dyDescent="0.2">
      <c r="A374" t="s">
        <v>1524</v>
      </c>
      <c r="B374" t="s">
        <v>14</v>
      </c>
      <c r="C374" t="s">
        <v>15</v>
      </c>
      <c r="D374" t="s">
        <v>1525</v>
      </c>
      <c r="E374" t="s">
        <v>1526</v>
      </c>
      <c r="F3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4" s="27">
        <f t="shared" si="30"/>
        <v>40086</v>
      </c>
      <c r="H374" s="7" t="str">
        <f t="shared" si="31"/>
        <v>20:02:03</v>
      </c>
      <c r="I374" s="8" t="str">
        <f t="shared" si="32"/>
        <v>Evening</v>
      </c>
      <c r="L374">
        <v>0</v>
      </c>
      <c r="M374">
        <v>0</v>
      </c>
      <c r="N374">
        <v>0</v>
      </c>
      <c r="O374" s="4">
        <f t="shared" si="33"/>
        <v>0</v>
      </c>
      <c r="P374" s="5" t="str">
        <f t="shared" si="34"/>
        <v>No engagement</v>
      </c>
      <c r="Q374" t="b">
        <v>0</v>
      </c>
      <c r="R374" t="b">
        <v>0</v>
      </c>
      <c r="S374" t="b">
        <v>1</v>
      </c>
      <c r="T374" s="24" t="str">
        <f t="shared" si="35"/>
        <v>Link</v>
      </c>
    </row>
    <row r="375" spans="1:20" hidden="1" x14ac:dyDescent="0.2">
      <c r="A375" t="s">
        <v>1521</v>
      </c>
      <c r="B375" t="s">
        <v>14</v>
      </c>
      <c r="C375" t="s">
        <v>15</v>
      </c>
      <c r="D375" t="s">
        <v>1522</v>
      </c>
      <c r="E375" t="s">
        <v>1523</v>
      </c>
      <c r="F3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5" s="27">
        <f t="shared" si="30"/>
        <v>40087</v>
      </c>
      <c r="H375" s="7" t="str">
        <f t="shared" si="31"/>
        <v>18:25:10</v>
      </c>
      <c r="I375" s="8" t="str">
        <f t="shared" si="32"/>
        <v>Evening</v>
      </c>
      <c r="L375">
        <v>0</v>
      </c>
      <c r="M375">
        <v>0</v>
      </c>
      <c r="N375">
        <v>0</v>
      </c>
      <c r="O375" s="4">
        <f t="shared" si="33"/>
        <v>0</v>
      </c>
      <c r="P375" s="5" t="str">
        <f t="shared" si="34"/>
        <v>No engagement</v>
      </c>
      <c r="Q375" t="b">
        <v>0</v>
      </c>
      <c r="R375" t="b">
        <v>0</v>
      </c>
      <c r="S375" t="b">
        <v>1</v>
      </c>
      <c r="T375" s="24" t="str">
        <f t="shared" si="35"/>
        <v>Link</v>
      </c>
    </row>
    <row r="376" spans="1:20" hidden="1" x14ac:dyDescent="0.2">
      <c r="A376" t="s">
        <v>1518</v>
      </c>
      <c r="B376" t="s">
        <v>14</v>
      </c>
      <c r="C376" t="s">
        <v>15</v>
      </c>
      <c r="D376" t="s">
        <v>1519</v>
      </c>
      <c r="E376" t="s">
        <v>1520</v>
      </c>
      <c r="F3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6" s="27">
        <f t="shared" si="30"/>
        <v>40088</v>
      </c>
      <c r="H376" s="7" t="str">
        <f t="shared" si="31"/>
        <v>16:14:41</v>
      </c>
      <c r="I376" s="8" t="str">
        <f t="shared" si="32"/>
        <v>Afternoon</v>
      </c>
      <c r="L376">
        <v>0</v>
      </c>
      <c r="M376">
        <v>0</v>
      </c>
      <c r="N376">
        <v>0</v>
      </c>
      <c r="O376" s="4">
        <f t="shared" si="33"/>
        <v>0</v>
      </c>
      <c r="P376" s="5" t="str">
        <f t="shared" si="34"/>
        <v>No engagement</v>
      </c>
      <c r="Q376" t="b">
        <v>0</v>
      </c>
      <c r="R376" t="b">
        <v>0</v>
      </c>
      <c r="S376" t="b">
        <v>1</v>
      </c>
      <c r="T376" s="24" t="str">
        <f t="shared" si="35"/>
        <v>Link</v>
      </c>
    </row>
    <row r="377" spans="1:20" hidden="1" x14ac:dyDescent="0.2">
      <c r="A377" t="s">
        <v>1515</v>
      </c>
      <c r="B377" t="s">
        <v>14</v>
      </c>
      <c r="C377" t="s">
        <v>15</v>
      </c>
      <c r="D377" t="s">
        <v>1516</v>
      </c>
      <c r="E377" t="s">
        <v>1517</v>
      </c>
      <c r="F3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7" s="27">
        <f t="shared" si="30"/>
        <v>40088</v>
      </c>
      <c r="H377" s="7" t="str">
        <f t="shared" si="31"/>
        <v>16:47:43</v>
      </c>
      <c r="I377" s="8" t="str">
        <f t="shared" si="32"/>
        <v>Afternoon</v>
      </c>
      <c r="L377">
        <v>0</v>
      </c>
      <c r="M377">
        <v>0</v>
      </c>
      <c r="N377">
        <v>0</v>
      </c>
      <c r="O377" s="4">
        <f t="shared" si="33"/>
        <v>0</v>
      </c>
      <c r="P377" s="5" t="str">
        <f t="shared" si="34"/>
        <v>No engagement</v>
      </c>
      <c r="Q377" t="b">
        <v>0</v>
      </c>
      <c r="R377" t="b">
        <v>0</v>
      </c>
      <c r="S377" t="b">
        <v>0</v>
      </c>
      <c r="T377" s="24" t="str">
        <f t="shared" si="35"/>
        <v>Text only</v>
      </c>
    </row>
    <row r="378" spans="1:20" hidden="1" x14ac:dyDescent="0.2">
      <c r="A378" t="s">
        <v>1512</v>
      </c>
      <c r="B378" t="s">
        <v>14</v>
      </c>
      <c r="C378" t="s">
        <v>15</v>
      </c>
      <c r="D378" t="s">
        <v>1513</v>
      </c>
      <c r="E378" t="s">
        <v>1514</v>
      </c>
      <c r="F3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8" s="27">
        <f t="shared" si="30"/>
        <v>40088</v>
      </c>
      <c r="H378" s="7" t="str">
        <f t="shared" si="31"/>
        <v>19:48:50</v>
      </c>
      <c r="I378" s="8" t="str">
        <f t="shared" si="32"/>
        <v>Evening</v>
      </c>
      <c r="L378">
        <v>0</v>
      </c>
      <c r="M378">
        <v>0</v>
      </c>
      <c r="N378">
        <v>0</v>
      </c>
      <c r="O378" s="4">
        <f t="shared" si="33"/>
        <v>0</v>
      </c>
      <c r="P378" s="5" t="str">
        <f t="shared" si="34"/>
        <v>No engagement</v>
      </c>
      <c r="Q378" t="b">
        <v>0</v>
      </c>
      <c r="R378" t="b">
        <v>0</v>
      </c>
      <c r="S378" t="b">
        <v>0</v>
      </c>
      <c r="T378" s="24" t="str">
        <f t="shared" si="35"/>
        <v>Text only</v>
      </c>
    </row>
    <row r="379" spans="1:20" hidden="1" x14ac:dyDescent="0.2">
      <c r="A379" t="s">
        <v>1509</v>
      </c>
      <c r="B379" t="s">
        <v>14</v>
      </c>
      <c r="C379" t="s">
        <v>15</v>
      </c>
      <c r="D379" t="s">
        <v>1510</v>
      </c>
      <c r="E379" t="s">
        <v>1511</v>
      </c>
      <c r="F3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79" s="27">
        <f t="shared" si="30"/>
        <v>40091</v>
      </c>
      <c r="H379" s="7" t="str">
        <f t="shared" si="31"/>
        <v>15:04:24</v>
      </c>
      <c r="I379" s="8" t="str">
        <f t="shared" si="32"/>
        <v>Afternoon</v>
      </c>
      <c r="J379" t="s">
        <v>1312</v>
      </c>
      <c r="L379">
        <v>0</v>
      </c>
      <c r="M379">
        <v>0</v>
      </c>
      <c r="N379">
        <v>0</v>
      </c>
      <c r="O379" s="4">
        <f t="shared" si="33"/>
        <v>0</v>
      </c>
      <c r="P379" s="5" t="str">
        <f t="shared" si="34"/>
        <v>No engagement</v>
      </c>
      <c r="Q379" t="b">
        <v>0</v>
      </c>
      <c r="R379" t="b">
        <v>0</v>
      </c>
      <c r="S379" t="b">
        <v>0</v>
      </c>
      <c r="T379" s="24" t="str">
        <f t="shared" si="35"/>
        <v>Text only</v>
      </c>
    </row>
    <row r="380" spans="1:20" hidden="1" x14ac:dyDescent="0.2">
      <c r="A380" t="s">
        <v>1506</v>
      </c>
      <c r="B380" t="s">
        <v>14</v>
      </c>
      <c r="C380" t="s">
        <v>15</v>
      </c>
      <c r="D380" t="s">
        <v>1507</v>
      </c>
      <c r="E380" t="s">
        <v>1508</v>
      </c>
      <c r="F3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0" s="27">
        <f t="shared" si="30"/>
        <v>40091</v>
      </c>
      <c r="H380" s="7" t="str">
        <f t="shared" si="31"/>
        <v>21:55:38</v>
      </c>
      <c r="I380" s="8" t="str">
        <f t="shared" si="32"/>
        <v>Evening</v>
      </c>
      <c r="L380">
        <v>0</v>
      </c>
      <c r="M380">
        <v>0</v>
      </c>
      <c r="N380">
        <v>0</v>
      </c>
      <c r="O380" s="4">
        <f t="shared" si="33"/>
        <v>0</v>
      </c>
      <c r="P380" s="5" t="str">
        <f t="shared" si="34"/>
        <v>No engagement</v>
      </c>
      <c r="Q380" t="b">
        <v>0</v>
      </c>
      <c r="R380" t="b">
        <v>0</v>
      </c>
      <c r="S380" t="b">
        <v>1</v>
      </c>
      <c r="T380" s="24" t="str">
        <f t="shared" si="35"/>
        <v>Link</v>
      </c>
    </row>
    <row r="381" spans="1:20" hidden="1" x14ac:dyDescent="0.2">
      <c r="A381" t="s">
        <v>1501</v>
      </c>
      <c r="B381" t="s">
        <v>14</v>
      </c>
      <c r="C381" t="s">
        <v>15</v>
      </c>
      <c r="D381" t="s">
        <v>1502</v>
      </c>
      <c r="E381" t="s">
        <v>1503</v>
      </c>
      <c r="F3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1" s="27">
        <f t="shared" si="30"/>
        <v>40093</v>
      </c>
      <c r="H381" s="7" t="str">
        <f t="shared" si="31"/>
        <v>15:11:27</v>
      </c>
      <c r="I381" s="8" t="str">
        <f t="shared" si="32"/>
        <v>Afternoon</v>
      </c>
      <c r="L381">
        <v>0</v>
      </c>
      <c r="M381">
        <v>0</v>
      </c>
      <c r="N381">
        <v>0</v>
      </c>
      <c r="O381" s="4">
        <f t="shared" si="33"/>
        <v>0</v>
      </c>
      <c r="P381" s="5" t="str">
        <f t="shared" si="34"/>
        <v>No engagement</v>
      </c>
      <c r="Q381" t="b">
        <v>0</v>
      </c>
      <c r="R381" t="b">
        <v>0</v>
      </c>
      <c r="S381" t="b">
        <v>1</v>
      </c>
      <c r="T381" s="24" t="str">
        <f t="shared" si="35"/>
        <v>Link</v>
      </c>
    </row>
    <row r="382" spans="1:20" hidden="1" x14ac:dyDescent="0.2">
      <c r="A382" t="s">
        <v>1497</v>
      </c>
      <c r="B382" t="s">
        <v>14</v>
      </c>
      <c r="C382" t="s">
        <v>15</v>
      </c>
      <c r="D382" t="s">
        <v>1498</v>
      </c>
      <c r="E382" t="s">
        <v>1499</v>
      </c>
      <c r="F3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2" s="27">
        <f t="shared" si="30"/>
        <v>40093</v>
      </c>
      <c r="H382" s="7" t="str">
        <f t="shared" si="31"/>
        <v>18:39:44</v>
      </c>
      <c r="I382" s="8" t="str">
        <f t="shared" si="32"/>
        <v>Evening</v>
      </c>
      <c r="J382" t="s">
        <v>1500</v>
      </c>
      <c r="L382">
        <v>0</v>
      </c>
      <c r="M382">
        <v>0</v>
      </c>
      <c r="N382">
        <v>0</v>
      </c>
      <c r="O382" s="4">
        <f t="shared" si="33"/>
        <v>0</v>
      </c>
      <c r="P382" s="5" t="str">
        <f t="shared" si="34"/>
        <v>No engagement</v>
      </c>
      <c r="Q382" t="b">
        <v>0</v>
      </c>
      <c r="R382" t="b">
        <v>0</v>
      </c>
      <c r="S382" t="b">
        <v>0</v>
      </c>
      <c r="T382" s="24" t="str">
        <f t="shared" si="35"/>
        <v>Text only</v>
      </c>
    </row>
    <row r="383" spans="1:20" hidden="1" x14ac:dyDescent="0.2">
      <c r="A383" t="s">
        <v>1494</v>
      </c>
      <c r="B383" t="s">
        <v>14</v>
      </c>
      <c r="C383" t="s">
        <v>15</v>
      </c>
      <c r="D383" t="s">
        <v>1495</v>
      </c>
      <c r="E383" t="s">
        <v>1496</v>
      </c>
      <c r="F3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3" s="27">
        <f t="shared" si="30"/>
        <v>40094</v>
      </c>
      <c r="H383" s="7" t="str">
        <f t="shared" si="31"/>
        <v>14:33:04</v>
      </c>
      <c r="I383" s="8" t="str">
        <f t="shared" si="32"/>
        <v>Afternoon</v>
      </c>
      <c r="L383">
        <v>0</v>
      </c>
      <c r="M383">
        <v>0</v>
      </c>
      <c r="N383">
        <v>0</v>
      </c>
      <c r="O383" s="4">
        <f t="shared" si="33"/>
        <v>0</v>
      </c>
      <c r="P383" s="5" t="str">
        <f t="shared" si="34"/>
        <v>No engagement</v>
      </c>
      <c r="Q383" t="b">
        <v>0</v>
      </c>
      <c r="R383" t="b">
        <v>0</v>
      </c>
      <c r="S383" t="b">
        <v>1</v>
      </c>
      <c r="T383" s="24" t="str">
        <f t="shared" si="35"/>
        <v>Link</v>
      </c>
    </row>
    <row r="384" spans="1:20" hidden="1" x14ac:dyDescent="0.2">
      <c r="A384" t="s">
        <v>1491</v>
      </c>
      <c r="B384" t="s">
        <v>14</v>
      </c>
      <c r="C384" t="s">
        <v>15</v>
      </c>
      <c r="D384" t="s">
        <v>1492</v>
      </c>
      <c r="E384" t="s">
        <v>1493</v>
      </c>
      <c r="F3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4" s="27">
        <f t="shared" si="30"/>
        <v>40094</v>
      </c>
      <c r="H384" s="7" t="str">
        <f t="shared" si="31"/>
        <v>15:43:06</v>
      </c>
      <c r="I384" s="8" t="str">
        <f t="shared" si="32"/>
        <v>Afternoon</v>
      </c>
      <c r="L384">
        <v>0</v>
      </c>
      <c r="M384">
        <v>0</v>
      </c>
      <c r="N384">
        <v>0</v>
      </c>
      <c r="O384" s="4">
        <f t="shared" si="33"/>
        <v>0</v>
      </c>
      <c r="P384" s="5" t="str">
        <f t="shared" si="34"/>
        <v>No engagement</v>
      </c>
      <c r="Q384" t="b">
        <v>0</v>
      </c>
      <c r="R384" t="b">
        <v>0</v>
      </c>
      <c r="S384" t="b">
        <v>1</v>
      </c>
      <c r="T384" s="24" t="str">
        <f t="shared" si="35"/>
        <v>Link</v>
      </c>
    </row>
    <row r="385" spans="1:20" hidden="1" x14ac:dyDescent="0.2">
      <c r="A385" t="s">
        <v>1488</v>
      </c>
      <c r="B385" t="s">
        <v>14</v>
      </c>
      <c r="C385" t="s">
        <v>15</v>
      </c>
      <c r="D385" t="s">
        <v>1489</v>
      </c>
      <c r="E385" t="s">
        <v>1490</v>
      </c>
      <c r="F3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5" s="27">
        <f t="shared" si="30"/>
        <v>40094</v>
      </c>
      <c r="H385" s="7" t="str">
        <f t="shared" si="31"/>
        <v>21:00:24</v>
      </c>
      <c r="I385" s="8" t="str">
        <f t="shared" si="32"/>
        <v>Evening</v>
      </c>
      <c r="L385">
        <v>0</v>
      </c>
      <c r="M385">
        <v>0</v>
      </c>
      <c r="N385">
        <v>0</v>
      </c>
      <c r="O385" s="4">
        <f t="shared" si="33"/>
        <v>0</v>
      </c>
      <c r="P385" s="5" t="str">
        <f t="shared" si="34"/>
        <v>No engagement</v>
      </c>
      <c r="Q385" t="b">
        <v>0</v>
      </c>
      <c r="R385" t="b">
        <v>0</v>
      </c>
      <c r="S385" t="b">
        <v>1</v>
      </c>
      <c r="T385" s="24" t="str">
        <f t="shared" si="35"/>
        <v>Link</v>
      </c>
    </row>
    <row r="386" spans="1:20" hidden="1" x14ac:dyDescent="0.2">
      <c r="A386" t="s">
        <v>1485</v>
      </c>
      <c r="B386" t="s">
        <v>14</v>
      </c>
      <c r="C386" t="s">
        <v>15</v>
      </c>
      <c r="D386" t="s">
        <v>1486</v>
      </c>
      <c r="E386" t="s">
        <v>1487</v>
      </c>
      <c r="F3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6" s="27">
        <f t="shared" ref="G386:G449" si="36">DATEVALUE((LEFT(E386,10)))</f>
        <v>40098</v>
      </c>
      <c r="H386" s="7" t="str">
        <f t="shared" ref="H386:H449" si="37">MID(E386,12,8)</f>
        <v>21:35:11</v>
      </c>
      <c r="I386" s="8" t="str">
        <f t="shared" ref="I386:I449" si="38">IF(HOUR(H386)&lt;7,"Early morning",
IF(HOUR(H386)&lt;11,"Morning",
IF(HOUR(H386)&lt;14,"Mid-day",
IF(HOUR(H386)&lt;18,"Afternoon","Evening"))))</f>
        <v>Evening</v>
      </c>
      <c r="L386">
        <v>0</v>
      </c>
      <c r="M386">
        <v>0</v>
      </c>
      <c r="N386">
        <v>0</v>
      </c>
      <c r="O386" s="4">
        <f t="shared" ref="O386:O449" si="39">L386+M386+N386</f>
        <v>0</v>
      </c>
      <c r="P386" s="5" t="str">
        <f t="shared" ref="P386:P449" si="40">IF(O386&lt;1,"No engagement", IF(O386&lt;5,"Low engagement", IF(O386&lt;10,"Moderate engagement", "High engagement")))</f>
        <v>No engagement</v>
      </c>
      <c r="Q386" t="b">
        <v>0</v>
      </c>
      <c r="R386" t="b">
        <v>0</v>
      </c>
      <c r="S386" t="b">
        <v>1</v>
      </c>
      <c r="T386" s="24" t="str">
        <f t="shared" ref="T386:T449" si="41">IF(Q386=TRUE,"Photo",IF(R386=TRUE,"Video",IF(S386=TRUE,"Link",("Text only"))))</f>
        <v>Link</v>
      </c>
    </row>
    <row r="387" spans="1:20" hidden="1" x14ac:dyDescent="0.2">
      <c r="A387" t="s">
        <v>1482</v>
      </c>
      <c r="B387" t="s">
        <v>14</v>
      </c>
      <c r="C387" t="s">
        <v>15</v>
      </c>
      <c r="D387" t="s">
        <v>1483</v>
      </c>
      <c r="E387" t="s">
        <v>1484</v>
      </c>
      <c r="F3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7" s="27">
        <f t="shared" si="36"/>
        <v>40100</v>
      </c>
      <c r="H387" s="7" t="str">
        <f t="shared" si="37"/>
        <v>16:24:07</v>
      </c>
      <c r="I387" s="8" t="str">
        <f t="shared" si="38"/>
        <v>Afternoon</v>
      </c>
      <c r="L387">
        <v>0</v>
      </c>
      <c r="M387">
        <v>0</v>
      </c>
      <c r="N387">
        <v>0</v>
      </c>
      <c r="O387" s="4">
        <f t="shared" si="39"/>
        <v>0</v>
      </c>
      <c r="P387" s="5" t="str">
        <f t="shared" si="40"/>
        <v>No engagement</v>
      </c>
      <c r="Q387" t="b">
        <v>0</v>
      </c>
      <c r="R387" t="b">
        <v>0</v>
      </c>
      <c r="S387" t="b">
        <v>1</v>
      </c>
      <c r="T387" s="24" t="str">
        <f t="shared" si="41"/>
        <v>Link</v>
      </c>
    </row>
    <row r="388" spans="1:20" hidden="1" x14ac:dyDescent="0.2">
      <c r="A388" t="s">
        <v>1479</v>
      </c>
      <c r="B388" t="s">
        <v>14</v>
      </c>
      <c r="C388" t="s">
        <v>15</v>
      </c>
      <c r="D388" t="s">
        <v>1480</v>
      </c>
      <c r="E388" t="s">
        <v>1481</v>
      </c>
      <c r="F3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8" s="27">
        <f t="shared" si="36"/>
        <v>40100</v>
      </c>
      <c r="H388" s="7" t="str">
        <f t="shared" si="37"/>
        <v>16:34:32</v>
      </c>
      <c r="I388" s="8" t="str">
        <f t="shared" si="38"/>
        <v>Afternoon</v>
      </c>
      <c r="L388">
        <v>0</v>
      </c>
      <c r="M388">
        <v>0</v>
      </c>
      <c r="N388">
        <v>0</v>
      </c>
      <c r="O388" s="4">
        <f t="shared" si="39"/>
        <v>0</v>
      </c>
      <c r="P388" s="5" t="str">
        <f t="shared" si="40"/>
        <v>No engagement</v>
      </c>
      <c r="Q388" t="b">
        <v>0</v>
      </c>
      <c r="R388" t="b">
        <v>0</v>
      </c>
      <c r="S388" t="b">
        <v>0</v>
      </c>
      <c r="T388" s="24" t="str">
        <f t="shared" si="41"/>
        <v>Text only</v>
      </c>
    </row>
    <row r="389" spans="1:20" hidden="1" x14ac:dyDescent="0.2">
      <c r="A389" t="s">
        <v>1476</v>
      </c>
      <c r="B389" t="s">
        <v>14</v>
      </c>
      <c r="C389" t="s">
        <v>15</v>
      </c>
      <c r="D389" t="s">
        <v>1477</v>
      </c>
      <c r="E389" t="s">
        <v>1478</v>
      </c>
      <c r="F3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89" s="27">
        <f t="shared" si="36"/>
        <v>40100</v>
      </c>
      <c r="H389" s="7" t="str">
        <f t="shared" si="37"/>
        <v>16:49:21</v>
      </c>
      <c r="I389" s="8" t="str">
        <f t="shared" si="38"/>
        <v>Afternoon</v>
      </c>
      <c r="L389">
        <v>0</v>
      </c>
      <c r="M389">
        <v>0</v>
      </c>
      <c r="N389">
        <v>0</v>
      </c>
      <c r="O389" s="4">
        <f t="shared" si="39"/>
        <v>0</v>
      </c>
      <c r="P389" s="5" t="str">
        <f t="shared" si="40"/>
        <v>No engagement</v>
      </c>
      <c r="Q389" t="b">
        <v>0</v>
      </c>
      <c r="R389" t="b">
        <v>0</v>
      </c>
      <c r="S389" t="b">
        <v>1</v>
      </c>
      <c r="T389" s="24" t="str">
        <f t="shared" si="41"/>
        <v>Link</v>
      </c>
    </row>
    <row r="390" spans="1:20" hidden="1" x14ac:dyDescent="0.2">
      <c r="A390" t="s">
        <v>1473</v>
      </c>
      <c r="B390" t="s">
        <v>14</v>
      </c>
      <c r="C390" t="s">
        <v>15</v>
      </c>
      <c r="D390" t="s">
        <v>1474</v>
      </c>
      <c r="E390" t="s">
        <v>1475</v>
      </c>
      <c r="F3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0" s="27">
        <f t="shared" si="36"/>
        <v>40100</v>
      </c>
      <c r="H390" s="7" t="str">
        <f t="shared" si="37"/>
        <v>20:38:22</v>
      </c>
      <c r="I390" s="8" t="str">
        <f t="shared" si="38"/>
        <v>Evening</v>
      </c>
      <c r="L390">
        <v>0</v>
      </c>
      <c r="M390">
        <v>0</v>
      </c>
      <c r="N390">
        <v>0</v>
      </c>
      <c r="O390" s="4">
        <f t="shared" si="39"/>
        <v>0</v>
      </c>
      <c r="P390" s="5" t="str">
        <f t="shared" si="40"/>
        <v>No engagement</v>
      </c>
      <c r="Q390" t="b">
        <v>0</v>
      </c>
      <c r="R390" t="b">
        <v>0</v>
      </c>
      <c r="S390" t="b">
        <v>1</v>
      </c>
      <c r="T390" s="24" t="str">
        <f t="shared" si="41"/>
        <v>Link</v>
      </c>
    </row>
    <row r="391" spans="1:20" hidden="1" x14ac:dyDescent="0.2">
      <c r="A391" t="s">
        <v>1470</v>
      </c>
      <c r="B391" t="s">
        <v>14</v>
      </c>
      <c r="C391" t="s">
        <v>15</v>
      </c>
      <c r="D391" t="s">
        <v>1471</v>
      </c>
      <c r="E391" t="s">
        <v>1472</v>
      </c>
      <c r="F3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1" s="27">
        <f t="shared" si="36"/>
        <v>40100</v>
      </c>
      <c r="H391" s="7" t="str">
        <f t="shared" si="37"/>
        <v>23:05:03</v>
      </c>
      <c r="I391" s="8" t="str">
        <f t="shared" si="38"/>
        <v>Evening</v>
      </c>
      <c r="L391">
        <v>0</v>
      </c>
      <c r="M391">
        <v>0</v>
      </c>
      <c r="N391">
        <v>0</v>
      </c>
      <c r="O391" s="4">
        <f t="shared" si="39"/>
        <v>0</v>
      </c>
      <c r="P391" s="5" t="str">
        <f t="shared" si="40"/>
        <v>No engagement</v>
      </c>
      <c r="Q391" t="b">
        <v>0</v>
      </c>
      <c r="R391" t="b">
        <v>0</v>
      </c>
      <c r="S391" t="b">
        <v>1</v>
      </c>
      <c r="T391" s="24" t="str">
        <f t="shared" si="41"/>
        <v>Link</v>
      </c>
    </row>
    <row r="392" spans="1:20" hidden="1" x14ac:dyDescent="0.2">
      <c r="A392" t="s">
        <v>1467</v>
      </c>
      <c r="B392" t="s">
        <v>14</v>
      </c>
      <c r="C392" t="s">
        <v>15</v>
      </c>
      <c r="D392" t="s">
        <v>1468</v>
      </c>
      <c r="E392" t="s">
        <v>1469</v>
      </c>
      <c r="F3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2" s="27">
        <f t="shared" si="36"/>
        <v>40101</v>
      </c>
      <c r="H392" s="7" t="str">
        <f t="shared" si="37"/>
        <v>20:02:14</v>
      </c>
      <c r="I392" s="8" t="str">
        <f t="shared" si="38"/>
        <v>Evening</v>
      </c>
      <c r="L392">
        <v>0</v>
      </c>
      <c r="M392">
        <v>0</v>
      </c>
      <c r="N392">
        <v>0</v>
      </c>
      <c r="O392" s="4">
        <f t="shared" si="39"/>
        <v>0</v>
      </c>
      <c r="P392" s="5" t="str">
        <f t="shared" si="40"/>
        <v>No engagement</v>
      </c>
      <c r="Q392" t="b">
        <v>0</v>
      </c>
      <c r="R392" t="b">
        <v>0</v>
      </c>
      <c r="S392" t="b">
        <v>1</v>
      </c>
      <c r="T392" s="24" t="str">
        <f t="shared" si="41"/>
        <v>Link</v>
      </c>
    </row>
    <row r="393" spans="1:20" hidden="1" x14ac:dyDescent="0.2">
      <c r="A393" t="s">
        <v>1464</v>
      </c>
      <c r="B393" t="s">
        <v>14</v>
      </c>
      <c r="C393" t="s">
        <v>15</v>
      </c>
      <c r="D393" t="s">
        <v>1465</v>
      </c>
      <c r="E393" t="s">
        <v>1466</v>
      </c>
      <c r="F3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3" s="27">
        <f t="shared" si="36"/>
        <v>40101</v>
      </c>
      <c r="H393" s="7" t="str">
        <f t="shared" si="37"/>
        <v>21:25:22</v>
      </c>
      <c r="I393" s="8" t="str">
        <f t="shared" si="38"/>
        <v>Evening</v>
      </c>
      <c r="J393" t="s">
        <v>674</v>
      </c>
      <c r="L393">
        <v>0</v>
      </c>
      <c r="M393">
        <v>0</v>
      </c>
      <c r="N393">
        <v>0</v>
      </c>
      <c r="O393" s="4">
        <f t="shared" si="39"/>
        <v>0</v>
      </c>
      <c r="P393" s="5" t="str">
        <f t="shared" si="40"/>
        <v>No engagement</v>
      </c>
      <c r="Q393" t="b">
        <v>0</v>
      </c>
      <c r="R393" t="b">
        <v>0</v>
      </c>
      <c r="S393" t="b">
        <v>0</v>
      </c>
      <c r="T393" s="24" t="str">
        <f t="shared" si="41"/>
        <v>Text only</v>
      </c>
    </row>
    <row r="394" spans="1:20" hidden="1" x14ac:dyDescent="0.2">
      <c r="A394" t="s">
        <v>1461</v>
      </c>
      <c r="B394" t="s">
        <v>14</v>
      </c>
      <c r="C394" t="s">
        <v>15</v>
      </c>
      <c r="D394" t="s">
        <v>1462</v>
      </c>
      <c r="E394" t="s">
        <v>1463</v>
      </c>
      <c r="F3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4" s="27">
        <f t="shared" si="36"/>
        <v>40102</v>
      </c>
      <c r="H394" s="7" t="str">
        <f t="shared" si="37"/>
        <v>17:48:00</v>
      </c>
      <c r="I394" s="8" t="str">
        <f t="shared" si="38"/>
        <v>Afternoon</v>
      </c>
      <c r="L394">
        <v>0</v>
      </c>
      <c r="M394">
        <v>0</v>
      </c>
      <c r="N394">
        <v>0</v>
      </c>
      <c r="O394" s="4">
        <f t="shared" si="39"/>
        <v>0</v>
      </c>
      <c r="P394" s="5" t="str">
        <f t="shared" si="40"/>
        <v>No engagement</v>
      </c>
      <c r="Q394" t="b">
        <v>0</v>
      </c>
      <c r="R394" t="b">
        <v>0</v>
      </c>
      <c r="S394" t="b">
        <v>1</v>
      </c>
      <c r="T394" s="24" t="str">
        <f t="shared" si="41"/>
        <v>Link</v>
      </c>
    </row>
    <row r="395" spans="1:20" hidden="1" x14ac:dyDescent="0.2">
      <c r="A395" t="s">
        <v>1458</v>
      </c>
      <c r="B395" t="s">
        <v>14</v>
      </c>
      <c r="C395" t="s">
        <v>15</v>
      </c>
      <c r="D395" t="s">
        <v>1459</v>
      </c>
      <c r="E395" t="s">
        <v>1460</v>
      </c>
      <c r="F3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5" s="27">
        <f t="shared" si="36"/>
        <v>40102</v>
      </c>
      <c r="H395" s="7" t="str">
        <f t="shared" si="37"/>
        <v>21:04:52</v>
      </c>
      <c r="I395" s="8" t="str">
        <f t="shared" si="38"/>
        <v>Evening</v>
      </c>
      <c r="L395">
        <v>0</v>
      </c>
      <c r="M395">
        <v>0</v>
      </c>
      <c r="N395">
        <v>0</v>
      </c>
      <c r="O395" s="4">
        <f t="shared" si="39"/>
        <v>0</v>
      </c>
      <c r="P395" s="5" t="str">
        <f t="shared" si="40"/>
        <v>No engagement</v>
      </c>
      <c r="Q395" t="b">
        <v>0</v>
      </c>
      <c r="R395" t="b">
        <v>0</v>
      </c>
      <c r="S395" t="b">
        <v>1</v>
      </c>
      <c r="T395" s="24" t="str">
        <f t="shared" si="41"/>
        <v>Link</v>
      </c>
    </row>
    <row r="396" spans="1:20" hidden="1" x14ac:dyDescent="0.2">
      <c r="A396" t="s">
        <v>1455</v>
      </c>
      <c r="B396" t="s">
        <v>14</v>
      </c>
      <c r="C396" t="s">
        <v>15</v>
      </c>
      <c r="D396" t="s">
        <v>1456</v>
      </c>
      <c r="E396" t="s">
        <v>1457</v>
      </c>
      <c r="F3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6" s="27">
        <f t="shared" si="36"/>
        <v>40105</v>
      </c>
      <c r="H396" s="7" t="str">
        <f t="shared" si="37"/>
        <v>17:07:48</v>
      </c>
      <c r="I396" s="8" t="str">
        <f t="shared" si="38"/>
        <v>Afternoon</v>
      </c>
      <c r="J396" t="s">
        <v>1360</v>
      </c>
      <c r="L396">
        <v>0</v>
      </c>
      <c r="M396">
        <v>0</v>
      </c>
      <c r="N396">
        <v>0</v>
      </c>
      <c r="O396" s="4">
        <f t="shared" si="39"/>
        <v>0</v>
      </c>
      <c r="P396" s="5" t="str">
        <f t="shared" si="40"/>
        <v>No engagement</v>
      </c>
      <c r="Q396" t="b">
        <v>0</v>
      </c>
      <c r="R396" t="b">
        <v>0</v>
      </c>
      <c r="S396" t="b">
        <v>0</v>
      </c>
      <c r="T396" s="24" t="str">
        <f t="shared" si="41"/>
        <v>Text only</v>
      </c>
    </row>
    <row r="397" spans="1:20" hidden="1" x14ac:dyDescent="0.2">
      <c r="A397" t="s">
        <v>1452</v>
      </c>
      <c r="B397" t="s">
        <v>14</v>
      </c>
      <c r="C397" t="s">
        <v>15</v>
      </c>
      <c r="D397" t="s">
        <v>1453</v>
      </c>
      <c r="E397" t="s">
        <v>1454</v>
      </c>
      <c r="F3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7" s="27">
        <f t="shared" si="36"/>
        <v>40105</v>
      </c>
      <c r="H397" s="7" t="str">
        <f t="shared" si="37"/>
        <v>17:23:18</v>
      </c>
      <c r="I397" s="8" t="str">
        <f t="shared" si="38"/>
        <v>Afternoon</v>
      </c>
      <c r="J397" t="s">
        <v>1360</v>
      </c>
      <c r="L397">
        <v>0</v>
      </c>
      <c r="M397">
        <v>0</v>
      </c>
      <c r="N397">
        <v>0</v>
      </c>
      <c r="O397" s="4">
        <f t="shared" si="39"/>
        <v>0</v>
      </c>
      <c r="P397" s="5" t="str">
        <f t="shared" si="40"/>
        <v>No engagement</v>
      </c>
      <c r="Q397" t="b">
        <v>0</v>
      </c>
      <c r="R397" t="b">
        <v>0</v>
      </c>
      <c r="S397" t="b">
        <v>1</v>
      </c>
      <c r="T397" s="24" t="str">
        <f t="shared" si="41"/>
        <v>Link</v>
      </c>
    </row>
    <row r="398" spans="1:20" hidden="1" x14ac:dyDescent="0.2">
      <c r="A398" t="s">
        <v>1449</v>
      </c>
      <c r="B398" t="s">
        <v>14</v>
      </c>
      <c r="C398" t="s">
        <v>15</v>
      </c>
      <c r="D398" t="s">
        <v>1450</v>
      </c>
      <c r="E398" t="s">
        <v>1451</v>
      </c>
      <c r="F3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8" s="27">
        <f t="shared" si="36"/>
        <v>40105</v>
      </c>
      <c r="H398" s="7" t="str">
        <f t="shared" si="37"/>
        <v>20:14:46</v>
      </c>
      <c r="I398" s="8" t="str">
        <f t="shared" si="38"/>
        <v>Evening</v>
      </c>
      <c r="L398">
        <v>0</v>
      </c>
      <c r="M398">
        <v>0</v>
      </c>
      <c r="N398">
        <v>0</v>
      </c>
      <c r="O398" s="4">
        <f t="shared" si="39"/>
        <v>0</v>
      </c>
      <c r="P398" s="5" t="str">
        <f t="shared" si="40"/>
        <v>No engagement</v>
      </c>
      <c r="Q398" t="b">
        <v>0</v>
      </c>
      <c r="R398" t="b">
        <v>0</v>
      </c>
      <c r="S398" t="b">
        <v>1</v>
      </c>
      <c r="T398" s="24" t="str">
        <f t="shared" si="41"/>
        <v>Link</v>
      </c>
    </row>
    <row r="399" spans="1:20" hidden="1" x14ac:dyDescent="0.2">
      <c r="A399" t="s">
        <v>1446</v>
      </c>
      <c r="B399" t="s">
        <v>14</v>
      </c>
      <c r="C399" t="s">
        <v>15</v>
      </c>
      <c r="D399" t="s">
        <v>1447</v>
      </c>
      <c r="E399" t="s">
        <v>1448</v>
      </c>
      <c r="F3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399" s="27">
        <f t="shared" si="36"/>
        <v>40106</v>
      </c>
      <c r="H399" s="7" t="str">
        <f t="shared" si="37"/>
        <v>16:44:42</v>
      </c>
      <c r="I399" s="8" t="str">
        <f t="shared" si="38"/>
        <v>Afternoon</v>
      </c>
      <c r="L399">
        <v>1</v>
      </c>
      <c r="M399">
        <v>0</v>
      </c>
      <c r="N399">
        <v>0</v>
      </c>
      <c r="O399" s="4">
        <f t="shared" si="39"/>
        <v>1</v>
      </c>
      <c r="P399" s="5" t="str">
        <f t="shared" si="40"/>
        <v>Low engagement</v>
      </c>
      <c r="Q399" t="b">
        <v>0</v>
      </c>
      <c r="R399" t="b">
        <v>0</v>
      </c>
      <c r="S399" t="b">
        <v>1</v>
      </c>
      <c r="T399" s="24" t="str">
        <f t="shared" si="41"/>
        <v>Link</v>
      </c>
    </row>
    <row r="400" spans="1:20" hidden="1" x14ac:dyDescent="0.2">
      <c r="A400" t="s">
        <v>1443</v>
      </c>
      <c r="B400" t="s">
        <v>14</v>
      </c>
      <c r="C400" t="s">
        <v>15</v>
      </c>
      <c r="D400" t="s">
        <v>1444</v>
      </c>
      <c r="E400" t="s">
        <v>1445</v>
      </c>
      <c r="F4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0" s="27">
        <f t="shared" si="36"/>
        <v>40106</v>
      </c>
      <c r="H400" s="7" t="str">
        <f t="shared" si="37"/>
        <v>16:46:23</v>
      </c>
      <c r="I400" s="8" t="str">
        <f t="shared" si="38"/>
        <v>Afternoon</v>
      </c>
      <c r="L400">
        <v>0</v>
      </c>
      <c r="M400">
        <v>0</v>
      </c>
      <c r="N400">
        <v>0</v>
      </c>
      <c r="O400" s="4">
        <f t="shared" si="39"/>
        <v>0</v>
      </c>
      <c r="P400" s="5" t="str">
        <f t="shared" si="40"/>
        <v>No engagement</v>
      </c>
      <c r="Q400" t="b">
        <v>0</v>
      </c>
      <c r="R400" t="b">
        <v>0</v>
      </c>
      <c r="S400" t="b">
        <v>1</v>
      </c>
      <c r="T400" s="24" t="str">
        <f t="shared" si="41"/>
        <v>Link</v>
      </c>
    </row>
    <row r="401" spans="1:20" hidden="1" x14ac:dyDescent="0.2">
      <c r="A401" t="s">
        <v>1440</v>
      </c>
      <c r="B401" t="s">
        <v>14</v>
      </c>
      <c r="C401" t="s">
        <v>15</v>
      </c>
      <c r="D401" t="s">
        <v>1441</v>
      </c>
      <c r="E401" t="s">
        <v>1442</v>
      </c>
      <c r="F4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1" s="27">
        <f t="shared" si="36"/>
        <v>40106</v>
      </c>
      <c r="H401" s="7" t="str">
        <f t="shared" si="37"/>
        <v>20:11:29</v>
      </c>
      <c r="I401" s="8" t="str">
        <f t="shared" si="38"/>
        <v>Evening</v>
      </c>
      <c r="L401">
        <v>0</v>
      </c>
      <c r="M401">
        <v>0</v>
      </c>
      <c r="N401">
        <v>0</v>
      </c>
      <c r="O401" s="4">
        <f t="shared" si="39"/>
        <v>0</v>
      </c>
      <c r="P401" s="5" t="str">
        <f t="shared" si="40"/>
        <v>No engagement</v>
      </c>
      <c r="Q401" t="b">
        <v>0</v>
      </c>
      <c r="R401" t="b">
        <v>0</v>
      </c>
      <c r="S401" t="b">
        <v>1</v>
      </c>
      <c r="T401" s="24" t="str">
        <f t="shared" si="41"/>
        <v>Link</v>
      </c>
    </row>
    <row r="402" spans="1:20" hidden="1" x14ac:dyDescent="0.2">
      <c r="A402" t="s">
        <v>1437</v>
      </c>
      <c r="B402" t="s">
        <v>14</v>
      </c>
      <c r="C402" t="s">
        <v>15</v>
      </c>
      <c r="D402" t="s">
        <v>1438</v>
      </c>
      <c r="E402" t="s">
        <v>1439</v>
      </c>
      <c r="F4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2" s="27">
        <f t="shared" si="36"/>
        <v>40107</v>
      </c>
      <c r="H402" s="7" t="str">
        <f t="shared" si="37"/>
        <v>01:02:39</v>
      </c>
      <c r="I402" s="8" t="str">
        <f t="shared" si="38"/>
        <v>Early morning</v>
      </c>
      <c r="L402">
        <v>0</v>
      </c>
      <c r="M402">
        <v>0</v>
      </c>
      <c r="N402">
        <v>0</v>
      </c>
      <c r="O402" s="4">
        <f t="shared" si="39"/>
        <v>0</v>
      </c>
      <c r="P402" s="5" t="str">
        <f t="shared" si="40"/>
        <v>No engagement</v>
      </c>
      <c r="Q402" t="b">
        <v>0</v>
      </c>
      <c r="R402" t="b">
        <v>0</v>
      </c>
      <c r="S402" t="b">
        <v>1</v>
      </c>
      <c r="T402" s="24" t="str">
        <f t="shared" si="41"/>
        <v>Link</v>
      </c>
    </row>
    <row r="403" spans="1:20" hidden="1" x14ac:dyDescent="0.2">
      <c r="A403" t="s">
        <v>1434</v>
      </c>
      <c r="B403" t="s">
        <v>14</v>
      </c>
      <c r="C403" t="s">
        <v>15</v>
      </c>
      <c r="D403" t="s">
        <v>1435</v>
      </c>
      <c r="E403" t="s">
        <v>1436</v>
      </c>
      <c r="F4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3" s="27">
        <f t="shared" si="36"/>
        <v>40107</v>
      </c>
      <c r="H403" s="7" t="str">
        <f t="shared" si="37"/>
        <v>02:33:33</v>
      </c>
      <c r="I403" s="8" t="str">
        <f t="shared" si="38"/>
        <v>Early morning</v>
      </c>
      <c r="L403">
        <v>0</v>
      </c>
      <c r="M403">
        <v>0</v>
      </c>
      <c r="N403">
        <v>0</v>
      </c>
      <c r="O403" s="4">
        <f t="shared" si="39"/>
        <v>0</v>
      </c>
      <c r="P403" s="5" t="str">
        <f t="shared" si="40"/>
        <v>No engagement</v>
      </c>
      <c r="Q403" t="b">
        <v>0</v>
      </c>
      <c r="R403" t="b">
        <v>0</v>
      </c>
      <c r="S403" t="b">
        <v>0</v>
      </c>
      <c r="T403" s="24" t="str">
        <f t="shared" si="41"/>
        <v>Text only</v>
      </c>
    </row>
    <row r="404" spans="1:20" hidden="1" x14ac:dyDescent="0.2">
      <c r="A404" t="s">
        <v>1431</v>
      </c>
      <c r="B404" t="s">
        <v>14</v>
      </c>
      <c r="C404" t="s">
        <v>15</v>
      </c>
      <c r="D404" t="s">
        <v>1432</v>
      </c>
      <c r="E404" t="s">
        <v>1433</v>
      </c>
      <c r="F4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4" s="27">
        <f t="shared" si="36"/>
        <v>40107</v>
      </c>
      <c r="H404" s="7" t="str">
        <f t="shared" si="37"/>
        <v>03:08:05</v>
      </c>
      <c r="I404" s="8" t="str">
        <f t="shared" si="38"/>
        <v>Early morning</v>
      </c>
      <c r="L404">
        <v>0</v>
      </c>
      <c r="M404">
        <v>0</v>
      </c>
      <c r="N404">
        <v>0</v>
      </c>
      <c r="O404" s="4">
        <f t="shared" si="39"/>
        <v>0</v>
      </c>
      <c r="P404" s="5" t="str">
        <f t="shared" si="40"/>
        <v>No engagement</v>
      </c>
      <c r="Q404" t="b">
        <v>0</v>
      </c>
      <c r="R404" t="b">
        <v>0</v>
      </c>
      <c r="S404" t="b">
        <v>0</v>
      </c>
      <c r="T404" s="24" t="str">
        <f t="shared" si="41"/>
        <v>Text only</v>
      </c>
    </row>
    <row r="405" spans="1:20" hidden="1" x14ac:dyDescent="0.2">
      <c r="A405" t="s">
        <v>1428</v>
      </c>
      <c r="B405" t="s">
        <v>14</v>
      </c>
      <c r="C405" t="s">
        <v>15</v>
      </c>
      <c r="D405" t="s">
        <v>1429</v>
      </c>
      <c r="E405" t="s">
        <v>1430</v>
      </c>
      <c r="F4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5" s="27">
        <f t="shared" si="36"/>
        <v>40107</v>
      </c>
      <c r="H405" s="7" t="str">
        <f t="shared" si="37"/>
        <v>03:33:17</v>
      </c>
      <c r="I405" s="8" t="str">
        <f t="shared" si="38"/>
        <v>Early morning</v>
      </c>
      <c r="L405">
        <v>0</v>
      </c>
      <c r="M405">
        <v>0</v>
      </c>
      <c r="N405">
        <v>0</v>
      </c>
      <c r="O405" s="4">
        <f t="shared" si="39"/>
        <v>0</v>
      </c>
      <c r="P405" s="5" t="str">
        <f t="shared" si="40"/>
        <v>No engagement</v>
      </c>
      <c r="Q405" t="b">
        <v>0</v>
      </c>
      <c r="R405" t="b">
        <v>0</v>
      </c>
      <c r="S405" t="b">
        <v>1</v>
      </c>
      <c r="T405" s="24" t="str">
        <f t="shared" si="41"/>
        <v>Link</v>
      </c>
    </row>
    <row r="406" spans="1:20" hidden="1" x14ac:dyDescent="0.2">
      <c r="A406" t="s">
        <v>1425</v>
      </c>
      <c r="B406" t="s">
        <v>14</v>
      </c>
      <c r="C406" t="s">
        <v>15</v>
      </c>
      <c r="D406" t="s">
        <v>1426</v>
      </c>
      <c r="E406" t="s">
        <v>1427</v>
      </c>
      <c r="F4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6" s="27">
        <f t="shared" si="36"/>
        <v>40107</v>
      </c>
      <c r="H406" s="7" t="str">
        <f t="shared" si="37"/>
        <v>03:48:15</v>
      </c>
      <c r="I406" s="8" t="str">
        <f t="shared" si="38"/>
        <v>Early morning</v>
      </c>
      <c r="L406">
        <v>0</v>
      </c>
      <c r="M406">
        <v>0</v>
      </c>
      <c r="N406">
        <v>0</v>
      </c>
      <c r="O406" s="4">
        <f t="shared" si="39"/>
        <v>0</v>
      </c>
      <c r="P406" s="5" t="str">
        <f t="shared" si="40"/>
        <v>No engagement</v>
      </c>
      <c r="Q406" t="b">
        <v>0</v>
      </c>
      <c r="R406" t="b">
        <v>0</v>
      </c>
      <c r="S406" t="b">
        <v>0</v>
      </c>
      <c r="T406" s="24" t="str">
        <f t="shared" si="41"/>
        <v>Text only</v>
      </c>
    </row>
    <row r="407" spans="1:20" hidden="1" x14ac:dyDescent="0.2">
      <c r="A407" t="s">
        <v>1422</v>
      </c>
      <c r="B407" t="s">
        <v>14</v>
      </c>
      <c r="C407" t="s">
        <v>15</v>
      </c>
      <c r="D407" t="s">
        <v>1423</v>
      </c>
      <c r="E407" t="s">
        <v>1424</v>
      </c>
      <c r="F4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7" s="27">
        <f t="shared" si="36"/>
        <v>40107</v>
      </c>
      <c r="H407" s="7" t="str">
        <f t="shared" si="37"/>
        <v>15:08:28</v>
      </c>
      <c r="I407" s="8" t="str">
        <f t="shared" si="38"/>
        <v>Afternoon</v>
      </c>
      <c r="L407">
        <v>0</v>
      </c>
      <c r="M407">
        <v>0</v>
      </c>
      <c r="N407">
        <v>0</v>
      </c>
      <c r="O407" s="4">
        <f t="shared" si="39"/>
        <v>0</v>
      </c>
      <c r="P407" s="5" t="str">
        <f t="shared" si="40"/>
        <v>No engagement</v>
      </c>
      <c r="Q407" t="b">
        <v>0</v>
      </c>
      <c r="R407" t="b">
        <v>0</v>
      </c>
      <c r="S407" t="b">
        <v>1</v>
      </c>
      <c r="T407" s="24" t="str">
        <f t="shared" si="41"/>
        <v>Link</v>
      </c>
    </row>
    <row r="408" spans="1:20" hidden="1" x14ac:dyDescent="0.2">
      <c r="A408" t="s">
        <v>1419</v>
      </c>
      <c r="B408" t="s">
        <v>14</v>
      </c>
      <c r="C408" t="s">
        <v>15</v>
      </c>
      <c r="D408" t="s">
        <v>1420</v>
      </c>
      <c r="E408" t="s">
        <v>1421</v>
      </c>
      <c r="F4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8" s="27">
        <f t="shared" si="36"/>
        <v>40107</v>
      </c>
      <c r="H408" s="7" t="str">
        <f t="shared" si="37"/>
        <v>15:20:39</v>
      </c>
      <c r="I408" s="8" t="str">
        <f t="shared" si="38"/>
        <v>Afternoon</v>
      </c>
      <c r="J408" t="s">
        <v>60</v>
      </c>
      <c r="L408">
        <v>0</v>
      </c>
      <c r="M408">
        <v>0</v>
      </c>
      <c r="N408">
        <v>0</v>
      </c>
      <c r="O408" s="4">
        <f t="shared" si="39"/>
        <v>0</v>
      </c>
      <c r="P408" s="5" t="str">
        <f t="shared" si="40"/>
        <v>No engagement</v>
      </c>
      <c r="Q408" t="b">
        <v>0</v>
      </c>
      <c r="R408" t="b">
        <v>0</v>
      </c>
      <c r="S408" t="b">
        <v>0</v>
      </c>
      <c r="T408" s="24" t="str">
        <f t="shared" si="41"/>
        <v>Text only</v>
      </c>
    </row>
    <row r="409" spans="1:20" hidden="1" x14ac:dyDescent="0.2">
      <c r="A409" t="s">
        <v>1416</v>
      </c>
      <c r="B409" t="s">
        <v>14</v>
      </c>
      <c r="C409" t="s">
        <v>15</v>
      </c>
      <c r="D409" t="s">
        <v>1417</v>
      </c>
      <c r="E409" t="s">
        <v>1418</v>
      </c>
      <c r="F4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09" s="27">
        <f t="shared" si="36"/>
        <v>40107</v>
      </c>
      <c r="H409" s="7" t="str">
        <f t="shared" si="37"/>
        <v>17:30:48</v>
      </c>
      <c r="I409" s="8" t="str">
        <f t="shared" si="38"/>
        <v>Afternoon</v>
      </c>
      <c r="L409">
        <v>1</v>
      </c>
      <c r="M409">
        <v>0</v>
      </c>
      <c r="N409">
        <v>0</v>
      </c>
      <c r="O409" s="4">
        <f t="shared" si="39"/>
        <v>1</v>
      </c>
      <c r="P409" s="5" t="str">
        <f t="shared" si="40"/>
        <v>Low engagement</v>
      </c>
      <c r="Q409" t="b">
        <v>0</v>
      </c>
      <c r="R409" t="b">
        <v>0</v>
      </c>
      <c r="S409" t="b">
        <v>1</v>
      </c>
      <c r="T409" s="24" t="str">
        <f t="shared" si="41"/>
        <v>Link</v>
      </c>
    </row>
    <row r="410" spans="1:20" hidden="1" x14ac:dyDescent="0.2">
      <c r="A410" t="s">
        <v>1413</v>
      </c>
      <c r="B410" t="s">
        <v>14</v>
      </c>
      <c r="C410" t="s">
        <v>15</v>
      </c>
      <c r="D410" t="s">
        <v>1414</v>
      </c>
      <c r="E410" t="s">
        <v>1415</v>
      </c>
      <c r="F4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0" s="27">
        <f t="shared" si="36"/>
        <v>40107</v>
      </c>
      <c r="H410" s="7" t="str">
        <f t="shared" si="37"/>
        <v>18:42:20</v>
      </c>
      <c r="I410" s="8" t="str">
        <f t="shared" si="38"/>
        <v>Evening</v>
      </c>
      <c r="K410" t="s">
        <v>1304</v>
      </c>
      <c r="L410">
        <v>0</v>
      </c>
      <c r="M410">
        <v>0</v>
      </c>
      <c r="N410">
        <v>0</v>
      </c>
      <c r="O410" s="4">
        <f t="shared" si="39"/>
        <v>0</v>
      </c>
      <c r="P410" s="5" t="str">
        <f t="shared" si="40"/>
        <v>No engagement</v>
      </c>
      <c r="Q410" t="b">
        <v>0</v>
      </c>
      <c r="R410" t="b">
        <v>0</v>
      </c>
      <c r="S410" t="b">
        <v>1</v>
      </c>
      <c r="T410" s="24" t="str">
        <f t="shared" si="41"/>
        <v>Link</v>
      </c>
    </row>
    <row r="411" spans="1:20" hidden="1" x14ac:dyDescent="0.2">
      <c r="A411" t="s">
        <v>1410</v>
      </c>
      <c r="B411" t="s">
        <v>14</v>
      </c>
      <c r="C411" t="s">
        <v>15</v>
      </c>
      <c r="D411" t="s">
        <v>1411</v>
      </c>
      <c r="E411" t="s">
        <v>1412</v>
      </c>
      <c r="F4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1" s="27">
        <f t="shared" si="36"/>
        <v>40107</v>
      </c>
      <c r="H411" s="7" t="str">
        <f t="shared" si="37"/>
        <v>22:46:16</v>
      </c>
      <c r="I411" s="8" t="str">
        <f t="shared" si="38"/>
        <v>Evening</v>
      </c>
      <c r="L411">
        <v>0</v>
      </c>
      <c r="M411">
        <v>0</v>
      </c>
      <c r="N411">
        <v>0</v>
      </c>
      <c r="O411" s="4">
        <f t="shared" si="39"/>
        <v>0</v>
      </c>
      <c r="P411" s="5" t="str">
        <f t="shared" si="40"/>
        <v>No engagement</v>
      </c>
      <c r="Q411" t="b">
        <v>0</v>
      </c>
      <c r="R411" t="b">
        <v>0</v>
      </c>
      <c r="S411" t="b">
        <v>1</v>
      </c>
      <c r="T411" s="24" t="str">
        <f t="shared" si="41"/>
        <v>Link</v>
      </c>
    </row>
    <row r="412" spans="1:20" hidden="1" x14ac:dyDescent="0.2">
      <c r="A412" t="s">
        <v>1407</v>
      </c>
      <c r="B412" t="s">
        <v>14</v>
      </c>
      <c r="C412" t="s">
        <v>15</v>
      </c>
      <c r="D412" t="s">
        <v>1408</v>
      </c>
      <c r="E412" t="s">
        <v>1409</v>
      </c>
      <c r="F4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2" s="27">
        <f t="shared" si="36"/>
        <v>40108</v>
      </c>
      <c r="H412" s="7" t="str">
        <f t="shared" si="37"/>
        <v>15:27:58</v>
      </c>
      <c r="I412" s="8" t="str">
        <f t="shared" si="38"/>
        <v>Afternoon</v>
      </c>
      <c r="L412">
        <v>0</v>
      </c>
      <c r="M412">
        <v>0</v>
      </c>
      <c r="N412">
        <v>0</v>
      </c>
      <c r="O412" s="4">
        <f t="shared" si="39"/>
        <v>0</v>
      </c>
      <c r="P412" s="5" t="str">
        <f t="shared" si="40"/>
        <v>No engagement</v>
      </c>
      <c r="Q412" t="b">
        <v>0</v>
      </c>
      <c r="R412" t="b">
        <v>0</v>
      </c>
      <c r="S412" t="b">
        <v>1</v>
      </c>
      <c r="T412" s="24" t="str">
        <f t="shared" si="41"/>
        <v>Link</v>
      </c>
    </row>
    <row r="413" spans="1:20" hidden="1" x14ac:dyDescent="0.2">
      <c r="A413" t="s">
        <v>1404</v>
      </c>
      <c r="B413" t="s">
        <v>14</v>
      </c>
      <c r="C413" t="s">
        <v>15</v>
      </c>
      <c r="D413" t="s">
        <v>1405</v>
      </c>
      <c r="E413" t="s">
        <v>1406</v>
      </c>
      <c r="F4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3" s="27">
        <f t="shared" si="36"/>
        <v>40108</v>
      </c>
      <c r="H413" s="7" t="str">
        <f t="shared" si="37"/>
        <v>23:44:16</v>
      </c>
      <c r="I413" s="8" t="str">
        <f t="shared" si="38"/>
        <v>Evening</v>
      </c>
      <c r="L413">
        <v>0</v>
      </c>
      <c r="M413">
        <v>0</v>
      </c>
      <c r="N413">
        <v>0</v>
      </c>
      <c r="O413" s="4">
        <f t="shared" si="39"/>
        <v>0</v>
      </c>
      <c r="P413" s="5" t="str">
        <f t="shared" si="40"/>
        <v>No engagement</v>
      </c>
      <c r="Q413" t="b">
        <v>0</v>
      </c>
      <c r="R413" t="b">
        <v>0</v>
      </c>
      <c r="S413" t="b">
        <v>1</v>
      </c>
      <c r="T413" s="24" t="str">
        <f t="shared" si="41"/>
        <v>Link</v>
      </c>
    </row>
    <row r="414" spans="1:20" hidden="1" x14ac:dyDescent="0.2">
      <c r="A414" t="s">
        <v>1401</v>
      </c>
      <c r="B414" t="s">
        <v>14</v>
      </c>
      <c r="C414" t="s">
        <v>15</v>
      </c>
      <c r="D414" t="s">
        <v>1402</v>
      </c>
      <c r="E414" t="s">
        <v>1403</v>
      </c>
      <c r="F4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4" s="27">
        <f t="shared" si="36"/>
        <v>40109</v>
      </c>
      <c r="H414" s="7" t="str">
        <f t="shared" si="37"/>
        <v>16:30:49</v>
      </c>
      <c r="I414" s="8" t="str">
        <f t="shared" si="38"/>
        <v>Afternoon</v>
      </c>
      <c r="L414">
        <v>0</v>
      </c>
      <c r="M414">
        <v>0</v>
      </c>
      <c r="N414">
        <v>0</v>
      </c>
      <c r="O414" s="4">
        <f t="shared" si="39"/>
        <v>0</v>
      </c>
      <c r="P414" s="5" t="str">
        <f t="shared" si="40"/>
        <v>No engagement</v>
      </c>
      <c r="Q414" t="b">
        <v>0</v>
      </c>
      <c r="R414" t="b">
        <v>0</v>
      </c>
      <c r="S414" t="b">
        <v>1</v>
      </c>
      <c r="T414" s="24" t="str">
        <f t="shared" si="41"/>
        <v>Link</v>
      </c>
    </row>
    <row r="415" spans="1:20" hidden="1" x14ac:dyDescent="0.2">
      <c r="A415" t="s">
        <v>1398</v>
      </c>
      <c r="B415" t="s">
        <v>14</v>
      </c>
      <c r="C415" t="s">
        <v>15</v>
      </c>
      <c r="D415" t="s">
        <v>1399</v>
      </c>
      <c r="E415" t="s">
        <v>1400</v>
      </c>
      <c r="F4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5" s="27">
        <f t="shared" si="36"/>
        <v>40109</v>
      </c>
      <c r="H415" s="7" t="str">
        <f t="shared" si="37"/>
        <v>17:20:43</v>
      </c>
      <c r="I415" s="8" t="str">
        <f t="shared" si="38"/>
        <v>Afternoon</v>
      </c>
      <c r="L415">
        <v>0</v>
      </c>
      <c r="M415">
        <v>0</v>
      </c>
      <c r="N415">
        <v>0</v>
      </c>
      <c r="O415" s="4">
        <f t="shared" si="39"/>
        <v>0</v>
      </c>
      <c r="P415" s="5" t="str">
        <f t="shared" si="40"/>
        <v>No engagement</v>
      </c>
      <c r="Q415" t="b">
        <v>0</v>
      </c>
      <c r="R415" t="b">
        <v>0</v>
      </c>
      <c r="S415" t="b">
        <v>1</v>
      </c>
      <c r="T415" s="24" t="str">
        <f t="shared" si="41"/>
        <v>Link</v>
      </c>
    </row>
    <row r="416" spans="1:20" hidden="1" x14ac:dyDescent="0.2">
      <c r="A416" t="s">
        <v>1395</v>
      </c>
      <c r="B416" t="s">
        <v>14</v>
      </c>
      <c r="C416" t="s">
        <v>15</v>
      </c>
      <c r="D416" t="s">
        <v>1396</v>
      </c>
      <c r="E416" t="s">
        <v>1397</v>
      </c>
      <c r="F4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6" s="27">
        <f t="shared" si="36"/>
        <v>40109</v>
      </c>
      <c r="H416" s="7" t="str">
        <f t="shared" si="37"/>
        <v>20:59:23</v>
      </c>
      <c r="I416" s="8" t="str">
        <f t="shared" si="38"/>
        <v>Evening</v>
      </c>
      <c r="L416">
        <v>1</v>
      </c>
      <c r="M416">
        <v>0</v>
      </c>
      <c r="N416">
        <v>0</v>
      </c>
      <c r="O416" s="4">
        <f t="shared" si="39"/>
        <v>1</v>
      </c>
      <c r="P416" s="5" t="str">
        <f t="shared" si="40"/>
        <v>Low engagement</v>
      </c>
      <c r="Q416" t="b">
        <v>0</v>
      </c>
      <c r="R416" t="b">
        <v>0</v>
      </c>
      <c r="S416" t="b">
        <v>1</v>
      </c>
      <c r="T416" s="24" t="str">
        <f t="shared" si="41"/>
        <v>Link</v>
      </c>
    </row>
    <row r="417" spans="1:20" hidden="1" x14ac:dyDescent="0.2">
      <c r="A417" t="s">
        <v>1391</v>
      </c>
      <c r="B417" t="s">
        <v>14</v>
      </c>
      <c r="C417" t="s">
        <v>15</v>
      </c>
      <c r="D417" t="s">
        <v>1392</v>
      </c>
      <c r="E417" t="s">
        <v>1393</v>
      </c>
      <c r="F4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7" s="27">
        <f t="shared" si="36"/>
        <v>40112</v>
      </c>
      <c r="H417" s="7" t="str">
        <f t="shared" si="37"/>
        <v>15:46:05</v>
      </c>
      <c r="I417" s="8" t="str">
        <f t="shared" si="38"/>
        <v>Afternoon</v>
      </c>
      <c r="J417" t="s">
        <v>1394</v>
      </c>
      <c r="L417">
        <v>0</v>
      </c>
      <c r="M417">
        <v>0</v>
      </c>
      <c r="N417">
        <v>0</v>
      </c>
      <c r="O417" s="4">
        <f t="shared" si="39"/>
        <v>0</v>
      </c>
      <c r="P417" s="5" t="str">
        <f t="shared" si="40"/>
        <v>No engagement</v>
      </c>
      <c r="Q417" t="b">
        <v>0</v>
      </c>
      <c r="R417" t="b">
        <v>0</v>
      </c>
      <c r="S417" t="b">
        <v>0</v>
      </c>
      <c r="T417" s="24" t="str">
        <f t="shared" si="41"/>
        <v>Text only</v>
      </c>
    </row>
    <row r="418" spans="1:20" hidden="1" x14ac:dyDescent="0.2">
      <c r="A418" t="s">
        <v>1388</v>
      </c>
      <c r="B418" t="s">
        <v>14</v>
      </c>
      <c r="C418" t="s">
        <v>15</v>
      </c>
      <c r="D418" t="s">
        <v>1389</v>
      </c>
      <c r="E418" t="s">
        <v>1390</v>
      </c>
      <c r="F4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8" s="27">
        <f t="shared" si="36"/>
        <v>40112</v>
      </c>
      <c r="H418" s="7" t="str">
        <f t="shared" si="37"/>
        <v>21:07:56</v>
      </c>
      <c r="I418" s="8" t="str">
        <f t="shared" si="38"/>
        <v>Evening</v>
      </c>
      <c r="L418">
        <v>0</v>
      </c>
      <c r="M418">
        <v>0</v>
      </c>
      <c r="N418">
        <v>0</v>
      </c>
      <c r="O418" s="4">
        <f t="shared" si="39"/>
        <v>0</v>
      </c>
      <c r="P418" s="5" t="str">
        <f t="shared" si="40"/>
        <v>No engagement</v>
      </c>
      <c r="Q418" t="b">
        <v>0</v>
      </c>
      <c r="R418" t="b">
        <v>0</v>
      </c>
      <c r="S418" t="b">
        <v>1</v>
      </c>
      <c r="T418" s="24" t="str">
        <f t="shared" si="41"/>
        <v>Link</v>
      </c>
    </row>
    <row r="419" spans="1:20" hidden="1" x14ac:dyDescent="0.2">
      <c r="A419" t="s">
        <v>1385</v>
      </c>
      <c r="B419" t="s">
        <v>14</v>
      </c>
      <c r="C419" t="s">
        <v>15</v>
      </c>
      <c r="D419" t="s">
        <v>1386</v>
      </c>
      <c r="E419" t="s">
        <v>1387</v>
      </c>
      <c r="F4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19" s="27">
        <f t="shared" si="36"/>
        <v>40113</v>
      </c>
      <c r="H419" s="7" t="str">
        <f t="shared" si="37"/>
        <v>15:30:11</v>
      </c>
      <c r="I419" s="8" t="str">
        <f t="shared" si="38"/>
        <v>Afternoon</v>
      </c>
      <c r="J419" t="s">
        <v>700</v>
      </c>
      <c r="L419">
        <v>0</v>
      </c>
      <c r="M419">
        <v>0</v>
      </c>
      <c r="N419">
        <v>0</v>
      </c>
      <c r="O419" s="4">
        <f t="shared" si="39"/>
        <v>0</v>
      </c>
      <c r="P419" s="5" t="str">
        <f t="shared" si="40"/>
        <v>No engagement</v>
      </c>
      <c r="Q419" t="b">
        <v>0</v>
      </c>
      <c r="R419" t="b">
        <v>0</v>
      </c>
      <c r="S419" t="b">
        <v>0</v>
      </c>
      <c r="T419" s="24" t="str">
        <f t="shared" si="41"/>
        <v>Text only</v>
      </c>
    </row>
    <row r="420" spans="1:20" hidden="1" x14ac:dyDescent="0.2">
      <c r="A420" t="s">
        <v>1382</v>
      </c>
      <c r="B420" t="s">
        <v>14</v>
      </c>
      <c r="C420" t="s">
        <v>15</v>
      </c>
      <c r="D420" t="s">
        <v>1383</v>
      </c>
      <c r="E420" t="s">
        <v>1384</v>
      </c>
      <c r="F4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0" s="27">
        <f t="shared" si="36"/>
        <v>40114</v>
      </c>
      <c r="H420" s="7" t="str">
        <f t="shared" si="37"/>
        <v>16:10:18</v>
      </c>
      <c r="I420" s="8" t="str">
        <f t="shared" si="38"/>
        <v>Afternoon</v>
      </c>
      <c r="L420">
        <v>0</v>
      </c>
      <c r="M420">
        <v>0</v>
      </c>
      <c r="N420">
        <v>0</v>
      </c>
      <c r="O420" s="4">
        <f t="shared" si="39"/>
        <v>0</v>
      </c>
      <c r="P420" s="5" t="str">
        <f t="shared" si="40"/>
        <v>No engagement</v>
      </c>
      <c r="Q420" t="b">
        <v>0</v>
      </c>
      <c r="R420" t="b">
        <v>0</v>
      </c>
      <c r="S420" t="b">
        <v>1</v>
      </c>
      <c r="T420" s="24" t="str">
        <f t="shared" si="41"/>
        <v>Link</v>
      </c>
    </row>
    <row r="421" spans="1:20" hidden="1" x14ac:dyDescent="0.2">
      <c r="A421" t="s">
        <v>1379</v>
      </c>
      <c r="B421" t="s">
        <v>14</v>
      </c>
      <c r="C421" t="s">
        <v>15</v>
      </c>
      <c r="D421" t="s">
        <v>1380</v>
      </c>
      <c r="E421" t="s">
        <v>1381</v>
      </c>
      <c r="F4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1" s="27">
        <f t="shared" si="36"/>
        <v>40114</v>
      </c>
      <c r="H421" s="7" t="str">
        <f t="shared" si="37"/>
        <v>16:12:29</v>
      </c>
      <c r="I421" s="8" t="str">
        <f t="shared" si="38"/>
        <v>Afternoon</v>
      </c>
      <c r="L421">
        <v>0</v>
      </c>
      <c r="M421">
        <v>0</v>
      </c>
      <c r="N421">
        <v>0</v>
      </c>
      <c r="O421" s="4">
        <f t="shared" si="39"/>
        <v>0</v>
      </c>
      <c r="P421" s="5" t="str">
        <f t="shared" si="40"/>
        <v>No engagement</v>
      </c>
      <c r="Q421" t="b">
        <v>0</v>
      </c>
      <c r="R421" t="b">
        <v>0</v>
      </c>
      <c r="S421" t="b">
        <v>1</v>
      </c>
      <c r="T421" s="24" t="str">
        <f t="shared" si="41"/>
        <v>Link</v>
      </c>
    </row>
    <row r="422" spans="1:20" hidden="1" x14ac:dyDescent="0.2">
      <c r="A422" t="s">
        <v>1376</v>
      </c>
      <c r="B422" t="s">
        <v>14</v>
      </c>
      <c r="C422" t="s">
        <v>15</v>
      </c>
      <c r="D422" t="s">
        <v>1377</v>
      </c>
      <c r="E422" t="s">
        <v>1378</v>
      </c>
      <c r="F4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2" s="27">
        <f t="shared" si="36"/>
        <v>40114</v>
      </c>
      <c r="H422" s="7" t="str">
        <f t="shared" si="37"/>
        <v>16:28:23</v>
      </c>
      <c r="I422" s="8" t="str">
        <f t="shared" si="38"/>
        <v>Afternoon</v>
      </c>
      <c r="L422">
        <v>0</v>
      </c>
      <c r="M422">
        <v>0</v>
      </c>
      <c r="N422">
        <v>0</v>
      </c>
      <c r="O422" s="4">
        <f t="shared" si="39"/>
        <v>0</v>
      </c>
      <c r="P422" s="5" t="str">
        <f t="shared" si="40"/>
        <v>No engagement</v>
      </c>
      <c r="Q422" t="b">
        <v>0</v>
      </c>
      <c r="R422" t="b">
        <v>0</v>
      </c>
      <c r="S422" t="b">
        <v>1</v>
      </c>
      <c r="T422" s="24" t="str">
        <f t="shared" si="41"/>
        <v>Link</v>
      </c>
    </row>
    <row r="423" spans="1:20" hidden="1" x14ac:dyDescent="0.2">
      <c r="A423" t="s">
        <v>1373</v>
      </c>
      <c r="B423" t="s">
        <v>14</v>
      </c>
      <c r="C423" t="s">
        <v>15</v>
      </c>
      <c r="D423" t="s">
        <v>1374</v>
      </c>
      <c r="E423" t="s">
        <v>1375</v>
      </c>
      <c r="F4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3" s="27">
        <f t="shared" si="36"/>
        <v>40114</v>
      </c>
      <c r="H423" s="7" t="str">
        <f t="shared" si="37"/>
        <v>16:37:05</v>
      </c>
      <c r="I423" s="8" t="str">
        <f t="shared" si="38"/>
        <v>Afternoon</v>
      </c>
      <c r="L423">
        <v>0</v>
      </c>
      <c r="M423">
        <v>0</v>
      </c>
      <c r="N423">
        <v>0</v>
      </c>
      <c r="O423" s="4">
        <f t="shared" si="39"/>
        <v>0</v>
      </c>
      <c r="P423" s="5" t="str">
        <f t="shared" si="40"/>
        <v>No engagement</v>
      </c>
      <c r="Q423" t="b">
        <v>0</v>
      </c>
      <c r="R423" t="b">
        <v>0</v>
      </c>
      <c r="S423" t="b">
        <v>1</v>
      </c>
      <c r="T423" s="24" t="str">
        <f t="shared" si="41"/>
        <v>Link</v>
      </c>
    </row>
    <row r="424" spans="1:20" hidden="1" x14ac:dyDescent="0.2">
      <c r="A424" t="s">
        <v>1370</v>
      </c>
      <c r="B424" t="s">
        <v>14</v>
      </c>
      <c r="C424" t="s">
        <v>15</v>
      </c>
      <c r="D424" t="s">
        <v>1371</v>
      </c>
      <c r="E424" t="s">
        <v>1372</v>
      </c>
      <c r="F4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4" s="27">
        <f t="shared" si="36"/>
        <v>40114</v>
      </c>
      <c r="H424" s="7" t="str">
        <f t="shared" si="37"/>
        <v>21:56:34</v>
      </c>
      <c r="I424" s="8" t="str">
        <f t="shared" si="38"/>
        <v>Evening</v>
      </c>
      <c r="L424">
        <v>0</v>
      </c>
      <c r="M424">
        <v>0</v>
      </c>
      <c r="N424">
        <v>0</v>
      </c>
      <c r="O424" s="4">
        <f t="shared" si="39"/>
        <v>0</v>
      </c>
      <c r="P424" s="5" t="str">
        <f t="shared" si="40"/>
        <v>No engagement</v>
      </c>
      <c r="Q424" t="b">
        <v>0</v>
      </c>
      <c r="R424" t="b">
        <v>0</v>
      </c>
      <c r="S424" t="b">
        <v>1</v>
      </c>
      <c r="T424" s="24" t="str">
        <f t="shared" si="41"/>
        <v>Link</v>
      </c>
    </row>
    <row r="425" spans="1:20" hidden="1" x14ac:dyDescent="0.2">
      <c r="A425" t="s">
        <v>1367</v>
      </c>
      <c r="B425" t="s">
        <v>14</v>
      </c>
      <c r="C425" t="s">
        <v>15</v>
      </c>
      <c r="D425" t="s">
        <v>1368</v>
      </c>
      <c r="E425" t="s">
        <v>1369</v>
      </c>
      <c r="F4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5" s="27">
        <f t="shared" si="36"/>
        <v>40114</v>
      </c>
      <c r="H425" s="7" t="str">
        <f t="shared" si="37"/>
        <v>22:33:02</v>
      </c>
      <c r="I425" s="8" t="str">
        <f t="shared" si="38"/>
        <v>Evening</v>
      </c>
      <c r="L425">
        <v>0</v>
      </c>
      <c r="M425">
        <v>0</v>
      </c>
      <c r="N425">
        <v>0</v>
      </c>
      <c r="O425" s="4">
        <f t="shared" si="39"/>
        <v>0</v>
      </c>
      <c r="P425" s="5" t="str">
        <f t="shared" si="40"/>
        <v>No engagement</v>
      </c>
      <c r="Q425" t="b">
        <v>0</v>
      </c>
      <c r="R425" t="b">
        <v>0</v>
      </c>
      <c r="S425" t="b">
        <v>1</v>
      </c>
      <c r="T425" s="24" t="str">
        <f t="shared" si="41"/>
        <v>Link</v>
      </c>
    </row>
    <row r="426" spans="1:20" hidden="1" x14ac:dyDescent="0.2">
      <c r="A426" t="s">
        <v>1364</v>
      </c>
      <c r="B426" t="s">
        <v>14</v>
      </c>
      <c r="C426" t="s">
        <v>15</v>
      </c>
      <c r="D426" t="s">
        <v>1365</v>
      </c>
      <c r="E426" t="s">
        <v>1366</v>
      </c>
      <c r="F4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6" s="27">
        <f t="shared" si="36"/>
        <v>40114</v>
      </c>
      <c r="H426" s="7" t="str">
        <f t="shared" si="37"/>
        <v>22:55:49</v>
      </c>
      <c r="I426" s="8" t="str">
        <f t="shared" si="38"/>
        <v>Evening</v>
      </c>
      <c r="L426">
        <v>2</v>
      </c>
      <c r="M426">
        <v>0</v>
      </c>
      <c r="N426">
        <v>0</v>
      </c>
      <c r="O426" s="4">
        <f t="shared" si="39"/>
        <v>2</v>
      </c>
      <c r="P426" s="5" t="str">
        <f t="shared" si="40"/>
        <v>Low engagement</v>
      </c>
      <c r="Q426" t="b">
        <v>0</v>
      </c>
      <c r="R426" t="b">
        <v>0</v>
      </c>
      <c r="S426" t="b">
        <v>1</v>
      </c>
      <c r="T426" s="24" t="str">
        <f t="shared" si="41"/>
        <v>Link</v>
      </c>
    </row>
    <row r="427" spans="1:20" hidden="1" x14ac:dyDescent="0.2">
      <c r="A427" t="s">
        <v>1361</v>
      </c>
      <c r="B427" t="s">
        <v>14</v>
      </c>
      <c r="C427" t="s">
        <v>15</v>
      </c>
      <c r="D427" t="s">
        <v>1362</v>
      </c>
      <c r="E427" t="s">
        <v>1363</v>
      </c>
      <c r="F4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7" s="27">
        <f t="shared" si="36"/>
        <v>40115</v>
      </c>
      <c r="H427" s="7" t="str">
        <f t="shared" si="37"/>
        <v>20:40:45</v>
      </c>
      <c r="I427" s="8" t="str">
        <f t="shared" si="38"/>
        <v>Evening</v>
      </c>
      <c r="L427">
        <v>0</v>
      </c>
      <c r="M427">
        <v>0</v>
      </c>
      <c r="N427">
        <v>0</v>
      </c>
      <c r="O427" s="4">
        <f t="shared" si="39"/>
        <v>0</v>
      </c>
      <c r="P427" s="5" t="str">
        <f t="shared" si="40"/>
        <v>No engagement</v>
      </c>
      <c r="Q427" t="b">
        <v>0</v>
      </c>
      <c r="R427" t="b">
        <v>0</v>
      </c>
      <c r="S427" t="b">
        <v>1</v>
      </c>
      <c r="T427" s="24" t="str">
        <f t="shared" si="41"/>
        <v>Link</v>
      </c>
    </row>
    <row r="428" spans="1:20" hidden="1" x14ac:dyDescent="0.2">
      <c r="A428" t="s">
        <v>1357</v>
      </c>
      <c r="B428" t="s">
        <v>14</v>
      </c>
      <c r="C428" t="s">
        <v>15</v>
      </c>
      <c r="D428" t="s">
        <v>1358</v>
      </c>
      <c r="E428" t="s">
        <v>1359</v>
      </c>
      <c r="F4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8" s="27">
        <f t="shared" si="36"/>
        <v>40115</v>
      </c>
      <c r="H428" s="7" t="str">
        <f t="shared" si="37"/>
        <v>23:05:42</v>
      </c>
      <c r="I428" s="8" t="str">
        <f t="shared" si="38"/>
        <v>Evening</v>
      </c>
      <c r="L428">
        <v>0</v>
      </c>
      <c r="M428">
        <v>0</v>
      </c>
      <c r="N428">
        <v>0</v>
      </c>
      <c r="O428" s="4">
        <f t="shared" si="39"/>
        <v>0</v>
      </c>
      <c r="P428" s="5" t="str">
        <f t="shared" si="40"/>
        <v>No engagement</v>
      </c>
      <c r="Q428" t="b">
        <v>0</v>
      </c>
      <c r="R428" t="b">
        <v>0</v>
      </c>
      <c r="S428" t="b">
        <v>0</v>
      </c>
      <c r="T428" s="24" t="str">
        <f t="shared" si="41"/>
        <v>Text only</v>
      </c>
    </row>
    <row r="429" spans="1:20" hidden="1" x14ac:dyDescent="0.2">
      <c r="A429" t="s">
        <v>1355</v>
      </c>
      <c r="B429" t="s">
        <v>14</v>
      </c>
      <c r="C429" t="s">
        <v>15</v>
      </c>
      <c r="D429" t="s">
        <v>2347</v>
      </c>
      <c r="E429" t="s">
        <v>1356</v>
      </c>
      <c r="F4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29" s="27">
        <f t="shared" si="36"/>
        <v>40116</v>
      </c>
      <c r="H429" s="7" t="str">
        <f t="shared" si="37"/>
        <v>23:22:17</v>
      </c>
      <c r="I429" s="8" t="str">
        <f t="shared" si="38"/>
        <v>Evening</v>
      </c>
      <c r="L429">
        <v>0</v>
      </c>
      <c r="M429">
        <v>0</v>
      </c>
      <c r="N429">
        <v>0</v>
      </c>
      <c r="O429" s="4">
        <f t="shared" si="39"/>
        <v>0</v>
      </c>
      <c r="P429" s="5" t="str">
        <f t="shared" si="40"/>
        <v>No engagement</v>
      </c>
      <c r="Q429" t="b">
        <v>0</v>
      </c>
      <c r="R429" t="b">
        <v>0</v>
      </c>
      <c r="S429" t="b">
        <v>1</v>
      </c>
      <c r="T429" s="24" t="str">
        <f t="shared" si="41"/>
        <v>Link</v>
      </c>
    </row>
    <row r="430" spans="1:20" hidden="1" x14ac:dyDescent="0.2">
      <c r="A430" t="s">
        <v>1353</v>
      </c>
      <c r="B430" t="s">
        <v>14</v>
      </c>
      <c r="C430" t="s">
        <v>15</v>
      </c>
      <c r="D430" t="s">
        <v>2346</v>
      </c>
      <c r="E430" t="s">
        <v>1354</v>
      </c>
      <c r="F4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0" s="27">
        <f t="shared" si="36"/>
        <v>40116</v>
      </c>
      <c r="H430" s="7" t="str">
        <f t="shared" si="37"/>
        <v>23:23:49</v>
      </c>
      <c r="I430" s="8" t="str">
        <f t="shared" si="38"/>
        <v>Evening</v>
      </c>
      <c r="K430" t="s">
        <v>15</v>
      </c>
      <c r="L430">
        <v>0</v>
      </c>
      <c r="M430">
        <v>0</v>
      </c>
      <c r="N430">
        <v>0</v>
      </c>
      <c r="O430" s="4">
        <f t="shared" si="39"/>
        <v>0</v>
      </c>
      <c r="P430" s="5" t="str">
        <f t="shared" si="40"/>
        <v>No engagement</v>
      </c>
      <c r="Q430" t="b">
        <v>0</v>
      </c>
      <c r="R430" t="b">
        <v>0</v>
      </c>
      <c r="S430" t="b">
        <v>1</v>
      </c>
      <c r="T430" s="24" t="str">
        <f t="shared" si="41"/>
        <v>Link</v>
      </c>
    </row>
    <row r="431" spans="1:20" hidden="1" x14ac:dyDescent="0.2">
      <c r="A431" t="s">
        <v>1350</v>
      </c>
      <c r="B431" t="s">
        <v>14</v>
      </c>
      <c r="C431" t="s">
        <v>15</v>
      </c>
      <c r="D431" t="s">
        <v>1351</v>
      </c>
      <c r="E431" t="s">
        <v>1352</v>
      </c>
      <c r="F4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1" s="27">
        <f t="shared" si="36"/>
        <v>40117</v>
      </c>
      <c r="H431" s="7" t="str">
        <f t="shared" si="37"/>
        <v>23:35:27</v>
      </c>
      <c r="I431" s="8" t="str">
        <f t="shared" si="38"/>
        <v>Evening</v>
      </c>
      <c r="L431">
        <v>0</v>
      </c>
      <c r="M431">
        <v>0</v>
      </c>
      <c r="N431">
        <v>0</v>
      </c>
      <c r="O431" s="4">
        <f t="shared" si="39"/>
        <v>0</v>
      </c>
      <c r="P431" s="5" t="str">
        <f t="shared" si="40"/>
        <v>No engagement</v>
      </c>
      <c r="Q431" t="b">
        <v>0</v>
      </c>
      <c r="R431" t="b">
        <v>0</v>
      </c>
      <c r="S431" t="b">
        <v>0</v>
      </c>
      <c r="T431" s="24" t="str">
        <f t="shared" si="41"/>
        <v>Text only</v>
      </c>
    </row>
    <row r="432" spans="1:20" hidden="1" x14ac:dyDescent="0.2">
      <c r="A432" t="s">
        <v>1347</v>
      </c>
      <c r="B432" t="s">
        <v>14</v>
      </c>
      <c r="C432" t="s">
        <v>15</v>
      </c>
      <c r="D432" t="s">
        <v>1348</v>
      </c>
      <c r="E432" t="s">
        <v>1349</v>
      </c>
      <c r="F4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2" s="27">
        <f t="shared" si="36"/>
        <v>40119</v>
      </c>
      <c r="H432" s="7" t="str">
        <f t="shared" si="37"/>
        <v>19:54:19</v>
      </c>
      <c r="I432" s="8" t="str">
        <f t="shared" si="38"/>
        <v>Evening</v>
      </c>
      <c r="L432">
        <v>0</v>
      </c>
      <c r="M432">
        <v>0</v>
      </c>
      <c r="N432">
        <v>0</v>
      </c>
      <c r="O432" s="4">
        <f t="shared" si="39"/>
        <v>0</v>
      </c>
      <c r="P432" s="5" t="str">
        <f t="shared" si="40"/>
        <v>No engagement</v>
      </c>
      <c r="Q432" t="b">
        <v>0</v>
      </c>
      <c r="R432" t="b">
        <v>0</v>
      </c>
      <c r="S432" t="b">
        <v>1</v>
      </c>
      <c r="T432" s="24" t="str">
        <f t="shared" si="41"/>
        <v>Link</v>
      </c>
    </row>
    <row r="433" spans="1:20" hidden="1" x14ac:dyDescent="0.2">
      <c r="A433" t="s">
        <v>1343</v>
      </c>
      <c r="B433" t="s">
        <v>14</v>
      </c>
      <c r="C433" t="s">
        <v>15</v>
      </c>
      <c r="D433" t="s">
        <v>1344</v>
      </c>
      <c r="E433" t="s">
        <v>1345</v>
      </c>
      <c r="F4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3" s="27">
        <f t="shared" si="36"/>
        <v>40120</v>
      </c>
      <c r="H433" s="7" t="str">
        <f t="shared" si="37"/>
        <v>16:15:05</v>
      </c>
      <c r="I433" s="8" t="str">
        <f t="shared" si="38"/>
        <v>Afternoon</v>
      </c>
      <c r="J433" t="s">
        <v>1346</v>
      </c>
      <c r="L433">
        <v>0</v>
      </c>
      <c r="M433">
        <v>0</v>
      </c>
      <c r="N433">
        <v>0</v>
      </c>
      <c r="O433" s="4">
        <f t="shared" si="39"/>
        <v>0</v>
      </c>
      <c r="P433" s="5" t="str">
        <f t="shared" si="40"/>
        <v>No engagement</v>
      </c>
      <c r="Q433" t="b">
        <v>0</v>
      </c>
      <c r="R433" t="b">
        <v>0</v>
      </c>
      <c r="S433" t="b">
        <v>0</v>
      </c>
      <c r="T433" s="24" t="str">
        <f t="shared" si="41"/>
        <v>Text only</v>
      </c>
    </row>
    <row r="434" spans="1:20" hidden="1" x14ac:dyDescent="0.2">
      <c r="A434" t="s">
        <v>1337</v>
      </c>
      <c r="B434" t="s">
        <v>14</v>
      </c>
      <c r="C434" t="s">
        <v>15</v>
      </c>
      <c r="D434" t="s">
        <v>1338</v>
      </c>
      <c r="E434" t="s">
        <v>1339</v>
      </c>
      <c r="F4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4" s="27">
        <f t="shared" si="36"/>
        <v>40120</v>
      </c>
      <c r="H434" s="7" t="str">
        <f t="shared" si="37"/>
        <v>19:07:04</v>
      </c>
      <c r="I434" s="8" t="str">
        <f t="shared" si="38"/>
        <v>Evening</v>
      </c>
      <c r="L434">
        <v>1</v>
      </c>
      <c r="M434">
        <v>0</v>
      </c>
      <c r="N434">
        <v>0</v>
      </c>
      <c r="O434" s="4">
        <f t="shared" si="39"/>
        <v>1</v>
      </c>
      <c r="P434" s="5" t="str">
        <f t="shared" si="40"/>
        <v>Low engagement</v>
      </c>
      <c r="Q434" t="b">
        <v>0</v>
      </c>
      <c r="R434" t="b">
        <v>0</v>
      </c>
      <c r="S434" t="b">
        <v>1</v>
      </c>
      <c r="T434" s="24" t="str">
        <f t="shared" si="41"/>
        <v>Link</v>
      </c>
    </row>
    <row r="435" spans="1:20" hidden="1" x14ac:dyDescent="0.2">
      <c r="A435" t="s">
        <v>1334</v>
      </c>
      <c r="B435" t="s">
        <v>14</v>
      </c>
      <c r="C435" t="s">
        <v>15</v>
      </c>
      <c r="D435" t="s">
        <v>1335</v>
      </c>
      <c r="E435" t="s">
        <v>1336</v>
      </c>
      <c r="F4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5" s="27">
        <f t="shared" si="36"/>
        <v>40120</v>
      </c>
      <c r="H435" s="7" t="str">
        <f t="shared" si="37"/>
        <v>19:14:16</v>
      </c>
      <c r="I435" s="8" t="str">
        <f t="shared" si="38"/>
        <v>Evening</v>
      </c>
      <c r="L435">
        <v>0</v>
      </c>
      <c r="M435">
        <v>0</v>
      </c>
      <c r="N435">
        <v>0</v>
      </c>
      <c r="O435" s="4">
        <f t="shared" si="39"/>
        <v>0</v>
      </c>
      <c r="P435" s="5" t="str">
        <f t="shared" si="40"/>
        <v>No engagement</v>
      </c>
      <c r="Q435" t="b">
        <v>0</v>
      </c>
      <c r="R435" t="b">
        <v>0</v>
      </c>
      <c r="S435" t="b">
        <v>1</v>
      </c>
      <c r="T435" s="24" t="str">
        <f t="shared" si="41"/>
        <v>Link</v>
      </c>
    </row>
    <row r="436" spans="1:20" hidden="1" x14ac:dyDescent="0.2">
      <c r="A436" t="s">
        <v>1331</v>
      </c>
      <c r="B436" t="s">
        <v>14</v>
      </c>
      <c r="C436" t="s">
        <v>15</v>
      </c>
      <c r="D436" t="s">
        <v>1332</v>
      </c>
      <c r="E436" t="s">
        <v>1333</v>
      </c>
      <c r="F4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6" s="27">
        <f t="shared" si="36"/>
        <v>40120</v>
      </c>
      <c r="H436" s="7" t="str">
        <f t="shared" si="37"/>
        <v>19:16:30</v>
      </c>
      <c r="I436" s="8" t="str">
        <f t="shared" si="38"/>
        <v>Evening</v>
      </c>
      <c r="L436">
        <v>0</v>
      </c>
      <c r="M436">
        <v>0</v>
      </c>
      <c r="N436">
        <v>0</v>
      </c>
      <c r="O436" s="4">
        <f t="shared" si="39"/>
        <v>0</v>
      </c>
      <c r="P436" s="5" t="str">
        <f t="shared" si="40"/>
        <v>No engagement</v>
      </c>
      <c r="Q436" t="b">
        <v>0</v>
      </c>
      <c r="R436" t="b">
        <v>0</v>
      </c>
      <c r="S436" t="b">
        <v>1</v>
      </c>
      <c r="T436" s="24" t="str">
        <f t="shared" si="41"/>
        <v>Link</v>
      </c>
    </row>
    <row r="437" spans="1:20" hidden="1" x14ac:dyDescent="0.2">
      <c r="A437" t="s">
        <v>1328</v>
      </c>
      <c r="B437" t="s">
        <v>14</v>
      </c>
      <c r="C437" t="s">
        <v>15</v>
      </c>
      <c r="D437" t="s">
        <v>1329</v>
      </c>
      <c r="E437" t="s">
        <v>1330</v>
      </c>
      <c r="F4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7" s="27">
        <f t="shared" si="36"/>
        <v>40120</v>
      </c>
      <c r="H437" s="7" t="str">
        <f t="shared" si="37"/>
        <v>19:28:41</v>
      </c>
      <c r="I437" s="8" t="str">
        <f t="shared" si="38"/>
        <v>Evening</v>
      </c>
      <c r="L437">
        <v>0</v>
      </c>
      <c r="M437">
        <v>0</v>
      </c>
      <c r="N437">
        <v>0</v>
      </c>
      <c r="O437" s="4">
        <f t="shared" si="39"/>
        <v>0</v>
      </c>
      <c r="P437" s="5" t="str">
        <f t="shared" si="40"/>
        <v>No engagement</v>
      </c>
      <c r="Q437" t="b">
        <v>0</v>
      </c>
      <c r="R437" t="b">
        <v>0</v>
      </c>
      <c r="S437" t="b">
        <v>1</v>
      </c>
      <c r="T437" s="24" t="str">
        <f t="shared" si="41"/>
        <v>Link</v>
      </c>
    </row>
    <row r="438" spans="1:20" hidden="1" x14ac:dyDescent="0.2">
      <c r="A438" t="s">
        <v>1325</v>
      </c>
      <c r="B438" t="s">
        <v>14</v>
      </c>
      <c r="C438" t="s">
        <v>15</v>
      </c>
      <c r="D438" t="s">
        <v>1326</v>
      </c>
      <c r="E438" t="s">
        <v>1327</v>
      </c>
      <c r="F4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8" s="27">
        <f t="shared" si="36"/>
        <v>40120</v>
      </c>
      <c r="H438" s="7" t="str">
        <f t="shared" si="37"/>
        <v>23:33:01</v>
      </c>
      <c r="I438" s="8" t="str">
        <f t="shared" si="38"/>
        <v>Evening</v>
      </c>
      <c r="L438">
        <v>2</v>
      </c>
      <c r="M438">
        <v>0</v>
      </c>
      <c r="N438">
        <v>0</v>
      </c>
      <c r="O438" s="4">
        <f t="shared" si="39"/>
        <v>2</v>
      </c>
      <c r="P438" s="5" t="str">
        <f t="shared" si="40"/>
        <v>Low engagement</v>
      </c>
      <c r="Q438" t="b">
        <v>0</v>
      </c>
      <c r="R438" t="b">
        <v>0</v>
      </c>
      <c r="S438" t="b">
        <v>1</v>
      </c>
      <c r="T438" s="24" t="str">
        <f t="shared" si="41"/>
        <v>Link</v>
      </c>
    </row>
    <row r="439" spans="1:20" hidden="1" x14ac:dyDescent="0.2">
      <c r="A439" t="s">
        <v>1322</v>
      </c>
      <c r="B439" t="s">
        <v>14</v>
      </c>
      <c r="C439" t="s">
        <v>15</v>
      </c>
      <c r="D439" t="s">
        <v>1323</v>
      </c>
      <c r="E439" t="s">
        <v>1324</v>
      </c>
      <c r="F4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39" s="27">
        <f t="shared" si="36"/>
        <v>40121</v>
      </c>
      <c r="H439" s="7" t="str">
        <f t="shared" si="37"/>
        <v>16:46:37</v>
      </c>
      <c r="I439" s="8" t="str">
        <f t="shared" si="38"/>
        <v>Afternoon</v>
      </c>
      <c r="L439">
        <v>1</v>
      </c>
      <c r="M439">
        <v>0</v>
      </c>
      <c r="N439">
        <v>0</v>
      </c>
      <c r="O439" s="4">
        <f t="shared" si="39"/>
        <v>1</v>
      </c>
      <c r="P439" s="5" t="str">
        <f t="shared" si="40"/>
        <v>Low engagement</v>
      </c>
      <c r="Q439" t="b">
        <v>0</v>
      </c>
      <c r="R439" t="b">
        <v>0</v>
      </c>
      <c r="S439" t="b">
        <v>0</v>
      </c>
      <c r="T439" s="24" t="str">
        <f t="shared" si="41"/>
        <v>Text only</v>
      </c>
    </row>
    <row r="440" spans="1:20" hidden="1" x14ac:dyDescent="0.2">
      <c r="A440" t="s">
        <v>1316</v>
      </c>
      <c r="B440" t="s">
        <v>14</v>
      </c>
      <c r="C440" t="s">
        <v>15</v>
      </c>
      <c r="D440" t="s">
        <v>1317</v>
      </c>
      <c r="E440" t="s">
        <v>1318</v>
      </c>
      <c r="F4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0" s="27">
        <f t="shared" si="36"/>
        <v>40123</v>
      </c>
      <c r="H440" s="7" t="str">
        <f t="shared" si="37"/>
        <v>18:38:50</v>
      </c>
      <c r="I440" s="8" t="str">
        <f t="shared" si="38"/>
        <v>Evening</v>
      </c>
      <c r="L440">
        <v>0</v>
      </c>
      <c r="M440">
        <v>0</v>
      </c>
      <c r="N440">
        <v>0</v>
      </c>
      <c r="O440" s="4">
        <f t="shared" si="39"/>
        <v>0</v>
      </c>
      <c r="P440" s="5" t="str">
        <f t="shared" si="40"/>
        <v>No engagement</v>
      </c>
      <c r="Q440" t="b">
        <v>0</v>
      </c>
      <c r="R440" t="b">
        <v>0</v>
      </c>
      <c r="S440" t="b">
        <v>1</v>
      </c>
      <c r="T440" s="24" t="str">
        <f t="shared" si="41"/>
        <v>Link</v>
      </c>
    </row>
    <row r="441" spans="1:20" hidden="1" x14ac:dyDescent="0.2">
      <c r="A441" t="s">
        <v>1313</v>
      </c>
      <c r="B441" t="s">
        <v>14</v>
      </c>
      <c r="C441" t="s">
        <v>15</v>
      </c>
      <c r="D441" t="s">
        <v>1314</v>
      </c>
      <c r="E441" t="s">
        <v>1315</v>
      </c>
      <c r="F4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1" s="27">
        <f t="shared" si="36"/>
        <v>40123</v>
      </c>
      <c r="H441" s="7" t="str">
        <f t="shared" si="37"/>
        <v>21:10:37</v>
      </c>
      <c r="I441" s="8" t="str">
        <f t="shared" si="38"/>
        <v>Evening</v>
      </c>
      <c r="L441">
        <v>1</v>
      </c>
      <c r="M441">
        <v>0</v>
      </c>
      <c r="N441">
        <v>0</v>
      </c>
      <c r="O441" s="4">
        <f t="shared" si="39"/>
        <v>1</v>
      </c>
      <c r="P441" s="5" t="str">
        <f t="shared" si="40"/>
        <v>Low engagement</v>
      </c>
      <c r="Q441" t="b">
        <v>0</v>
      </c>
      <c r="R441" t="b">
        <v>0</v>
      </c>
      <c r="S441" t="b">
        <v>1</v>
      </c>
      <c r="T441" s="24" t="str">
        <f t="shared" si="41"/>
        <v>Link</v>
      </c>
    </row>
    <row r="442" spans="1:20" hidden="1" x14ac:dyDescent="0.2">
      <c r="A442" t="s">
        <v>1306</v>
      </c>
      <c r="B442" t="s">
        <v>14</v>
      </c>
      <c r="C442" t="s">
        <v>15</v>
      </c>
      <c r="D442" t="s">
        <v>1307</v>
      </c>
      <c r="E442" t="s">
        <v>1308</v>
      </c>
      <c r="F4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2" s="27">
        <f t="shared" si="36"/>
        <v>40126</v>
      </c>
      <c r="H442" s="7" t="str">
        <f t="shared" si="37"/>
        <v>19:37:34</v>
      </c>
      <c r="I442" s="8" t="str">
        <f t="shared" si="38"/>
        <v>Evening</v>
      </c>
      <c r="L442">
        <v>0</v>
      </c>
      <c r="M442">
        <v>0</v>
      </c>
      <c r="N442">
        <v>0</v>
      </c>
      <c r="O442" s="4">
        <f t="shared" si="39"/>
        <v>0</v>
      </c>
      <c r="P442" s="5" t="str">
        <f t="shared" si="40"/>
        <v>No engagement</v>
      </c>
      <c r="Q442" t="b">
        <v>0</v>
      </c>
      <c r="R442" t="b">
        <v>0</v>
      </c>
      <c r="S442" t="b">
        <v>1</v>
      </c>
      <c r="T442" s="24" t="str">
        <f t="shared" si="41"/>
        <v>Link</v>
      </c>
    </row>
    <row r="443" spans="1:20" hidden="1" x14ac:dyDescent="0.2">
      <c r="A443" t="s">
        <v>1301</v>
      </c>
      <c r="B443" t="s">
        <v>14</v>
      </c>
      <c r="C443" t="s">
        <v>15</v>
      </c>
      <c r="D443" t="s">
        <v>1302</v>
      </c>
      <c r="E443" t="s">
        <v>1303</v>
      </c>
      <c r="F4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3" s="27">
        <f t="shared" si="36"/>
        <v>40127</v>
      </c>
      <c r="H443" s="7" t="str">
        <f t="shared" si="37"/>
        <v>19:11:30</v>
      </c>
      <c r="I443" s="8" t="str">
        <f t="shared" si="38"/>
        <v>Evening</v>
      </c>
      <c r="L443">
        <v>0</v>
      </c>
      <c r="M443">
        <v>0</v>
      </c>
      <c r="N443">
        <v>0</v>
      </c>
      <c r="O443" s="4">
        <f t="shared" si="39"/>
        <v>0</v>
      </c>
      <c r="P443" s="5" t="str">
        <f t="shared" si="40"/>
        <v>No engagement</v>
      </c>
      <c r="Q443" t="b">
        <v>0</v>
      </c>
      <c r="R443" t="b">
        <v>0</v>
      </c>
      <c r="S443" t="b">
        <v>1</v>
      </c>
      <c r="T443" s="24" t="str">
        <f t="shared" si="41"/>
        <v>Link</v>
      </c>
    </row>
    <row r="444" spans="1:20" hidden="1" x14ac:dyDescent="0.2">
      <c r="A444" t="s">
        <v>1298</v>
      </c>
      <c r="B444" t="s">
        <v>14</v>
      </c>
      <c r="C444" t="s">
        <v>15</v>
      </c>
      <c r="D444" t="s">
        <v>1299</v>
      </c>
      <c r="E444" t="s">
        <v>1300</v>
      </c>
      <c r="F4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4" s="27">
        <f t="shared" si="36"/>
        <v>40127</v>
      </c>
      <c r="H444" s="7" t="str">
        <f t="shared" si="37"/>
        <v>19:16:11</v>
      </c>
      <c r="I444" s="8" t="str">
        <f t="shared" si="38"/>
        <v>Evening</v>
      </c>
      <c r="L444">
        <v>1</v>
      </c>
      <c r="M444">
        <v>0</v>
      </c>
      <c r="N444">
        <v>0</v>
      </c>
      <c r="O444" s="4">
        <f t="shared" si="39"/>
        <v>1</v>
      </c>
      <c r="P444" s="5" t="str">
        <f t="shared" si="40"/>
        <v>Low engagement</v>
      </c>
      <c r="Q444" t="b">
        <v>0</v>
      </c>
      <c r="R444" t="b">
        <v>0</v>
      </c>
      <c r="S444" t="b">
        <v>1</v>
      </c>
      <c r="T444" s="24" t="str">
        <f t="shared" si="41"/>
        <v>Link</v>
      </c>
    </row>
    <row r="445" spans="1:20" hidden="1" x14ac:dyDescent="0.2">
      <c r="A445" t="s">
        <v>1295</v>
      </c>
      <c r="B445" t="s">
        <v>14</v>
      </c>
      <c r="C445" t="s">
        <v>15</v>
      </c>
      <c r="D445" t="s">
        <v>1296</v>
      </c>
      <c r="E445" t="s">
        <v>1297</v>
      </c>
      <c r="F4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5" s="27">
        <f t="shared" si="36"/>
        <v>40128</v>
      </c>
      <c r="H445" s="7" t="str">
        <f t="shared" si="37"/>
        <v>16:11:10</v>
      </c>
      <c r="I445" s="8" t="str">
        <f t="shared" si="38"/>
        <v>Afternoon</v>
      </c>
      <c r="L445">
        <v>0</v>
      </c>
      <c r="M445">
        <v>0</v>
      </c>
      <c r="N445">
        <v>0</v>
      </c>
      <c r="O445" s="4">
        <f t="shared" si="39"/>
        <v>0</v>
      </c>
      <c r="P445" s="5" t="str">
        <f t="shared" si="40"/>
        <v>No engagement</v>
      </c>
      <c r="Q445" t="b">
        <v>0</v>
      </c>
      <c r="R445" t="b">
        <v>0</v>
      </c>
      <c r="S445" t="b">
        <v>1</v>
      </c>
      <c r="T445" s="24" t="str">
        <f t="shared" si="41"/>
        <v>Link</v>
      </c>
    </row>
    <row r="446" spans="1:20" hidden="1" x14ac:dyDescent="0.2">
      <c r="A446" t="s">
        <v>1292</v>
      </c>
      <c r="B446" t="s">
        <v>14</v>
      </c>
      <c r="C446" t="s">
        <v>15</v>
      </c>
      <c r="D446" t="s">
        <v>1293</v>
      </c>
      <c r="E446" t="s">
        <v>1294</v>
      </c>
      <c r="F4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6" s="27">
        <f t="shared" si="36"/>
        <v>40128</v>
      </c>
      <c r="H446" s="7" t="str">
        <f t="shared" si="37"/>
        <v>18:50:20</v>
      </c>
      <c r="I446" s="8" t="str">
        <f t="shared" si="38"/>
        <v>Evening</v>
      </c>
      <c r="J446" t="s">
        <v>671</v>
      </c>
      <c r="L446">
        <v>0</v>
      </c>
      <c r="M446">
        <v>0</v>
      </c>
      <c r="N446">
        <v>0</v>
      </c>
      <c r="O446" s="4">
        <f t="shared" si="39"/>
        <v>0</v>
      </c>
      <c r="P446" s="5" t="str">
        <f t="shared" si="40"/>
        <v>No engagement</v>
      </c>
      <c r="Q446" t="b">
        <v>0</v>
      </c>
      <c r="R446" t="b">
        <v>0</v>
      </c>
      <c r="S446" t="b">
        <v>0</v>
      </c>
      <c r="T446" s="24" t="str">
        <f t="shared" si="41"/>
        <v>Text only</v>
      </c>
    </row>
    <row r="447" spans="1:20" hidden="1" x14ac:dyDescent="0.2">
      <c r="A447" t="s">
        <v>1289</v>
      </c>
      <c r="B447" t="s">
        <v>14</v>
      </c>
      <c r="C447" t="s">
        <v>15</v>
      </c>
      <c r="D447" t="s">
        <v>1290</v>
      </c>
      <c r="E447" t="s">
        <v>1291</v>
      </c>
      <c r="F4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7" s="27">
        <f t="shared" si="36"/>
        <v>40129</v>
      </c>
      <c r="H447" s="7" t="str">
        <f t="shared" si="37"/>
        <v>18:48:18</v>
      </c>
      <c r="I447" s="8" t="str">
        <f t="shared" si="38"/>
        <v>Evening</v>
      </c>
      <c r="L447">
        <v>0</v>
      </c>
      <c r="M447">
        <v>0</v>
      </c>
      <c r="N447">
        <v>0</v>
      </c>
      <c r="O447" s="4">
        <f t="shared" si="39"/>
        <v>0</v>
      </c>
      <c r="P447" s="5" t="str">
        <f t="shared" si="40"/>
        <v>No engagement</v>
      </c>
      <c r="Q447" t="b">
        <v>0</v>
      </c>
      <c r="R447" t="b">
        <v>0</v>
      </c>
      <c r="S447" t="b">
        <v>1</v>
      </c>
      <c r="T447" s="24" t="str">
        <f t="shared" si="41"/>
        <v>Link</v>
      </c>
    </row>
    <row r="448" spans="1:20" hidden="1" x14ac:dyDescent="0.2">
      <c r="A448" t="s">
        <v>1285</v>
      </c>
      <c r="B448" t="s">
        <v>14</v>
      </c>
      <c r="C448" t="s">
        <v>15</v>
      </c>
      <c r="D448" t="s">
        <v>1286</v>
      </c>
      <c r="E448" t="s">
        <v>1287</v>
      </c>
      <c r="F4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8" s="27">
        <f t="shared" si="36"/>
        <v>40129</v>
      </c>
      <c r="H448" s="7" t="str">
        <f t="shared" si="37"/>
        <v>19:35:04</v>
      </c>
      <c r="I448" s="8" t="str">
        <f t="shared" si="38"/>
        <v>Evening</v>
      </c>
      <c r="J448" t="s">
        <v>1288</v>
      </c>
      <c r="L448">
        <v>0</v>
      </c>
      <c r="M448">
        <v>0</v>
      </c>
      <c r="N448">
        <v>0</v>
      </c>
      <c r="O448" s="4">
        <f t="shared" si="39"/>
        <v>0</v>
      </c>
      <c r="P448" s="5" t="str">
        <f t="shared" si="40"/>
        <v>No engagement</v>
      </c>
      <c r="Q448" t="b">
        <v>0</v>
      </c>
      <c r="R448" t="b">
        <v>0</v>
      </c>
      <c r="S448" t="b">
        <v>0</v>
      </c>
      <c r="T448" s="24" t="str">
        <f t="shared" si="41"/>
        <v>Text only</v>
      </c>
    </row>
    <row r="449" spans="1:20" hidden="1" x14ac:dyDescent="0.2">
      <c r="A449" t="s">
        <v>1282</v>
      </c>
      <c r="B449" t="s">
        <v>14</v>
      </c>
      <c r="C449" t="s">
        <v>15</v>
      </c>
      <c r="D449" t="s">
        <v>1283</v>
      </c>
      <c r="E449" t="s">
        <v>1284</v>
      </c>
      <c r="F4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49" s="27">
        <f t="shared" si="36"/>
        <v>40129</v>
      </c>
      <c r="H449" s="7" t="str">
        <f t="shared" si="37"/>
        <v>21:51:23</v>
      </c>
      <c r="I449" s="8" t="str">
        <f t="shared" si="38"/>
        <v>Evening</v>
      </c>
      <c r="L449">
        <v>0</v>
      </c>
      <c r="M449">
        <v>0</v>
      </c>
      <c r="N449">
        <v>0</v>
      </c>
      <c r="O449" s="4">
        <f t="shared" si="39"/>
        <v>0</v>
      </c>
      <c r="P449" s="5" t="str">
        <f t="shared" si="40"/>
        <v>No engagement</v>
      </c>
      <c r="Q449" t="b">
        <v>0</v>
      </c>
      <c r="R449" t="b">
        <v>0</v>
      </c>
      <c r="S449" t="b">
        <v>1</v>
      </c>
      <c r="T449" s="24" t="str">
        <f t="shared" si="41"/>
        <v>Link</v>
      </c>
    </row>
    <row r="450" spans="1:20" hidden="1" x14ac:dyDescent="0.2">
      <c r="A450" t="s">
        <v>1279</v>
      </c>
      <c r="B450" t="s">
        <v>14</v>
      </c>
      <c r="C450" t="s">
        <v>15</v>
      </c>
      <c r="D450" t="s">
        <v>1280</v>
      </c>
      <c r="E450" t="s">
        <v>1281</v>
      </c>
      <c r="F4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0" s="27">
        <f t="shared" ref="G450:G513" si="42">DATEVALUE((LEFT(E450,10)))</f>
        <v>40130</v>
      </c>
      <c r="H450" s="7" t="str">
        <f t="shared" ref="H450:H513" si="43">MID(E450,12,8)</f>
        <v>17:41:25</v>
      </c>
      <c r="I450" s="8" t="str">
        <f t="shared" ref="I450:I513" si="44">IF(HOUR(H450)&lt;7,"Early morning",
IF(HOUR(H450)&lt;11,"Morning",
IF(HOUR(H450)&lt;14,"Mid-day",
IF(HOUR(H450)&lt;18,"Afternoon","Evening"))))</f>
        <v>Afternoon</v>
      </c>
      <c r="L450">
        <v>0</v>
      </c>
      <c r="M450">
        <v>0</v>
      </c>
      <c r="N450">
        <v>0</v>
      </c>
      <c r="O450" s="4">
        <f t="shared" ref="O450:O513" si="45">L450+M450+N450</f>
        <v>0</v>
      </c>
      <c r="P450" s="5" t="str">
        <f t="shared" ref="P450:P513" si="46">IF(O450&lt;1,"No engagement", IF(O450&lt;5,"Low engagement", IF(O450&lt;10,"Moderate engagement", "High engagement")))</f>
        <v>No engagement</v>
      </c>
      <c r="Q450" t="b">
        <v>0</v>
      </c>
      <c r="R450" t="b">
        <v>0</v>
      </c>
      <c r="S450" t="b">
        <v>1</v>
      </c>
      <c r="T450" s="24" t="str">
        <f t="shared" ref="T450:T513" si="47">IF(Q450=TRUE,"Photo",IF(R450=TRUE,"Video",IF(S450=TRUE,"Link",("Text only"))))</f>
        <v>Link</v>
      </c>
    </row>
    <row r="451" spans="1:20" hidden="1" x14ac:dyDescent="0.2">
      <c r="A451" t="s">
        <v>1276</v>
      </c>
      <c r="B451" t="s">
        <v>14</v>
      </c>
      <c r="C451" t="s">
        <v>15</v>
      </c>
      <c r="D451" t="s">
        <v>1277</v>
      </c>
      <c r="E451" t="s">
        <v>1278</v>
      </c>
      <c r="F4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1" s="27">
        <f t="shared" si="42"/>
        <v>40135</v>
      </c>
      <c r="H451" s="7" t="str">
        <f t="shared" si="43"/>
        <v>16:33:44</v>
      </c>
      <c r="I451" s="8" t="str">
        <f t="shared" si="44"/>
        <v>Afternoon</v>
      </c>
      <c r="L451">
        <v>0</v>
      </c>
      <c r="M451">
        <v>0</v>
      </c>
      <c r="N451">
        <v>0</v>
      </c>
      <c r="O451" s="4">
        <f t="shared" si="45"/>
        <v>0</v>
      </c>
      <c r="P451" s="5" t="str">
        <f t="shared" si="46"/>
        <v>No engagement</v>
      </c>
      <c r="Q451" t="b">
        <v>0</v>
      </c>
      <c r="R451" t="b">
        <v>0</v>
      </c>
      <c r="S451" t="b">
        <v>1</v>
      </c>
      <c r="T451" s="24" t="str">
        <f t="shared" si="47"/>
        <v>Link</v>
      </c>
    </row>
    <row r="452" spans="1:20" hidden="1" x14ac:dyDescent="0.2">
      <c r="A452" t="s">
        <v>1273</v>
      </c>
      <c r="B452" t="s">
        <v>14</v>
      </c>
      <c r="C452" t="s">
        <v>15</v>
      </c>
      <c r="D452" t="s">
        <v>1274</v>
      </c>
      <c r="E452" t="s">
        <v>1275</v>
      </c>
      <c r="F4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2" s="27">
        <f t="shared" si="42"/>
        <v>40135</v>
      </c>
      <c r="H452" s="7" t="str">
        <f t="shared" si="43"/>
        <v>18:07:33</v>
      </c>
      <c r="I452" s="8" t="str">
        <f t="shared" si="44"/>
        <v>Evening</v>
      </c>
      <c r="L452">
        <v>0</v>
      </c>
      <c r="M452">
        <v>0</v>
      </c>
      <c r="N452">
        <v>0</v>
      </c>
      <c r="O452" s="4">
        <f t="shared" si="45"/>
        <v>0</v>
      </c>
      <c r="P452" s="5" t="str">
        <f t="shared" si="46"/>
        <v>No engagement</v>
      </c>
      <c r="Q452" t="b">
        <v>0</v>
      </c>
      <c r="R452" t="b">
        <v>0</v>
      </c>
      <c r="S452" t="b">
        <v>1</v>
      </c>
      <c r="T452" s="24" t="str">
        <f t="shared" si="47"/>
        <v>Link</v>
      </c>
    </row>
    <row r="453" spans="1:20" hidden="1" x14ac:dyDescent="0.2">
      <c r="A453" t="s">
        <v>1270</v>
      </c>
      <c r="B453" t="s">
        <v>14</v>
      </c>
      <c r="C453" t="s">
        <v>15</v>
      </c>
      <c r="D453" t="s">
        <v>1271</v>
      </c>
      <c r="E453" t="s">
        <v>1272</v>
      </c>
      <c r="F4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3" s="27">
        <f t="shared" si="42"/>
        <v>40135</v>
      </c>
      <c r="H453" s="7" t="str">
        <f t="shared" si="43"/>
        <v>23:48:37</v>
      </c>
      <c r="I453" s="8" t="str">
        <f t="shared" si="44"/>
        <v>Evening</v>
      </c>
      <c r="L453">
        <v>0</v>
      </c>
      <c r="M453">
        <v>0</v>
      </c>
      <c r="N453">
        <v>0</v>
      </c>
      <c r="O453" s="4">
        <f t="shared" si="45"/>
        <v>0</v>
      </c>
      <c r="P453" s="5" t="str">
        <f t="shared" si="46"/>
        <v>No engagement</v>
      </c>
      <c r="Q453" t="b">
        <v>0</v>
      </c>
      <c r="R453" t="b">
        <v>0</v>
      </c>
      <c r="S453" t="b">
        <v>1</v>
      </c>
      <c r="T453" s="24" t="str">
        <f t="shared" si="47"/>
        <v>Link</v>
      </c>
    </row>
    <row r="454" spans="1:20" hidden="1" x14ac:dyDescent="0.2">
      <c r="A454" t="s">
        <v>1267</v>
      </c>
      <c r="B454" t="s">
        <v>14</v>
      </c>
      <c r="C454" t="s">
        <v>15</v>
      </c>
      <c r="D454" t="s">
        <v>1268</v>
      </c>
      <c r="E454" t="s">
        <v>1269</v>
      </c>
      <c r="F4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4" s="27">
        <f t="shared" si="42"/>
        <v>40136</v>
      </c>
      <c r="H454" s="7" t="str">
        <f t="shared" si="43"/>
        <v>22:43:23</v>
      </c>
      <c r="I454" s="8" t="str">
        <f t="shared" si="44"/>
        <v>Evening</v>
      </c>
      <c r="L454">
        <v>0</v>
      </c>
      <c r="M454">
        <v>0</v>
      </c>
      <c r="N454">
        <v>0</v>
      </c>
      <c r="O454" s="4">
        <f t="shared" si="45"/>
        <v>0</v>
      </c>
      <c r="P454" s="5" t="str">
        <f t="shared" si="46"/>
        <v>No engagement</v>
      </c>
      <c r="Q454" t="b">
        <v>0</v>
      </c>
      <c r="R454" t="b">
        <v>0</v>
      </c>
      <c r="S454" t="b">
        <v>1</v>
      </c>
      <c r="T454" s="24" t="str">
        <f t="shared" si="47"/>
        <v>Link</v>
      </c>
    </row>
    <row r="455" spans="1:20" hidden="1" x14ac:dyDescent="0.2">
      <c r="A455" t="s">
        <v>1264</v>
      </c>
      <c r="B455" t="s">
        <v>14</v>
      </c>
      <c r="C455" t="s">
        <v>15</v>
      </c>
      <c r="D455" t="s">
        <v>1265</v>
      </c>
      <c r="E455" t="s">
        <v>1266</v>
      </c>
      <c r="F4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5" s="27">
        <f t="shared" si="42"/>
        <v>40137</v>
      </c>
      <c r="H455" s="7" t="str">
        <f t="shared" si="43"/>
        <v>00:21:10</v>
      </c>
      <c r="I455" s="8" t="str">
        <f t="shared" si="44"/>
        <v>Early morning</v>
      </c>
      <c r="L455">
        <v>0</v>
      </c>
      <c r="M455">
        <v>0</v>
      </c>
      <c r="N455">
        <v>0</v>
      </c>
      <c r="O455" s="4">
        <f t="shared" si="45"/>
        <v>0</v>
      </c>
      <c r="P455" s="5" t="str">
        <f t="shared" si="46"/>
        <v>No engagement</v>
      </c>
      <c r="Q455" t="b">
        <v>0</v>
      </c>
      <c r="R455" t="b">
        <v>0</v>
      </c>
      <c r="S455" t="b">
        <v>0</v>
      </c>
      <c r="T455" s="24" t="str">
        <f t="shared" si="47"/>
        <v>Text only</v>
      </c>
    </row>
    <row r="456" spans="1:20" hidden="1" x14ac:dyDescent="0.2">
      <c r="A456" t="s">
        <v>1261</v>
      </c>
      <c r="B456" t="s">
        <v>14</v>
      </c>
      <c r="C456" t="s">
        <v>15</v>
      </c>
      <c r="D456" t="s">
        <v>1262</v>
      </c>
      <c r="E456" t="s">
        <v>1263</v>
      </c>
      <c r="F4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6" s="27">
        <f t="shared" si="42"/>
        <v>40137</v>
      </c>
      <c r="H456" s="7" t="str">
        <f t="shared" si="43"/>
        <v>00:45:08</v>
      </c>
      <c r="I456" s="8" t="str">
        <f t="shared" si="44"/>
        <v>Early morning</v>
      </c>
      <c r="L456">
        <v>0</v>
      </c>
      <c r="M456">
        <v>0</v>
      </c>
      <c r="N456">
        <v>0</v>
      </c>
      <c r="O456" s="4">
        <f t="shared" si="45"/>
        <v>0</v>
      </c>
      <c r="P456" s="5" t="str">
        <f t="shared" si="46"/>
        <v>No engagement</v>
      </c>
      <c r="Q456" t="b">
        <v>0</v>
      </c>
      <c r="R456" t="b">
        <v>0</v>
      </c>
      <c r="S456" t="b">
        <v>0</v>
      </c>
      <c r="T456" s="24" t="str">
        <f t="shared" si="47"/>
        <v>Text only</v>
      </c>
    </row>
    <row r="457" spans="1:20" hidden="1" x14ac:dyDescent="0.2">
      <c r="A457" t="s">
        <v>1258</v>
      </c>
      <c r="B457" t="s">
        <v>14</v>
      </c>
      <c r="C457" t="s">
        <v>15</v>
      </c>
      <c r="D457" t="s">
        <v>1259</v>
      </c>
      <c r="E457" t="s">
        <v>1260</v>
      </c>
      <c r="F4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7" s="27">
        <f t="shared" si="42"/>
        <v>40137</v>
      </c>
      <c r="H457" s="7" t="str">
        <f t="shared" si="43"/>
        <v>02:05:56</v>
      </c>
      <c r="I457" s="8" t="str">
        <f t="shared" si="44"/>
        <v>Early morning</v>
      </c>
      <c r="L457">
        <v>0</v>
      </c>
      <c r="M457">
        <v>0</v>
      </c>
      <c r="N457">
        <v>0</v>
      </c>
      <c r="O457" s="4">
        <f t="shared" si="45"/>
        <v>0</v>
      </c>
      <c r="P457" s="5" t="str">
        <f t="shared" si="46"/>
        <v>No engagement</v>
      </c>
      <c r="Q457" t="b">
        <v>0</v>
      </c>
      <c r="R457" t="b">
        <v>0</v>
      </c>
      <c r="S457" t="b">
        <v>0</v>
      </c>
      <c r="T457" s="24" t="str">
        <f t="shared" si="47"/>
        <v>Text only</v>
      </c>
    </row>
    <row r="458" spans="1:20" hidden="1" x14ac:dyDescent="0.2">
      <c r="A458" t="s">
        <v>1255</v>
      </c>
      <c r="B458" t="s">
        <v>14</v>
      </c>
      <c r="C458" t="s">
        <v>15</v>
      </c>
      <c r="D458" t="s">
        <v>1256</v>
      </c>
      <c r="E458" t="s">
        <v>1257</v>
      </c>
      <c r="F4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8" s="27">
        <f t="shared" si="42"/>
        <v>40137</v>
      </c>
      <c r="H458" s="7" t="str">
        <f t="shared" si="43"/>
        <v>02:25:28</v>
      </c>
      <c r="I458" s="8" t="str">
        <f t="shared" si="44"/>
        <v>Early morning</v>
      </c>
      <c r="L458">
        <v>0</v>
      </c>
      <c r="M458">
        <v>0</v>
      </c>
      <c r="N458">
        <v>0</v>
      </c>
      <c r="O458" s="4">
        <f t="shared" si="45"/>
        <v>0</v>
      </c>
      <c r="P458" s="5" t="str">
        <f t="shared" si="46"/>
        <v>No engagement</v>
      </c>
      <c r="Q458" t="b">
        <v>0</v>
      </c>
      <c r="R458" t="b">
        <v>0</v>
      </c>
      <c r="S458" t="b">
        <v>0</v>
      </c>
      <c r="T458" s="24" t="str">
        <f t="shared" si="47"/>
        <v>Text only</v>
      </c>
    </row>
    <row r="459" spans="1:20" hidden="1" x14ac:dyDescent="0.2">
      <c r="A459" t="s">
        <v>1243</v>
      </c>
      <c r="B459" t="s">
        <v>14</v>
      </c>
      <c r="C459" t="s">
        <v>15</v>
      </c>
      <c r="D459" t="s">
        <v>1244</v>
      </c>
      <c r="E459" t="s">
        <v>1245</v>
      </c>
      <c r="F4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59" s="27">
        <f t="shared" si="42"/>
        <v>40137</v>
      </c>
      <c r="H459" s="7" t="str">
        <f t="shared" si="43"/>
        <v>16:44:28</v>
      </c>
      <c r="I459" s="8" t="str">
        <f t="shared" si="44"/>
        <v>Afternoon</v>
      </c>
      <c r="L459">
        <v>0</v>
      </c>
      <c r="M459">
        <v>0</v>
      </c>
      <c r="N459">
        <v>0</v>
      </c>
      <c r="O459" s="4">
        <f t="shared" si="45"/>
        <v>0</v>
      </c>
      <c r="P459" s="5" t="str">
        <f t="shared" si="46"/>
        <v>No engagement</v>
      </c>
      <c r="Q459" t="b">
        <v>0</v>
      </c>
      <c r="R459" t="b">
        <v>0</v>
      </c>
      <c r="S459" t="b">
        <v>0</v>
      </c>
      <c r="T459" s="24" t="str">
        <f t="shared" si="47"/>
        <v>Text only</v>
      </c>
    </row>
    <row r="460" spans="1:20" hidden="1" x14ac:dyDescent="0.2">
      <c r="A460" t="s">
        <v>1240</v>
      </c>
      <c r="B460" t="s">
        <v>14</v>
      </c>
      <c r="C460" t="s">
        <v>15</v>
      </c>
      <c r="D460" t="s">
        <v>1241</v>
      </c>
      <c r="E460" t="s">
        <v>1242</v>
      </c>
      <c r="F4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0" s="27">
        <f t="shared" si="42"/>
        <v>40137</v>
      </c>
      <c r="H460" s="7" t="str">
        <f t="shared" si="43"/>
        <v>17:08:49</v>
      </c>
      <c r="I460" s="8" t="str">
        <f t="shared" si="44"/>
        <v>Afternoon</v>
      </c>
      <c r="L460">
        <v>0</v>
      </c>
      <c r="M460">
        <v>0</v>
      </c>
      <c r="N460">
        <v>0</v>
      </c>
      <c r="O460" s="4">
        <f t="shared" si="45"/>
        <v>0</v>
      </c>
      <c r="P460" s="5" t="str">
        <f t="shared" si="46"/>
        <v>No engagement</v>
      </c>
      <c r="Q460" t="b">
        <v>0</v>
      </c>
      <c r="R460" t="b">
        <v>0</v>
      </c>
      <c r="S460" t="b">
        <v>1</v>
      </c>
      <c r="T460" s="24" t="str">
        <f t="shared" si="47"/>
        <v>Link</v>
      </c>
    </row>
    <row r="461" spans="1:20" hidden="1" x14ac:dyDescent="0.2">
      <c r="A461" t="s">
        <v>1237</v>
      </c>
      <c r="B461" t="s">
        <v>14</v>
      </c>
      <c r="C461" t="s">
        <v>15</v>
      </c>
      <c r="D461" t="s">
        <v>1238</v>
      </c>
      <c r="E461" t="s">
        <v>1239</v>
      </c>
      <c r="F4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1" s="27">
        <f t="shared" si="42"/>
        <v>40137</v>
      </c>
      <c r="H461" s="7" t="str">
        <f t="shared" si="43"/>
        <v>20:01:41</v>
      </c>
      <c r="I461" s="8" t="str">
        <f t="shared" si="44"/>
        <v>Evening</v>
      </c>
      <c r="L461">
        <v>0</v>
      </c>
      <c r="M461">
        <v>0</v>
      </c>
      <c r="N461">
        <v>0</v>
      </c>
      <c r="O461" s="4">
        <f t="shared" si="45"/>
        <v>0</v>
      </c>
      <c r="P461" s="5" t="str">
        <f t="shared" si="46"/>
        <v>No engagement</v>
      </c>
      <c r="Q461" t="b">
        <v>0</v>
      </c>
      <c r="R461" t="b">
        <v>0</v>
      </c>
      <c r="S461" t="b">
        <v>0</v>
      </c>
      <c r="T461" s="24" t="str">
        <f t="shared" si="47"/>
        <v>Text only</v>
      </c>
    </row>
    <row r="462" spans="1:20" hidden="1" x14ac:dyDescent="0.2">
      <c r="A462" t="s">
        <v>1234</v>
      </c>
      <c r="B462" t="s">
        <v>14</v>
      </c>
      <c r="C462" t="s">
        <v>15</v>
      </c>
      <c r="D462" t="s">
        <v>1235</v>
      </c>
      <c r="E462" t="s">
        <v>1236</v>
      </c>
      <c r="F4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2" s="27">
        <f t="shared" si="42"/>
        <v>40137</v>
      </c>
      <c r="H462" s="7" t="str">
        <f t="shared" si="43"/>
        <v>21:21:08</v>
      </c>
      <c r="I462" s="8" t="str">
        <f t="shared" si="44"/>
        <v>Evening</v>
      </c>
      <c r="L462">
        <v>0</v>
      </c>
      <c r="M462">
        <v>0</v>
      </c>
      <c r="N462">
        <v>0</v>
      </c>
      <c r="O462" s="4">
        <f t="shared" si="45"/>
        <v>0</v>
      </c>
      <c r="P462" s="5" t="str">
        <f t="shared" si="46"/>
        <v>No engagement</v>
      </c>
      <c r="Q462" t="b">
        <v>0</v>
      </c>
      <c r="R462" t="b">
        <v>0</v>
      </c>
      <c r="S462" t="b">
        <v>1</v>
      </c>
      <c r="T462" s="24" t="str">
        <f t="shared" si="47"/>
        <v>Link</v>
      </c>
    </row>
    <row r="463" spans="1:20" hidden="1" x14ac:dyDescent="0.2">
      <c r="A463" t="s">
        <v>1231</v>
      </c>
      <c r="B463" t="s">
        <v>14</v>
      </c>
      <c r="C463" t="s">
        <v>15</v>
      </c>
      <c r="D463" t="s">
        <v>1232</v>
      </c>
      <c r="E463" t="s">
        <v>1233</v>
      </c>
      <c r="F4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3" s="27">
        <f t="shared" si="42"/>
        <v>40137</v>
      </c>
      <c r="H463" s="7" t="str">
        <f t="shared" si="43"/>
        <v>23:35:39</v>
      </c>
      <c r="I463" s="8" t="str">
        <f t="shared" si="44"/>
        <v>Evening</v>
      </c>
      <c r="L463">
        <v>0</v>
      </c>
      <c r="M463">
        <v>0</v>
      </c>
      <c r="N463">
        <v>0</v>
      </c>
      <c r="O463" s="4">
        <f t="shared" si="45"/>
        <v>0</v>
      </c>
      <c r="P463" s="5" t="str">
        <f t="shared" si="46"/>
        <v>No engagement</v>
      </c>
      <c r="Q463" t="b">
        <v>0</v>
      </c>
      <c r="R463" t="b">
        <v>0</v>
      </c>
      <c r="S463" t="b">
        <v>0</v>
      </c>
      <c r="T463" s="24" t="str">
        <f t="shared" si="47"/>
        <v>Text only</v>
      </c>
    </row>
    <row r="464" spans="1:20" hidden="1" x14ac:dyDescent="0.2">
      <c r="A464" t="s">
        <v>1225</v>
      </c>
      <c r="B464" t="s">
        <v>14</v>
      </c>
      <c r="C464" t="s">
        <v>15</v>
      </c>
      <c r="D464" t="s">
        <v>1226</v>
      </c>
      <c r="E464" t="s">
        <v>1227</v>
      </c>
      <c r="F4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4" s="27">
        <f t="shared" si="42"/>
        <v>40138</v>
      </c>
      <c r="H464" s="7" t="str">
        <f t="shared" si="43"/>
        <v>05:23:33</v>
      </c>
      <c r="I464" s="8" t="str">
        <f t="shared" si="44"/>
        <v>Early morning</v>
      </c>
      <c r="L464">
        <v>0</v>
      </c>
      <c r="M464">
        <v>0</v>
      </c>
      <c r="N464">
        <v>0</v>
      </c>
      <c r="O464" s="4">
        <f t="shared" si="45"/>
        <v>0</v>
      </c>
      <c r="P464" s="5" t="str">
        <f t="shared" si="46"/>
        <v>No engagement</v>
      </c>
      <c r="Q464" t="b">
        <v>0</v>
      </c>
      <c r="R464" t="b">
        <v>0</v>
      </c>
      <c r="S464" t="b">
        <v>0</v>
      </c>
      <c r="T464" s="24" t="str">
        <f t="shared" si="47"/>
        <v>Text only</v>
      </c>
    </row>
    <row r="465" spans="1:20" hidden="1" x14ac:dyDescent="0.2">
      <c r="A465" t="s">
        <v>1222</v>
      </c>
      <c r="B465" t="s">
        <v>14</v>
      </c>
      <c r="C465" t="s">
        <v>15</v>
      </c>
      <c r="D465" t="s">
        <v>1223</v>
      </c>
      <c r="E465" t="s">
        <v>1224</v>
      </c>
      <c r="F4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5" s="27">
        <f t="shared" si="42"/>
        <v>40138</v>
      </c>
      <c r="H465" s="7" t="str">
        <f t="shared" si="43"/>
        <v>07:10:58</v>
      </c>
      <c r="I465" s="8" t="str">
        <f t="shared" si="44"/>
        <v>Morning</v>
      </c>
      <c r="L465">
        <v>0</v>
      </c>
      <c r="M465">
        <v>0</v>
      </c>
      <c r="N465">
        <v>0</v>
      </c>
      <c r="O465" s="4">
        <f t="shared" si="45"/>
        <v>0</v>
      </c>
      <c r="P465" s="5" t="str">
        <f t="shared" si="46"/>
        <v>No engagement</v>
      </c>
      <c r="Q465" t="b">
        <v>0</v>
      </c>
      <c r="R465" t="b">
        <v>0</v>
      </c>
      <c r="S465" t="b">
        <v>1</v>
      </c>
      <c r="T465" s="24" t="str">
        <f t="shared" si="47"/>
        <v>Link</v>
      </c>
    </row>
    <row r="466" spans="1:20" hidden="1" x14ac:dyDescent="0.2">
      <c r="A466" t="s">
        <v>1219</v>
      </c>
      <c r="B466" t="s">
        <v>14</v>
      </c>
      <c r="C466" t="s">
        <v>15</v>
      </c>
      <c r="D466" t="s">
        <v>1220</v>
      </c>
      <c r="E466" t="s">
        <v>1221</v>
      </c>
      <c r="F4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6" s="27">
        <f t="shared" si="42"/>
        <v>40138</v>
      </c>
      <c r="H466" s="7" t="str">
        <f t="shared" si="43"/>
        <v>08:13:22</v>
      </c>
      <c r="I466" s="8" t="str">
        <f t="shared" si="44"/>
        <v>Morning</v>
      </c>
      <c r="L466">
        <v>0</v>
      </c>
      <c r="M466">
        <v>0</v>
      </c>
      <c r="N466">
        <v>0</v>
      </c>
      <c r="O466" s="4">
        <f t="shared" si="45"/>
        <v>0</v>
      </c>
      <c r="P466" s="5" t="str">
        <f t="shared" si="46"/>
        <v>No engagement</v>
      </c>
      <c r="Q466" t="b">
        <v>0</v>
      </c>
      <c r="R466" t="b">
        <v>0</v>
      </c>
      <c r="S466" t="b">
        <v>0</v>
      </c>
      <c r="T466" s="24" t="str">
        <f t="shared" si="47"/>
        <v>Text only</v>
      </c>
    </row>
    <row r="467" spans="1:20" hidden="1" x14ac:dyDescent="0.2">
      <c r="A467" t="s">
        <v>1216</v>
      </c>
      <c r="B467" t="s">
        <v>14</v>
      </c>
      <c r="C467" t="s">
        <v>15</v>
      </c>
      <c r="D467" t="s">
        <v>1217</v>
      </c>
      <c r="E467" t="s">
        <v>1218</v>
      </c>
      <c r="F4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7" s="27">
        <f t="shared" si="42"/>
        <v>40138</v>
      </c>
      <c r="H467" s="7" t="str">
        <f t="shared" si="43"/>
        <v>09:02:31</v>
      </c>
      <c r="I467" s="8" t="str">
        <f t="shared" si="44"/>
        <v>Morning</v>
      </c>
      <c r="L467">
        <v>0</v>
      </c>
      <c r="M467">
        <v>0</v>
      </c>
      <c r="N467">
        <v>0</v>
      </c>
      <c r="O467" s="4">
        <f t="shared" si="45"/>
        <v>0</v>
      </c>
      <c r="P467" s="5" t="str">
        <f t="shared" si="46"/>
        <v>No engagement</v>
      </c>
      <c r="Q467" t="b">
        <v>0</v>
      </c>
      <c r="R467" t="b">
        <v>0</v>
      </c>
      <c r="S467" t="b">
        <v>0</v>
      </c>
      <c r="T467" s="24" t="str">
        <f t="shared" si="47"/>
        <v>Text only</v>
      </c>
    </row>
    <row r="468" spans="1:20" hidden="1" x14ac:dyDescent="0.2">
      <c r="A468" t="s">
        <v>1213</v>
      </c>
      <c r="B468" t="s">
        <v>14</v>
      </c>
      <c r="C468" t="s">
        <v>15</v>
      </c>
      <c r="D468" t="s">
        <v>1214</v>
      </c>
      <c r="E468" t="s">
        <v>1215</v>
      </c>
      <c r="F4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8" s="27">
        <f t="shared" si="42"/>
        <v>40138</v>
      </c>
      <c r="H468" s="7" t="str">
        <f t="shared" si="43"/>
        <v>10:16:27</v>
      </c>
      <c r="I468" s="8" t="str">
        <f t="shared" si="44"/>
        <v>Morning</v>
      </c>
      <c r="L468">
        <v>0</v>
      </c>
      <c r="M468">
        <v>0</v>
      </c>
      <c r="N468">
        <v>0</v>
      </c>
      <c r="O468" s="4">
        <f t="shared" si="45"/>
        <v>0</v>
      </c>
      <c r="P468" s="5" t="str">
        <f t="shared" si="46"/>
        <v>No engagement</v>
      </c>
      <c r="Q468" t="b">
        <v>0</v>
      </c>
      <c r="R468" t="b">
        <v>0</v>
      </c>
      <c r="S468" t="b">
        <v>0</v>
      </c>
      <c r="T468" s="24" t="str">
        <f t="shared" si="47"/>
        <v>Text only</v>
      </c>
    </row>
    <row r="469" spans="1:20" hidden="1" x14ac:dyDescent="0.2">
      <c r="A469" t="s">
        <v>1207</v>
      </c>
      <c r="B469" t="s">
        <v>14</v>
      </c>
      <c r="C469" t="s">
        <v>15</v>
      </c>
      <c r="D469" t="s">
        <v>1208</v>
      </c>
      <c r="E469" t="s">
        <v>1209</v>
      </c>
      <c r="F4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69" s="27">
        <f t="shared" si="42"/>
        <v>40138</v>
      </c>
      <c r="H469" s="7" t="str">
        <f t="shared" si="43"/>
        <v>12:41:20</v>
      </c>
      <c r="I469" s="8" t="str">
        <f t="shared" si="44"/>
        <v>Mid-day</v>
      </c>
      <c r="L469">
        <v>0</v>
      </c>
      <c r="M469">
        <v>0</v>
      </c>
      <c r="N469">
        <v>0</v>
      </c>
      <c r="O469" s="4">
        <f t="shared" si="45"/>
        <v>0</v>
      </c>
      <c r="P469" s="5" t="str">
        <f t="shared" si="46"/>
        <v>No engagement</v>
      </c>
      <c r="Q469" t="b">
        <v>0</v>
      </c>
      <c r="R469" t="b">
        <v>0</v>
      </c>
      <c r="S469" t="b">
        <v>0</v>
      </c>
      <c r="T469" s="24" t="str">
        <f t="shared" si="47"/>
        <v>Text only</v>
      </c>
    </row>
    <row r="470" spans="1:20" hidden="1" x14ac:dyDescent="0.2">
      <c r="A470" t="s">
        <v>1204</v>
      </c>
      <c r="B470" t="s">
        <v>14</v>
      </c>
      <c r="C470" t="s">
        <v>15</v>
      </c>
      <c r="D470" t="s">
        <v>1205</v>
      </c>
      <c r="E470" t="s">
        <v>1206</v>
      </c>
      <c r="F4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0" s="27">
        <f t="shared" si="42"/>
        <v>40138</v>
      </c>
      <c r="H470" s="7" t="str">
        <f t="shared" si="43"/>
        <v>14:01:25</v>
      </c>
      <c r="I470" s="8" t="str">
        <f t="shared" si="44"/>
        <v>Afternoon</v>
      </c>
      <c r="L470">
        <v>0</v>
      </c>
      <c r="M470">
        <v>0</v>
      </c>
      <c r="N470">
        <v>0</v>
      </c>
      <c r="O470" s="4">
        <f t="shared" si="45"/>
        <v>0</v>
      </c>
      <c r="P470" s="5" t="str">
        <f t="shared" si="46"/>
        <v>No engagement</v>
      </c>
      <c r="Q470" t="b">
        <v>0</v>
      </c>
      <c r="R470" t="b">
        <v>0</v>
      </c>
      <c r="S470" t="b">
        <v>1</v>
      </c>
      <c r="T470" s="24" t="str">
        <f t="shared" si="47"/>
        <v>Link</v>
      </c>
    </row>
    <row r="471" spans="1:20" hidden="1" x14ac:dyDescent="0.2">
      <c r="A471" t="s">
        <v>1201</v>
      </c>
      <c r="B471" t="s">
        <v>14</v>
      </c>
      <c r="C471" t="s">
        <v>15</v>
      </c>
      <c r="D471" t="s">
        <v>1202</v>
      </c>
      <c r="E471" t="s">
        <v>1203</v>
      </c>
      <c r="F4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1" s="27">
        <f t="shared" si="42"/>
        <v>40138</v>
      </c>
      <c r="H471" s="7" t="str">
        <f t="shared" si="43"/>
        <v>14:19:45</v>
      </c>
      <c r="I471" s="8" t="str">
        <f t="shared" si="44"/>
        <v>Afternoon</v>
      </c>
      <c r="L471">
        <v>0</v>
      </c>
      <c r="M471">
        <v>0</v>
      </c>
      <c r="N471">
        <v>0</v>
      </c>
      <c r="O471" s="4">
        <f t="shared" si="45"/>
        <v>0</v>
      </c>
      <c r="P471" s="5" t="str">
        <f t="shared" si="46"/>
        <v>No engagement</v>
      </c>
      <c r="Q471" t="b">
        <v>0</v>
      </c>
      <c r="R471" t="b">
        <v>0</v>
      </c>
      <c r="S471" t="b">
        <v>0</v>
      </c>
      <c r="T471" s="24" t="str">
        <f t="shared" si="47"/>
        <v>Text only</v>
      </c>
    </row>
    <row r="472" spans="1:20" hidden="1" x14ac:dyDescent="0.2">
      <c r="A472" t="s">
        <v>1195</v>
      </c>
      <c r="B472" t="s">
        <v>14</v>
      </c>
      <c r="C472" t="s">
        <v>15</v>
      </c>
      <c r="D472" t="s">
        <v>1196</v>
      </c>
      <c r="E472" t="s">
        <v>1197</v>
      </c>
      <c r="F4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2" s="27">
        <f t="shared" si="42"/>
        <v>40138</v>
      </c>
      <c r="H472" s="7" t="str">
        <f t="shared" si="43"/>
        <v>20:06:31</v>
      </c>
      <c r="I472" s="8" t="str">
        <f t="shared" si="44"/>
        <v>Evening</v>
      </c>
      <c r="L472">
        <v>0</v>
      </c>
      <c r="M472">
        <v>0</v>
      </c>
      <c r="N472">
        <v>0</v>
      </c>
      <c r="O472" s="4">
        <f t="shared" si="45"/>
        <v>0</v>
      </c>
      <c r="P472" s="5" t="str">
        <f t="shared" si="46"/>
        <v>No engagement</v>
      </c>
      <c r="Q472" t="b">
        <v>0</v>
      </c>
      <c r="R472" t="b">
        <v>0</v>
      </c>
      <c r="S472" t="b">
        <v>0</v>
      </c>
      <c r="T472" s="24" t="str">
        <f t="shared" si="47"/>
        <v>Text only</v>
      </c>
    </row>
    <row r="473" spans="1:20" hidden="1" x14ac:dyDescent="0.2">
      <c r="A473" t="s">
        <v>1189</v>
      </c>
      <c r="B473" t="s">
        <v>14</v>
      </c>
      <c r="C473" t="s">
        <v>15</v>
      </c>
      <c r="D473" t="s">
        <v>1190</v>
      </c>
      <c r="E473" t="s">
        <v>1191</v>
      </c>
      <c r="F4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3" s="27">
        <f t="shared" si="42"/>
        <v>40139</v>
      </c>
      <c r="H473" s="7" t="str">
        <f t="shared" si="43"/>
        <v>00:32:26</v>
      </c>
      <c r="I473" s="8" t="str">
        <f t="shared" si="44"/>
        <v>Early morning</v>
      </c>
      <c r="L473">
        <v>0</v>
      </c>
      <c r="M473">
        <v>0</v>
      </c>
      <c r="N473">
        <v>0</v>
      </c>
      <c r="O473" s="4">
        <f t="shared" si="45"/>
        <v>0</v>
      </c>
      <c r="P473" s="5" t="str">
        <f t="shared" si="46"/>
        <v>No engagement</v>
      </c>
      <c r="Q473" t="b">
        <v>0</v>
      </c>
      <c r="R473" t="b">
        <v>0</v>
      </c>
      <c r="S473" t="b">
        <v>0</v>
      </c>
      <c r="T473" s="24" t="str">
        <f t="shared" si="47"/>
        <v>Text only</v>
      </c>
    </row>
    <row r="474" spans="1:20" hidden="1" x14ac:dyDescent="0.2">
      <c r="A474" t="s">
        <v>1186</v>
      </c>
      <c r="B474" t="s">
        <v>14</v>
      </c>
      <c r="C474" t="s">
        <v>15</v>
      </c>
      <c r="D474" t="s">
        <v>1187</v>
      </c>
      <c r="E474" t="s">
        <v>1188</v>
      </c>
      <c r="F4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4" s="27">
        <f t="shared" si="42"/>
        <v>40139</v>
      </c>
      <c r="H474" s="7" t="str">
        <f t="shared" si="43"/>
        <v>00:36:33</v>
      </c>
      <c r="I474" s="8" t="str">
        <f t="shared" si="44"/>
        <v>Early morning</v>
      </c>
      <c r="L474">
        <v>0</v>
      </c>
      <c r="M474">
        <v>0</v>
      </c>
      <c r="N474">
        <v>0</v>
      </c>
      <c r="O474" s="4">
        <f t="shared" si="45"/>
        <v>0</v>
      </c>
      <c r="P474" s="5" t="str">
        <f t="shared" si="46"/>
        <v>No engagement</v>
      </c>
      <c r="Q474" t="b">
        <v>0</v>
      </c>
      <c r="R474" t="b">
        <v>0</v>
      </c>
      <c r="S474" t="b">
        <v>1</v>
      </c>
      <c r="T474" s="24" t="str">
        <f t="shared" si="47"/>
        <v>Link</v>
      </c>
    </row>
    <row r="475" spans="1:20" hidden="1" x14ac:dyDescent="0.2">
      <c r="A475" t="s">
        <v>1177</v>
      </c>
      <c r="B475" t="s">
        <v>14</v>
      </c>
      <c r="C475" t="s">
        <v>15</v>
      </c>
      <c r="D475" t="s">
        <v>1178</v>
      </c>
      <c r="E475" t="s">
        <v>1179</v>
      </c>
      <c r="F4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5" s="27">
        <f t="shared" si="42"/>
        <v>40139</v>
      </c>
      <c r="H475" s="7" t="str">
        <f t="shared" si="43"/>
        <v>02:42:33</v>
      </c>
      <c r="I475" s="8" t="str">
        <f t="shared" si="44"/>
        <v>Early morning</v>
      </c>
      <c r="L475">
        <v>0</v>
      </c>
      <c r="M475">
        <v>0</v>
      </c>
      <c r="N475">
        <v>0</v>
      </c>
      <c r="O475" s="4">
        <f t="shared" si="45"/>
        <v>0</v>
      </c>
      <c r="P475" s="5" t="str">
        <f t="shared" si="46"/>
        <v>No engagement</v>
      </c>
      <c r="Q475" t="b">
        <v>0</v>
      </c>
      <c r="R475" t="b">
        <v>0</v>
      </c>
      <c r="S475" t="b">
        <v>0</v>
      </c>
      <c r="T475" s="24" t="str">
        <f t="shared" si="47"/>
        <v>Text only</v>
      </c>
    </row>
    <row r="476" spans="1:20" hidden="1" x14ac:dyDescent="0.2">
      <c r="A476" t="s">
        <v>1174</v>
      </c>
      <c r="B476" t="s">
        <v>14</v>
      </c>
      <c r="C476" t="s">
        <v>15</v>
      </c>
      <c r="D476" t="s">
        <v>1175</v>
      </c>
      <c r="E476" t="s">
        <v>1176</v>
      </c>
      <c r="F4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1</v>
      </c>
      <c r="G476" s="27">
        <f t="shared" si="42"/>
        <v>40139</v>
      </c>
      <c r="H476" s="7" t="str">
        <f t="shared" si="43"/>
        <v>15:20:22</v>
      </c>
      <c r="I476" s="8" t="str">
        <f t="shared" si="44"/>
        <v>Afternoon</v>
      </c>
      <c r="L476">
        <v>0</v>
      </c>
      <c r="M476">
        <v>0</v>
      </c>
      <c r="N476">
        <v>0</v>
      </c>
      <c r="O476" s="4">
        <f t="shared" si="45"/>
        <v>0</v>
      </c>
      <c r="P476" s="5" t="str">
        <f t="shared" si="46"/>
        <v>No engagement</v>
      </c>
      <c r="Q476" t="b">
        <v>0</v>
      </c>
      <c r="R476" t="b">
        <v>0</v>
      </c>
      <c r="S476" t="b">
        <v>1</v>
      </c>
      <c r="T476" s="24" t="str">
        <f t="shared" si="47"/>
        <v>Link</v>
      </c>
    </row>
    <row r="477" spans="1:20" hidden="1" x14ac:dyDescent="0.2">
      <c r="A477" t="s">
        <v>1132</v>
      </c>
      <c r="B477" t="s">
        <v>14</v>
      </c>
      <c r="C477" t="s">
        <v>15</v>
      </c>
      <c r="D477" t="s">
        <v>1133</v>
      </c>
      <c r="E477" t="s">
        <v>1134</v>
      </c>
      <c r="F4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77" s="27">
        <f t="shared" si="42"/>
        <v>40149</v>
      </c>
      <c r="H477" s="7" t="str">
        <f t="shared" si="43"/>
        <v>17:07:05</v>
      </c>
      <c r="I477" s="8" t="str">
        <f t="shared" si="44"/>
        <v>Afternoon</v>
      </c>
      <c r="L477">
        <v>0</v>
      </c>
      <c r="M477">
        <v>0</v>
      </c>
      <c r="N477">
        <v>0</v>
      </c>
      <c r="O477" s="4">
        <f t="shared" si="45"/>
        <v>0</v>
      </c>
      <c r="P477" s="5" t="str">
        <f t="shared" si="46"/>
        <v>No engagement</v>
      </c>
      <c r="Q477" t="b">
        <v>0</v>
      </c>
      <c r="R477" t="b">
        <v>0</v>
      </c>
      <c r="S477" t="b">
        <v>1</v>
      </c>
      <c r="T477" s="24" t="str">
        <f t="shared" si="47"/>
        <v>Link</v>
      </c>
    </row>
    <row r="478" spans="1:20" hidden="1" x14ac:dyDescent="0.2">
      <c r="A478" t="s">
        <v>1126</v>
      </c>
      <c r="B478" t="s">
        <v>14</v>
      </c>
      <c r="C478" t="s">
        <v>15</v>
      </c>
      <c r="D478" t="s">
        <v>1127</v>
      </c>
      <c r="E478" t="s">
        <v>1128</v>
      </c>
      <c r="F4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78" s="27">
        <f t="shared" si="42"/>
        <v>40151</v>
      </c>
      <c r="H478" s="7" t="str">
        <f t="shared" si="43"/>
        <v>17:27:14</v>
      </c>
      <c r="I478" s="8" t="str">
        <f t="shared" si="44"/>
        <v>Afternoon</v>
      </c>
      <c r="K478" t="s">
        <v>2352</v>
      </c>
      <c r="L478">
        <v>0</v>
      </c>
      <c r="M478">
        <v>0</v>
      </c>
      <c r="N478">
        <v>0</v>
      </c>
      <c r="O478" s="4">
        <f t="shared" si="45"/>
        <v>0</v>
      </c>
      <c r="P478" s="5" t="str">
        <f t="shared" si="46"/>
        <v>No engagement</v>
      </c>
      <c r="Q478" t="b">
        <v>0</v>
      </c>
      <c r="R478" t="b">
        <v>0</v>
      </c>
      <c r="S478" t="b">
        <v>1</v>
      </c>
      <c r="T478" s="24" t="str">
        <f t="shared" si="47"/>
        <v>Link</v>
      </c>
    </row>
    <row r="479" spans="1:20" hidden="1" x14ac:dyDescent="0.2">
      <c r="A479" t="s">
        <v>1102</v>
      </c>
      <c r="B479" t="s">
        <v>14</v>
      </c>
      <c r="C479" t="s">
        <v>15</v>
      </c>
      <c r="D479" t="s">
        <v>1103</v>
      </c>
      <c r="E479" t="s">
        <v>1104</v>
      </c>
      <c r="F4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79" s="27">
        <f t="shared" si="42"/>
        <v>40157</v>
      </c>
      <c r="H479" s="7" t="str">
        <f t="shared" si="43"/>
        <v>16:08:09</v>
      </c>
      <c r="I479" s="8" t="str">
        <f t="shared" si="44"/>
        <v>Afternoon</v>
      </c>
      <c r="K479" t="s">
        <v>210</v>
      </c>
      <c r="L479">
        <v>0</v>
      </c>
      <c r="M479">
        <v>0</v>
      </c>
      <c r="N479">
        <v>0</v>
      </c>
      <c r="O479" s="4">
        <f t="shared" si="45"/>
        <v>0</v>
      </c>
      <c r="P479" s="5" t="str">
        <f t="shared" si="46"/>
        <v>No engagement</v>
      </c>
      <c r="Q479" t="b">
        <v>0</v>
      </c>
      <c r="R479" t="b">
        <v>0</v>
      </c>
      <c r="S479" t="b">
        <v>1</v>
      </c>
      <c r="T479" s="24" t="str">
        <f t="shared" si="47"/>
        <v>Link</v>
      </c>
    </row>
    <row r="480" spans="1:20" hidden="1" x14ac:dyDescent="0.2">
      <c r="A480" t="s">
        <v>1096</v>
      </c>
      <c r="B480" t="s">
        <v>14</v>
      </c>
      <c r="C480" t="s">
        <v>15</v>
      </c>
      <c r="D480" t="s">
        <v>1097</v>
      </c>
      <c r="E480" t="s">
        <v>1098</v>
      </c>
      <c r="F4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0" s="27">
        <f t="shared" si="42"/>
        <v>40157</v>
      </c>
      <c r="H480" s="7" t="str">
        <f t="shared" si="43"/>
        <v>19:42:33</v>
      </c>
      <c r="I480" s="8" t="str">
        <f t="shared" si="44"/>
        <v>Evening</v>
      </c>
      <c r="L480">
        <v>0</v>
      </c>
      <c r="M480">
        <v>0</v>
      </c>
      <c r="N480">
        <v>0</v>
      </c>
      <c r="O480" s="4">
        <f t="shared" si="45"/>
        <v>0</v>
      </c>
      <c r="P480" s="5" t="str">
        <f t="shared" si="46"/>
        <v>No engagement</v>
      </c>
      <c r="Q480" t="b">
        <v>0</v>
      </c>
      <c r="R480" t="b">
        <v>0</v>
      </c>
      <c r="S480" t="b">
        <v>1</v>
      </c>
      <c r="T480" s="24" t="str">
        <f t="shared" si="47"/>
        <v>Link</v>
      </c>
    </row>
    <row r="481" spans="1:20" hidden="1" x14ac:dyDescent="0.2">
      <c r="A481" t="s">
        <v>1093</v>
      </c>
      <c r="B481" t="s">
        <v>14</v>
      </c>
      <c r="C481" t="s">
        <v>15</v>
      </c>
      <c r="D481" t="s">
        <v>1094</v>
      </c>
      <c r="E481" t="s">
        <v>1095</v>
      </c>
      <c r="F4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1" s="27">
        <f t="shared" si="42"/>
        <v>40157</v>
      </c>
      <c r="H481" s="7" t="str">
        <f t="shared" si="43"/>
        <v>23:42:42</v>
      </c>
      <c r="I481" s="8" t="str">
        <f t="shared" si="44"/>
        <v>Evening</v>
      </c>
      <c r="L481">
        <v>0</v>
      </c>
      <c r="M481">
        <v>0</v>
      </c>
      <c r="N481">
        <v>0</v>
      </c>
      <c r="O481" s="4">
        <f t="shared" si="45"/>
        <v>0</v>
      </c>
      <c r="P481" s="5" t="str">
        <f t="shared" si="46"/>
        <v>No engagement</v>
      </c>
      <c r="Q481" t="b">
        <v>0</v>
      </c>
      <c r="R481" t="b">
        <v>0</v>
      </c>
      <c r="S481" t="b">
        <v>0</v>
      </c>
      <c r="T481" s="24" t="str">
        <f t="shared" si="47"/>
        <v>Text only</v>
      </c>
    </row>
    <row r="482" spans="1:20" hidden="1" x14ac:dyDescent="0.2">
      <c r="A482" t="s">
        <v>1090</v>
      </c>
      <c r="B482" t="s">
        <v>14</v>
      </c>
      <c r="C482" t="s">
        <v>15</v>
      </c>
      <c r="D482" t="s">
        <v>1091</v>
      </c>
      <c r="E482" t="s">
        <v>1092</v>
      </c>
      <c r="F4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2" s="27">
        <f t="shared" si="42"/>
        <v>40161</v>
      </c>
      <c r="H482" s="7" t="str">
        <f t="shared" si="43"/>
        <v>16:16:55</v>
      </c>
      <c r="I482" s="8" t="str">
        <f t="shared" si="44"/>
        <v>Afternoon</v>
      </c>
      <c r="J482" t="s">
        <v>584</v>
      </c>
      <c r="L482">
        <v>0</v>
      </c>
      <c r="M482">
        <v>0</v>
      </c>
      <c r="N482">
        <v>0</v>
      </c>
      <c r="O482" s="4">
        <f t="shared" si="45"/>
        <v>0</v>
      </c>
      <c r="P482" s="5" t="str">
        <f t="shared" si="46"/>
        <v>No engagement</v>
      </c>
      <c r="Q482" t="b">
        <v>0</v>
      </c>
      <c r="R482" t="b">
        <v>0</v>
      </c>
      <c r="S482" t="b">
        <v>0</v>
      </c>
      <c r="T482" s="24" t="str">
        <f t="shared" si="47"/>
        <v>Text only</v>
      </c>
    </row>
    <row r="483" spans="1:20" hidden="1" x14ac:dyDescent="0.2">
      <c r="A483" t="s">
        <v>1086</v>
      </c>
      <c r="B483" t="s">
        <v>14</v>
      </c>
      <c r="C483" t="s">
        <v>15</v>
      </c>
      <c r="D483" t="s">
        <v>1087</v>
      </c>
      <c r="E483" t="s">
        <v>1088</v>
      </c>
      <c r="F4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3" s="27">
        <f t="shared" si="42"/>
        <v>40161</v>
      </c>
      <c r="H483" s="7" t="str">
        <f t="shared" si="43"/>
        <v>16:20:23</v>
      </c>
      <c r="I483" s="8" t="str">
        <f t="shared" si="44"/>
        <v>Afternoon</v>
      </c>
      <c r="J483" t="s">
        <v>1089</v>
      </c>
      <c r="L483">
        <v>0</v>
      </c>
      <c r="M483">
        <v>0</v>
      </c>
      <c r="N483">
        <v>0</v>
      </c>
      <c r="O483" s="4">
        <f t="shared" si="45"/>
        <v>0</v>
      </c>
      <c r="P483" s="5" t="str">
        <f t="shared" si="46"/>
        <v>No engagement</v>
      </c>
      <c r="Q483" t="b">
        <v>0</v>
      </c>
      <c r="R483" t="b">
        <v>0</v>
      </c>
      <c r="S483" t="b">
        <v>0</v>
      </c>
      <c r="T483" s="24" t="str">
        <f t="shared" si="47"/>
        <v>Text only</v>
      </c>
    </row>
    <row r="484" spans="1:20" hidden="1" x14ac:dyDescent="0.2">
      <c r="A484" t="s">
        <v>1073</v>
      </c>
      <c r="B484" t="s">
        <v>14</v>
      </c>
      <c r="C484" t="s">
        <v>15</v>
      </c>
      <c r="D484" t="s">
        <v>1074</v>
      </c>
      <c r="E484" t="s">
        <v>1075</v>
      </c>
      <c r="F4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4" s="27">
        <f t="shared" si="42"/>
        <v>40165</v>
      </c>
      <c r="H484" s="7" t="str">
        <f t="shared" si="43"/>
        <v>17:48:06</v>
      </c>
      <c r="I484" s="8" t="str">
        <f t="shared" si="44"/>
        <v>Afternoon</v>
      </c>
      <c r="J484" t="s">
        <v>1076</v>
      </c>
      <c r="L484">
        <v>0</v>
      </c>
      <c r="M484">
        <v>0</v>
      </c>
      <c r="N484">
        <v>0</v>
      </c>
      <c r="O484" s="4">
        <f t="shared" si="45"/>
        <v>0</v>
      </c>
      <c r="P484" s="5" t="str">
        <f t="shared" si="46"/>
        <v>No engagement</v>
      </c>
      <c r="Q484" t="b">
        <v>0</v>
      </c>
      <c r="R484" t="b">
        <v>0</v>
      </c>
      <c r="S484" t="b">
        <v>0</v>
      </c>
      <c r="T484" s="24" t="str">
        <f t="shared" si="47"/>
        <v>Text only</v>
      </c>
    </row>
    <row r="485" spans="1:20" hidden="1" x14ac:dyDescent="0.2">
      <c r="A485" t="s">
        <v>1067</v>
      </c>
      <c r="B485" t="s">
        <v>14</v>
      </c>
      <c r="C485" t="s">
        <v>15</v>
      </c>
      <c r="D485" t="s">
        <v>1068</v>
      </c>
      <c r="E485" t="s">
        <v>1069</v>
      </c>
      <c r="F4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5" s="27">
        <f t="shared" si="42"/>
        <v>40165</v>
      </c>
      <c r="H485" s="7" t="str">
        <f t="shared" si="43"/>
        <v>23:40:09</v>
      </c>
      <c r="I485" s="8" t="str">
        <f t="shared" si="44"/>
        <v>Evening</v>
      </c>
      <c r="L485">
        <v>0</v>
      </c>
      <c r="M485">
        <v>0</v>
      </c>
      <c r="N485">
        <v>0</v>
      </c>
      <c r="O485" s="4">
        <f t="shared" si="45"/>
        <v>0</v>
      </c>
      <c r="P485" s="5" t="str">
        <f t="shared" si="46"/>
        <v>No engagement</v>
      </c>
      <c r="Q485" t="b">
        <v>0</v>
      </c>
      <c r="R485" t="b">
        <v>0</v>
      </c>
      <c r="S485" t="b">
        <v>0</v>
      </c>
      <c r="T485" s="24" t="str">
        <f t="shared" si="47"/>
        <v>Text only</v>
      </c>
    </row>
    <row r="486" spans="1:20" hidden="1" x14ac:dyDescent="0.2">
      <c r="A486" t="s">
        <v>1052</v>
      </c>
      <c r="B486" t="s">
        <v>14</v>
      </c>
      <c r="C486" t="s">
        <v>15</v>
      </c>
      <c r="D486" t="s">
        <v>1053</v>
      </c>
      <c r="E486" t="s">
        <v>1054</v>
      </c>
      <c r="F4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6" s="27">
        <f t="shared" si="42"/>
        <v>40170</v>
      </c>
      <c r="H486" s="7" t="str">
        <f t="shared" si="43"/>
        <v>01:06:33</v>
      </c>
      <c r="I486" s="8" t="str">
        <f t="shared" si="44"/>
        <v>Early morning</v>
      </c>
      <c r="L486">
        <v>0</v>
      </c>
      <c r="M486">
        <v>0</v>
      </c>
      <c r="N486">
        <v>0</v>
      </c>
      <c r="O486" s="4">
        <f t="shared" si="45"/>
        <v>0</v>
      </c>
      <c r="P486" s="5" t="str">
        <f t="shared" si="46"/>
        <v>No engagement</v>
      </c>
      <c r="Q486" t="b">
        <v>0</v>
      </c>
      <c r="R486" t="b">
        <v>0</v>
      </c>
      <c r="S486" t="b">
        <v>1</v>
      </c>
      <c r="T486" s="24" t="str">
        <f t="shared" si="47"/>
        <v>Link</v>
      </c>
    </row>
    <row r="487" spans="1:20" hidden="1" x14ac:dyDescent="0.2">
      <c r="A487" t="s">
        <v>1045</v>
      </c>
      <c r="B487" t="s">
        <v>14</v>
      </c>
      <c r="C487" t="s">
        <v>15</v>
      </c>
      <c r="D487" t="s">
        <v>1046</v>
      </c>
      <c r="E487" t="s">
        <v>1047</v>
      </c>
      <c r="F4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7" s="27">
        <f t="shared" si="42"/>
        <v>40171</v>
      </c>
      <c r="H487" s="7" t="str">
        <f t="shared" si="43"/>
        <v>00:55:38</v>
      </c>
      <c r="I487" s="8" t="str">
        <f t="shared" si="44"/>
        <v>Early morning</v>
      </c>
      <c r="L487">
        <v>0</v>
      </c>
      <c r="M487">
        <v>0</v>
      </c>
      <c r="N487">
        <v>0</v>
      </c>
      <c r="O487" s="4">
        <f t="shared" si="45"/>
        <v>0</v>
      </c>
      <c r="P487" s="5" t="str">
        <f t="shared" si="46"/>
        <v>No engagement</v>
      </c>
      <c r="Q487" t="b">
        <v>0</v>
      </c>
      <c r="R487" t="b">
        <v>0</v>
      </c>
      <c r="S487" t="b">
        <v>1</v>
      </c>
      <c r="T487" s="24" t="str">
        <f t="shared" si="47"/>
        <v>Link</v>
      </c>
    </row>
    <row r="488" spans="1:20" hidden="1" x14ac:dyDescent="0.2">
      <c r="A488" t="s">
        <v>1042</v>
      </c>
      <c r="B488" t="s">
        <v>14</v>
      </c>
      <c r="C488" t="s">
        <v>15</v>
      </c>
      <c r="D488" t="s">
        <v>1043</v>
      </c>
      <c r="E488" t="s">
        <v>1044</v>
      </c>
      <c r="F4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8" s="27">
        <f t="shared" si="42"/>
        <v>40171</v>
      </c>
      <c r="H488" s="7" t="str">
        <f t="shared" si="43"/>
        <v>00:57:04</v>
      </c>
      <c r="I488" s="8" t="str">
        <f t="shared" si="44"/>
        <v>Early morning</v>
      </c>
      <c r="L488">
        <v>0</v>
      </c>
      <c r="M488">
        <v>0</v>
      </c>
      <c r="N488">
        <v>0</v>
      </c>
      <c r="O488" s="4">
        <f t="shared" si="45"/>
        <v>0</v>
      </c>
      <c r="P488" s="5" t="str">
        <f t="shared" si="46"/>
        <v>No engagement</v>
      </c>
      <c r="Q488" t="b">
        <v>0</v>
      </c>
      <c r="R488" t="b">
        <v>0</v>
      </c>
      <c r="S488" t="b">
        <v>0</v>
      </c>
      <c r="T488" s="24" t="str">
        <f t="shared" si="47"/>
        <v>Text only</v>
      </c>
    </row>
    <row r="489" spans="1:20" hidden="1" x14ac:dyDescent="0.2">
      <c r="A489" t="s">
        <v>1039</v>
      </c>
      <c r="B489" t="s">
        <v>14</v>
      </c>
      <c r="C489" t="s">
        <v>15</v>
      </c>
      <c r="D489" t="s">
        <v>1040</v>
      </c>
      <c r="E489" t="s">
        <v>1041</v>
      </c>
      <c r="F4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89" s="27">
        <f t="shared" si="42"/>
        <v>40171</v>
      </c>
      <c r="H489" s="7" t="str">
        <f t="shared" si="43"/>
        <v>01:39:18</v>
      </c>
      <c r="I489" s="8" t="str">
        <f t="shared" si="44"/>
        <v>Early morning</v>
      </c>
      <c r="L489">
        <v>0</v>
      </c>
      <c r="M489">
        <v>0</v>
      </c>
      <c r="N489">
        <v>0</v>
      </c>
      <c r="O489" s="4">
        <f t="shared" si="45"/>
        <v>0</v>
      </c>
      <c r="P489" s="5" t="str">
        <f t="shared" si="46"/>
        <v>No engagement</v>
      </c>
      <c r="Q489" t="b">
        <v>0</v>
      </c>
      <c r="R489" t="b">
        <v>0</v>
      </c>
      <c r="S489" t="b">
        <v>0</v>
      </c>
      <c r="T489" s="24" t="str">
        <f t="shared" si="47"/>
        <v>Text only</v>
      </c>
    </row>
    <row r="490" spans="1:20" hidden="1" x14ac:dyDescent="0.2">
      <c r="A490" t="s">
        <v>1035</v>
      </c>
      <c r="B490" t="s">
        <v>14</v>
      </c>
      <c r="C490" t="s">
        <v>15</v>
      </c>
      <c r="D490" t="s">
        <v>1036</v>
      </c>
      <c r="E490" t="s">
        <v>1037</v>
      </c>
      <c r="F4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0" s="27">
        <f t="shared" si="42"/>
        <v>40182</v>
      </c>
      <c r="H490" s="7" t="str">
        <f t="shared" si="43"/>
        <v>23:50:26</v>
      </c>
      <c r="I490" s="8" t="str">
        <f t="shared" si="44"/>
        <v>Evening</v>
      </c>
      <c r="J490" t="s">
        <v>1038</v>
      </c>
      <c r="L490">
        <v>0</v>
      </c>
      <c r="M490">
        <v>0</v>
      </c>
      <c r="N490">
        <v>0</v>
      </c>
      <c r="O490" s="4">
        <f t="shared" si="45"/>
        <v>0</v>
      </c>
      <c r="P490" s="5" t="str">
        <f t="shared" si="46"/>
        <v>No engagement</v>
      </c>
      <c r="Q490" t="b">
        <v>0</v>
      </c>
      <c r="R490" t="b">
        <v>0</v>
      </c>
      <c r="S490" t="b">
        <v>0</v>
      </c>
      <c r="T490" s="24" t="str">
        <f t="shared" si="47"/>
        <v>Text only</v>
      </c>
    </row>
    <row r="491" spans="1:20" hidden="1" x14ac:dyDescent="0.2">
      <c r="A491" t="s">
        <v>1032</v>
      </c>
      <c r="B491" t="s">
        <v>14</v>
      </c>
      <c r="C491" t="s">
        <v>15</v>
      </c>
      <c r="D491" t="s">
        <v>1033</v>
      </c>
      <c r="E491" t="s">
        <v>1034</v>
      </c>
      <c r="F4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1" s="27">
        <f t="shared" si="42"/>
        <v>40183</v>
      </c>
      <c r="H491" s="7" t="str">
        <f t="shared" si="43"/>
        <v>19:08:31</v>
      </c>
      <c r="I491" s="8" t="str">
        <f t="shared" si="44"/>
        <v>Evening</v>
      </c>
      <c r="J491" t="s">
        <v>922</v>
      </c>
      <c r="L491">
        <v>0</v>
      </c>
      <c r="M491">
        <v>0</v>
      </c>
      <c r="N491">
        <v>0</v>
      </c>
      <c r="O491" s="4">
        <f t="shared" si="45"/>
        <v>0</v>
      </c>
      <c r="P491" s="5" t="str">
        <f t="shared" si="46"/>
        <v>No engagement</v>
      </c>
      <c r="Q491" t="b">
        <v>0</v>
      </c>
      <c r="R491" t="b">
        <v>0</v>
      </c>
      <c r="S491" t="b">
        <v>0</v>
      </c>
      <c r="T491" s="24" t="str">
        <f t="shared" si="47"/>
        <v>Text only</v>
      </c>
    </row>
    <row r="492" spans="1:20" hidden="1" x14ac:dyDescent="0.2">
      <c r="A492" t="s">
        <v>1029</v>
      </c>
      <c r="B492" t="s">
        <v>14</v>
      </c>
      <c r="C492" t="s">
        <v>15</v>
      </c>
      <c r="D492" t="s">
        <v>1030</v>
      </c>
      <c r="E492" t="s">
        <v>1031</v>
      </c>
      <c r="F4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2" s="27">
        <f t="shared" si="42"/>
        <v>40183</v>
      </c>
      <c r="H492" s="7" t="str">
        <f t="shared" si="43"/>
        <v>19:23:03</v>
      </c>
      <c r="I492" s="8" t="str">
        <f t="shared" si="44"/>
        <v>Evening</v>
      </c>
      <c r="L492">
        <v>0</v>
      </c>
      <c r="M492">
        <v>0</v>
      </c>
      <c r="N492">
        <v>0</v>
      </c>
      <c r="O492" s="4">
        <f t="shared" si="45"/>
        <v>0</v>
      </c>
      <c r="P492" s="5" t="str">
        <f t="shared" si="46"/>
        <v>No engagement</v>
      </c>
      <c r="Q492" t="b">
        <v>0</v>
      </c>
      <c r="R492" t="b">
        <v>0</v>
      </c>
      <c r="S492" t="b">
        <v>0</v>
      </c>
      <c r="T492" s="24" t="str">
        <f t="shared" si="47"/>
        <v>Text only</v>
      </c>
    </row>
    <row r="493" spans="1:20" hidden="1" x14ac:dyDescent="0.2">
      <c r="A493" t="s">
        <v>977</v>
      </c>
      <c r="B493" t="s">
        <v>14</v>
      </c>
      <c r="C493" t="s">
        <v>15</v>
      </c>
      <c r="D493" t="s">
        <v>978</v>
      </c>
      <c r="E493" t="s">
        <v>979</v>
      </c>
      <c r="F4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3" s="27">
        <f t="shared" si="42"/>
        <v>40193</v>
      </c>
      <c r="H493" s="7" t="str">
        <f t="shared" si="43"/>
        <v>23:41:03</v>
      </c>
      <c r="I493" s="8" t="str">
        <f t="shared" si="44"/>
        <v>Evening</v>
      </c>
      <c r="L493">
        <v>0</v>
      </c>
      <c r="M493">
        <v>0</v>
      </c>
      <c r="N493">
        <v>0</v>
      </c>
      <c r="O493" s="4">
        <f t="shared" si="45"/>
        <v>0</v>
      </c>
      <c r="P493" s="5" t="str">
        <f t="shared" si="46"/>
        <v>No engagement</v>
      </c>
      <c r="Q493" t="b">
        <v>0</v>
      </c>
      <c r="R493" t="b">
        <v>0</v>
      </c>
      <c r="S493" t="b">
        <v>0</v>
      </c>
      <c r="T493" s="24" t="str">
        <f t="shared" si="47"/>
        <v>Text only</v>
      </c>
    </row>
    <row r="494" spans="1:20" hidden="1" x14ac:dyDescent="0.2">
      <c r="A494" t="s">
        <v>971</v>
      </c>
      <c r="B494" t="s">
        <v>14</v>
      </c>
      <c r="C494" t="s">
        <v>15</v>
      </c>
      <c r="D494" t="s">
        <v>972</v>
      </c>
      <c r="E494" t="s">
        <v>973</v>
      </c>
      <c r="F4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4" s="27">
        <f t="shared" si="42"/>
        <v>40197</v>
      </c>
      <c r="H494" s="7" t="str">
        <f t="shared" si="43"/>
        <v>23:34:37</v>
      </c>
      <c r="I494" s="8" t="str">
        <f t="shared" si="44"/>
        <v>Evening</v>
      </c>
      <c r="J494" t="s">
        <v>970</v>
      </c>
      <c r="L494">
        <v>0</v>
      </c>
      <c r="M494">
        <v>0</v>
      </c>
      <c r="N494">
        <v>0</v>
      </c>
      <c r="O494" s="4">
        <f t="shared" si="45"/>
        <v>0</v>
      </c>
      <c r="P494" s="5" t="str">
        <f t="shared" si="46"/>
        <v>No engagement</v>
      </c>
      <c r="Q494" t="b">
        <v>0</v>
      </c>
      <c r="R494" t="b">
        <v>0</v>
      </c>
      <c r="S494" t="b">
        <v>0</v>
      </c>
      <c r="T494" s="24" t="str">
        <f t="shared" si="47"/>
        <v>Text only</v>
      </c>
    </row>
    <row r="495" spans="1:20" hidden="1" x14ac:dyDescent="0.2">
      <c r="A495" t="s">
        <v>966</v>
      </c>
      <c r="B495" t="s">
        <v>14</v>
      </c>
      <c r="C495" t="s">
        <v>15</v>
      </c>
      <c r="D495" t="s">
        <v>967</v>
      </c>
      <c r="E495" t="s">
        <v>968</v>
      </c>
      <c r="F4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5" s="27">
        <f t="shared" si="42"/>
        <v>40198</v>
      </c>
      <c r="H495" s="7" t="str">
        <f t="shared" si="43"/>
        <v>16:12:50</v>
      </c>
      <c r="I495" s="8" t="str">
        <f t="shared" si="44"/>
        <v>Afternoon</v>
      </c>
      <c r="J495" t="s">
        <v>969</v>
      </c>
      <c r="L495">
        <v>0</v>
      </c>
      <c r="M495">
        <v>0</v>
      </c>
      <c r="N495">
        <v>0</v>
      </c>
      <c r="O495" s="4">
        <f t="shared" si="45"/>
        <v>0</v>
      </c>
      <c r="P495" s="5" t="str">
        <f t="shared" si="46"/>
        <v>No engagement</v>
      </c>
      <c r="Q495" t="b">
        <v>0</v>
      </c>
      <c r="R495" t="b">
        <v>0</v>
      </c>
      <c r="S495" t="b">
        <v>1</v>
      </c>
      <c r="T495" s="24" t="str">
        <f t="shared" si="47"/>
        <v>Link</v>
      </c>
    </row>
    <row r="496" spans="1:20" hidden="1" x14ac:dyDescent="0.2">
      <c r="A496" t="s">
        <v>963</v>
      </c>
      <c r="B496" t="s">
        <v>14</v>
      </c>
      <c r="C496" t="s">
        <v>15</v>
      </c>
      <c r="D496" t="s">
        <v>964</v>
      </c>
      <c r="E496" t="s">
        <v>965</v>
      </c>
      <c r="F4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6" s="27">
        <f t="shared" si="42"/>
        <v>40198</v>
      </c>
      <c r="H496" s="7" t="str">
        <f t="shared" si="43"/>
        <v>16:23:30</v>
      </c>
      <c r="I496" s="8" t="str">
        <f t="shared" si="44"/>
        <v>Afternoon</v>
      </c>
      <c r="J496" t="s">
        <v>672</v>
      </c>
      <c r="L496">
        <v>0</v>
      </c>
      <c r="M496">
        <v>0</v>
      </c>
      <c r="N496">
        <v>0</v>
      </c>
      <c r="O496" s="4">
        <f t="shared" si="45"/>
        <v>0</v>
      </c>
      <c r="P496" s="5" t="str">
        <f t="shared" si="46"/>
        <v>No engagement</v>
      </c>
      <c r="Q496" t="b">
        <v>0</v>
      </c>
      <c r="R496" t="b">
        <v>0</v>
      </c>
      <c r="S496" t="b">
        <v>0</v>
      </c>
      <c r="T496" s="24" t="str">
        <f t="shared" si="47"/>
        <v>Text only</v>
      </c>
    </row>
    <row r="497" spans="1:20" hidden="1" x14ac:dyDescent="0.2">
      <c r="A497" t="s">
        <v>960</v>
      </c>
      <c r="B497" t="s">
        <v>14</v>
      </c>
      <c r="C497" t="s">
        <v>15</v>
      </c>
      <c r="D497" t="s">
        <v>961</v>
      </c>
      <c r="E497" t="s">
        <v>962</v>
      </c>
      <c r="F4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2</v>
      </c>
      <c r="G497" s="27">
        <f t="shared" si="42"/>
        <v>40198</v>
      </c>
      <c r="H497" s="7" t="str">
        <f t="shared" si="43"/>
        <v>16:30:30</v>
      </c>
      <c r="I497" s="8" t="str">
        <f t="shared" si="44"/>
        <v>Afternoon</v>
      </c>
      <c r="J497" t="s">
        <v>946</v>
      </c>
      <c r="L497">
        <v>0</v>
      </c>
      <c r="M497">
        <v>0</v>
      </c>
      <c r="N497">
        <v>0</v>
      </c>
      <c r="O497" s="4">
        <f t="shared" si="45"/>
        <v>0</v>
      </c>
      <c r="P497" s="5" t="str">
        <f t="shared" si="46"/>
        <v>No engagement</v>
      </c>
      <c r="Q497" t="b">
        <v>0</v>
      </c>
      <c r="R497" t="b">
        <v>0</v>
      </c>
      <c r="S497" t="b">
        <v>1</v>
      </c>
      <c r="T497" s="24" t="str">
        <f t="shared" si="47"/>
        <v>Link</v>
      </c>
    </row>
    <row r="498" spans="1:20" hidden="1" x14ac:dyDescent="0.2">
      <c r="A498" t="s">
        <v>954</v>
      </c>
      <c r="B498" t="s">
        <v>14</v>
      </c>
      <c r="C498" t="s">
        <v>15</v>
      </c>
      <c r="D498" t="s">
        <v>955</v>
      </c>
      <c r="E498" t="s">
        <v>956</v>
      </c>
      <c r="F4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498" s="27">
        <f t="shared" si="42"/>
        <v>40200</v>
      </c>
      <c r="H498" s="7" t="str">
        <f t="shared" si="43"/>
        <v>16:52:45</v>
      </c>
      <c r="I498" s="8" t="str">
        <f t="shared" si="44"/>
        <v>Afternoon</v>
      </c>
      <c r="J498" t="s">
        <v>689</v>
      </c>
      <c r="L498">
        <v>0</v>
      </c>
      <c r="M498">
        <v>0</v>
      </c>
      <c r="N498">
        <v>0</v>
      </c>
      <c r="O498" s="4">
        <f t="shared" si="45"/>
        <v>0</v>
      </c>
      <c r="P498" s="5" t="str">
        <f t="shared" si="46"/>
        <v>No engagement</v>
      </c>
      <c r="Q498" t="b">
        <v>0</v>
      </c>
      <c r="R498" t="b">
        <v>0</v>
      </c>
      <c r="S498" t="b">
        <v>1</v>
      </c>
      <c r="T498" s="24" t="str">
        <f t="shared" si="47"/>
        <v>Link</v>
      </c>
    </row>
    <row r="499" spans="1:20" hidden="1" x14ac:dyDescent="0.2">
      <c r="A499" t="s">
        <v>950</v>
      </c>
      <c r="B499" t="s">
        <v>14</v>
      </c>
      <c r="C499" t="s">
        <v>15</v>
      </c>
      <c r="D499" t="s">
        <v>951</v>
      </c>
      <c r="E499" t="s">
        <v>952</v>
      </c>
      <c r="F4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499" s="27">
        <f t="shared" si="42"/>
        <v>40200</v>
      </c>
      <c r="H499" s="7" t="str">
        <f t="shared" si="43"/>
        <v>18:17:54</v>
      </c>
      <c r="I499" s="8" t="str">
        <f t="shared" si="44"/>
        <v>Evening</v>
      </c>
      <c r="J499" t="s">
        <v>953</v>
      </c>
      <c r="L499">
        <v>0</v>
      </c>
      <c r="M499">
        <v>0</v>
      </c>
      <c r="N499">
        <v>0</v>
      </c>
      <c r="O499" s="4">
        <f t="shared" si="45"/>
        <v>0</v>
      </c>
      <c r="P499" s="5" t="str">
        <f t="shared" si="46"/>
        <v>No engagement</v>
      </c>
      <c r="Q499" t="b">
        <v>0</v>
      </c>
      <c r="R499" t="b">
        <v>0</v>
      </c>
      <c r="S499" t="b">
        <v>0</v>
      </c>
      <c r="T499" s="24" t="str">
        <f t="shared" si="47"/>
        <v>Text only</v>
      </c>
    </row>
    <row r="500" spans="1:20" hidden="1" x14ac:dyDescent="0.2">
      <c r="A500" t="s">
        <v>942</v>
      </c>
      <c r="B500" t="s">
        <v>14</v>
      </c>
      <c r="C500" t="s">
        <v>15</v>
      </c>
      <c r="D500" t="s">
        <v>943</v>
      </c>
      <c r="E500" t="s">
        <v>944</v>
      </c>
      <c r="F5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0" s="27">
        <f t="shared" si="42"/>
        <v>40203</v>
      </c>
      <c r="H500" s="7" t="str">
        <f t="shared" si="43"/>
        <v>16:19:26</v>
      </c>
      <c r="I500" s="8" t="str">
        <f t="shared" si="44"/>
        <v>Afternoon</v>
      </c>
      <c r="J500" t="s">
        <v>945</v>
      </c>
      <c r="L500">
        <v>0</v>
      </c>
      <c r="M500">
        <v>0</v>
      </c>
      <c r="N500">
        <v>0</v>
      </c>
      <c r="O500" s="4">
        <f t="shared" si="45"/>
        <v>0</v>
      </c>
      <c r="P500" s="5" t="str">
        <f t="shared" si="46"/>
        <v>No engagement</v>
      </c>
      <c r="Q500" t="b">
        <v>0</v>
      </c>
      <c r="R500" t="b">
        <v>0</v>
      </c>
      <c r="S500" t="b">
        <v>1</v>
      </c>
      <c r="T500" s="24" t="str">
        <f t="shared" si="47"/>
        <v>Link</v>
      </c>
    </row>
    <row r="501" spans="1:20" hidden="1" x14ac:dyDescent="0.2">
      <c r="A501" t="s">
        <v>939</v>
      </c>
      <c r="B501" t="s">
        <v>14</v>
      </c>
      <c r="C501" t="s">
        <v>15</v>
      </c>
      <c r="D501" t="s">
        <v>940</v>
      </c>
      <c r="E501" t="s">
        <v>941</v>
      </c>
      <c r="F5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1" s="27">
        <f t="shared" si="42"/>
        <v>40203</v>
      </c>
      <c r="H501" s="7" t="str">
        <f t="shared" si="43"/>
        <v>17:49:38</v>
      </c>
      <c r="I501" s="8" t="str">
        <f t="shared" si="44"/>
        <v>Afternoon</v>
      </c>
      <c r="L501">
        <v>0</v>
      </c>
      <c r="M501">
        <v>0</v>
      </c>
      <c r="N501">
        <v>0</v>
      </c>
      <c r="O501" s="4">
        <f t="shared" si="45"/>
        <v>0</v>
      </c>
      <c r="P501" s="5" t="str">
        <f t="shared" si="46"/>
        <v>No engagement</v>
      </c>
      <c r="Q501" t="b">
        <v>0</v>
      </c>
      <c r="R501" t="b">
        <v>0</v>
      </c>
      <c r="S501" t="b">
        <v>1</v>
      </c>
      <c r="T501" s="24" t="str">
        <f t="shared" si="47"/>
        <v>Link</v>
      </c>
    </row>
    <row r="502" spans="1:20" hidden="1" x14ac:dyDescent="0.2">
      <c r="A502" t="s">
        <v>936</v>
      </c>
      <c r="B502" t="s">
        <v>14</v>
      </c>
      <c r="C502" t="s">
        <v>15</v>
      </c>
      <c r="D502" t="s">
        <v>937</v>
      </c>
      <c r="E502" t="s">
        <v>938</v>
      </c>
      <c r="F5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2" s="27">
        <f t="shared" si="42"/>
        <v>40204</v>
      </c>
      <c r="H502" s="7" t="str">
        <f t="shared" si="43"/>
        <v>19:21:47</v>
      </c>
      <c r="I502" s="8" t="str">
        <f t="shared" si="44"/>
        <v>Evening</v>
      </c>
      <c r="L502">
        <v>0</v>
      </c>
      <c r="M502">
        <v>0</v>
      </c>
      <c r="N502">
        <v>0</v>
      </c>
      <c r="O502" s="4">
        <f t="shared" si="45"/>
        <v>0</v>
      </c>
      <c r="P502" s="5" t="str">
        <f t="shared" si="46"/>
        <v>No engagement</v>
      </c>
      <c r="Q502" t="b">
        <v>0</v>
      </c>
      <c r="R502" t="b">
        <v>0</v>
      </c>
      <c r="S502" t="b">
        <v>0</v>
      </c>
      <c r="T502" s="24" t="str">
        <f t="shared" si="47"/>
        <v>Text only</v>
      </c>
    </row>
    <row r="503" spans="1:20" hidden="1" x14ac:dyDescent="0.2">
      <c r="A503" t="s">
        <v>929</v>
      </c>
      <c r="B503" t="s">
        <v>14</v>
      </c>
      <c r="C503" t="s">
        <v>15</v>
      </c>
      <c r="D503" t="s">
        <v>930</v>
      </c>
      <c r="E503" t="s">
        <v>931</v>
      </c>
      <c r="F5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3" s="27">
        <f t="shared" si="42"/>
        <v>40205</v>
      </c>
      <c r="H503" s="7" t="str">
        <f t="shared" si="43"/>
        <v>04:03:12</v>
      </c>
      <c r="I503" s="8" t="str">
        <f t="shared" si="44"/>
        <v>Early morning</v>
      </c>
      <c r="J503" t="s">
        <v>932</v>
      </c>
      <c r="L503">
        <v>1</v>
      </c>
      <c r="M503">
        <v>0</v>
      </c>
      <c r="N503">
        <v>0</v>
      </c>
      <c r="O503" s="4">
        <f t="shared" si="45"/>
        <v>1</v>
      </c>
      <c r="P503" s="5" t="str">
        <f t="shared" si="46"/>
        <v>Low engagement</v>
      </c>
      <c r="Q503" t="b">
        <v>0</v>
      </c>
      <c r="R503" t="b">
        <v>0</v>
      </c>
      <c r="S503" t="b">
        <v>1</v>
      </c>
      <c r="T503" s="24" t="str">
        <f t="shared" si="47"/>
        <v>Link</v>
      </c>
    </row>
    <row r="504" spans="1:20" hidden="1" x14ac:dyDescent="0.2">
      <c r="A504" t="s">
        <v>909</v>
      </c>
      <c r="B504" t="s">
        <v>14</v>
      </c>
      <c r="C504" t="s">
        <v>15</v>
      </c>
      <c r="D504" t="s">
        <v>910</v>
      </c>
      <c r="E504" t="s">
        <v>911</v>
      </c>
      <c r="F5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4" s="27">
        <f t="shared" si="42"/>
        <v>40207</v>
      </c>
      <c r="H504" s="7" t="str">
        <f t="shared" si="43"/>
        <v>02:24:18</v>
      </c>
      <c r="I504" s="8" t="str">
        <f t="shared" si="44"/>
        <v>Early morning</v>
      </c>
      <c r="J504" t="s">
        <v>905</v>
      </c>
      <c r="L504">
        <v>0</v>
      </c>
      <c r="M504">
        <v>0</v>
      </c>
      <c r="N504">
        <v>0</v>
      </c>
      <c r="O504" s="4">
        <f t="shared" si="45"/>
        <v>0</v>
      </c>
      <c r="P504" s="5" t="str">
        <f t="shared" si="46"/>
        <v>No engagement</v>
      </c>
      <c r="Q504" t="b">
        <v>0</v>
      </c>
      <c r="R504" t="b">
        <v>0</v>
      </c>
      <c r="S504" t="b">
        <v>0</v>
      </c>
      <c r="T504" s="24" t="str">
        <f t="shared" si="47"/>
        <v>Text only</v>
      </c>
    </row>
    <row r="505" spans="1:20" hidden="1" x14ac:dyDescent="0.2">
      <c r="A505" t="s">
        <v>898</v>
      </c>
      <c r="B505" t="s">
        <v>14</v>
      </c>
      <c r="C505" t="s">
        <v>15</v>
      </c>
      <c r="D505" t="s">
        <v>899</v>
      </c>
      <c r="E505" t="s">
        <v>900</v>
      </c>
      <c r="F5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5" s="27">
        <f t="shared" si="42"/>
        <v>40207</v>
      </c>
      <c r="H505" s="7" t="str">
        <f t="shared" si="43"/>
        <v>22:39:32</v>
      </c>
      <c r="I505" s="8" t="str">
        <f t="shared" si="44"/>
        <v>Evening</v>
      </c>
      <c r="J505" t="s">
        <v>901</v>
      </c>
      <c r="L505">
        <v>0</v>
      </c>
      <c r="M505">
        <v>0</v>
      </c>
      <c r="N505">
        <v>0</v>
      </c>
      <c r="O505" s="4">
        <f t="shared" si="45"/>
        <v>0</v>
      </c>
      <c r="P505" s="5" t="str">
        <f t="shared" si="46"/>
        <v>No engagement</v>
      </c>
      <c r="Q505" t="b">
        <v>0</v>
      </c>
      <c r="R505" t="b">
        <v>0</v>
      </c>
      <c r="S505" t="b">
        <v>0</v>
      </c>
      <c r="T505" s="24" t="str">
        <f t="shared" si="47"/>
        <v>Text only</v>
      </c>
    </row>
    <row r="506" spans="1:20" hidden="1" x14ac:dyDescent="0.2">
      <c r="A506" t="s">
        <v>886</v>
      </c>
      <c r="B506" t="s">
        <v>14</v>
      </c>
      <c r="C506" t="s">
        <v>15</v>
      </c>
      <c r="D506" t="s">
        <v>887</v>
      </c>
      <c r="E506" t="s">
        <v>888</v>
      </c>
      <c r="F5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6" s="27">
        <f t="shared" si="42"/>
        <v>40208</v>
      </c>
      <c r="H506" s="7" t="str">
        <f t="shared" si="43"/>
        <v>22:42:08</v>
      </c>
      <c r="I506" s="8" t="str">
        <f t="shared" si="44"/>
        <v>Evening</v>
      </c>
      <c r="L506">
        <v>0</v>
      </c>
      <c r="M506">
        <v>0</v>
      </c>
      <c r="N506">
        <v>0</v>
      </c>
      <c r="O506" s="4">
        <f t="shared" si="45"/>
        <v>0</v>
      </c>
      <c r="P506" s="5" t="str">
        <f t="shared" si="46"/>
        <v>No engagement</v>
      </c>
      <c r="Q506" t="b">
        <v>0</v>
      </c>
      <c r="R506" t="b">
        <v>0</v>
      </c>
      <c r="S506" t="b">
        <v>1</v>
      </c>
      <c r="T506" s="24" t="str">
        <f t="shared" si="47"/>
        <v>Link</v>
      </c>
    </row>
    <row r="507" spans="1:20" hidden="1" x14ac:dyDescent="0.2">
      <c r="A507" t="s">
        <v>883</v>
      </c>
      <c r="B507" t="s">
        <v>14</v>
      </c>
      <c r="C507" t="s">
        <v>15</v>
      </c>
      <c r="D507" t="s">
        <v>884</v>
      </c>
      <c r="E507" t="s">
        <v>885</v>
      </c>
      <c r="F5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7" s="27">
        <f t="shared" si="42"/>
        <v>40208</v>
      </c>
      <c r="H507" s="7" t="str">
        <f t="shared" si="43"/>
        <v>22:45:53</v>
      </c>
      <c r="I507" s="8" t="str">
        <f t="shared" si="44"/>
        <v>Evening</v>
      </c>
      <c r="J507" t="s">
        <v>174</v>
      </c>
      <c r="L507">
        <v>0</v>
      </c>
      <c r="M507">
        <v>0</v>
      </c>
      <c r="N507">
        <v>0</v>
      </c>
      <c r="O507" s="4">
        <f t="shared" si="45"/>
        <v>0</v>
      </c>
      <c r="P507" s="5" t="str">
        <f t="shared" si="46"/>
        <v>No engagement</v>
      </c>
      <c r="Q507" t="b">
        <v>0</v>
      </c>
      <c r="R507" t="b">
        <v>0</v>
      </c>
      <c r="S507" t="b">
        <v>0</v>
      </c>
      <c r="T507" s="24" t="str">
        <f t="shared" si="47"/>
        <v>Text only</v>
      </c>
    </row>
    <row r="508" spans="1:20" hidden="1" x14ac:dyDescent="0.2">
      <c r="A508" t="s">
        <v>877</v>
      </c>
      <c r="B508" t="s">
        <v>14</v>
      </c>
      <c r="C508" t="s">
        <v>15</v>
      </c>
      <c r="D508" t="s">
        <v>878</v>
      </c>
      <c r="E508" t="s">
        <v>879</v>
      </c>
      <c r="F5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8" s="27">
        <f t="shared" si="42"/>
        <v>40208</v>
      </c>
      <c r="H508" s="7" t="str">
        <f t="shared" si="43"/>
        <v>23:02:37</v>
      </c>
      <c r="I508" s="8" t="str">
        <f t="shared" si="44"/>
        <v>Evening</v>
      </c>
      <c r="J508" t="s">
        <v>880</v>
      </c>
      <c r="L508">
        <v>0</v>
      </c>
      <c r="M508">
        <v>0</v>
      </c>
      <c r="N508">
        <v>0</v>
      </c>
      <c r="O508" s="4">
        <f t="shared" si="45"/>
        <v>0</v>
      </c>
      <c r="P508" s="5" t="str">
        <f t="shared" si="46"/>
        <v>No engagement</v>
      </c>
      <c r="Q508" t="b">
        <v>0</v>
      </c>
      <c r="R508" t="b">
        <v>0</v>
      </c>
      <c r="S508" t="b">
        <v>0</v>
      </c>
      <c r="T508" s="24" t="str">
        <f t="shared" si="47"/>
        <v>Text only</v>
      </c>
    </row>
    <row r="509" spans="1:20" hidden="1" x14ac:dyDescent="0.2">
      <c r="A509" t="s">
        <v>874</v>
      </c>
      <c r="B509" t="s">
        <v>14</v>
      </c>
      <c r="C509" t="s">
        <v>15</v>
      </c>
      <c r="D509" t="s">
        <v>875</v>
      </c>
      <c r="E509" t="s">
        <v>876</v>
      </c>
      <c r="F5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09" s="27">
        <f t="shared" si="42"/>
        <v>40208</v>
      </c>
      <c r="H509" s="7" t="str">
        <f t="shared" si="43"/>
        <v>23:02:54</v>
      </c>
      <c r="I509" s="8" t="str">
        <f t="shared" si="44"/>
        <v>Evening</v>
      </c>
      <c r="J509" t="s">
        <v>870</v>
      </c>
      <c r="L509">
        <v>1</v>
      </c>
      <c r="M509">
        <v>0</v>
      </c>
      <c r="N509">
        <v>0</v>
      </c>
      <c r="O509" s="4">
        <f t="shared" si="45"/>
        <v>1</v>
      </c>
      <c r="P509" s="5" t="str">
        <f t="shared" si="46"/>
        <v>Low engagement</v>
      </c>
      <c r="Q509" t="b">
        <v>0</v>
      </c>
      <c r="R509" t="b">
        <v>0</v>
      </c>
      <c r="S509" t="b">
        <v>0</v>
      </c>
      <c r="T509" s="24" t="str">
        <f t="shared" si="47"/>
        <v>Text only</v>
      </c>
    </row>
    <row r="510" spans="1:20" hidden="1" x14ac:dyDescent="0.2">
      <c r="A510" t="s">
        <v>871</v>
      </c>
      <c r="B510" t="s">
        <v>14</v>
      </c>
      <c r="C510" t="s">
        <v>15</v>
      </c>
      <c r="D510" t="s">
        <v>872</v>
      </c>
      <c r="E510" t="s">
        <v>873</v>
      </c>
      <c r="F5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0" s="27">
        <f t="shared" si="42"/>
        <v>40208</v>
      </c>
      <c r="H510" s="7" t="str">
        <f t="shared" si="43"/>
        <v>23:04:00</v>
      </c>
      <c r="I510" s="8" t="str">
        <f t="shared" si="44"/>
        <v>Evening</v>
      </c>
      <c r="J510" t="s">
        <v>588</v>
      </c>
      <c r="L510">
        <v>1</v>
      </c>
      <c r="M510">
        <v>0</v>
      </c>
      <c r="N510">
        <v>0</v>
      </c>
      <c r="O510" s="4">
        <f t="shared" si="45"/>
        <v>1</v>
      </c>
      <c r="P510" s="5" t="str">
        <f t="shared" si="46"/>
        <v>Low engagement</v>
      </c>
      <c r="Q510" t="b">
        <v>0</v>
      </c>
      <c r="R510" t="b">
        <v>0</v>
      </c>
      <c r="S510" t="b">
        <v>0</v>
      </c>
      <c r="T510" s="24" t="str">
        <f t="shared" si="47"/>
        <v>Text only</v>
      </c>
    </row>
    <row r="511" spans="1:20" hidden="1" x14ac:dyDescent="0.2">
      <c r="A511" t="s">
        <v>867</v>
      </c>
      <c r="B511" t="s">
        <v>14</v>
      </c>
      <c r="C511" t="s">
        <v>15</v>
      </c>
      <c r="D511" t="s">
        <v>868</v>
      </c>
      <c r="E511" t="s">
        <v>869</v>
      </c>
      <c r="F5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1" s="27">
        <f t="shared" si="42"/>
        <v>40208</v>
      </c>
      <c r="H511" s="7" t="str">
        <f t="shared" si="43"/>
        <v>23:06:10</v>
      </c>
      <c r="I511" s="8" t="str">
        <f t="shared" si="44"/>
        <v>Evening</v>
      </c>
      <c r="J511" t="s">
        <v>870</v>
      </c>
      <c r="L511">
        <v>0</v>
      </c>
      <c r="M511">
        <v>0</v>
      </c>
      <c r="N511">
        <v>0</v>
      </c>
      <c r="O511" s="4">
        <f t="shared" si="45"/>
        <v>0</v>
      </c>
      <c r="P511" s="5" t="str">
        <f t="shared" si="46"/>
        <v>No engagement</v>
      </c>
      <c r="Q511" t="b">
        <v>0</v>
      </c>
      <c r="R511" t="b">
        <v>0</v>
      </c>
      <c r="S511" t="b">
        <v>0</v>
      </c>
      <c r="T511" s="24" t="str">
        <f t="shared" si="47"/>
        <v>Text only</v>
      </c>
    </row>
    <row r="512" spans="1:20" hidden="1" x14ac:dyDescent="0.2">
      <c r="A512" t="s">
        <v>855</v>
      </c>
      <c r="B512" t="s">
        <v>14</v>
      </c>
      <c r="C512" t="s">
        <v>15</v>
      </c>
      <c r="D512" t="s">
        <v>856</v>
      </c>
      <c r="E512" t="s">
        <v>857</v>
      </c>
      <c r="F5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2" s="27">
        <f t="shared" si="42"/>
        <v>40208</v>
      </c>
      <c r="H512" s="7" t="str">
        <f t="shared" si="43"/>
        <v>23:19:10</v>
      </c>
      <c r="I512" s="8" t="str">
        <f t="shared" si="44"/>
        <v>Evening</v>
      </c>
      <c r="J512" t="s">
        <v>858</v>
      </c>
      <c r="L512">
        <v>0</v>
      </c>
      <c r="M512">
        <v>0</v>
      </c>
      <c r="N512">
        <v>0</v>
      </c>
      <c r="O512" s="4">
        <f t="shared" si="45"/>
        <v>0</v>
      </c>
      <c r="P512" s="5" t="str">
        <f t="shared" si="46"/>
        <v>No engagement</v>
      </c>
      <c r="Q512" t="b">
        <v>0</v>
      </c>
      <c r="R512" t="b">
        <v>0</v>
      </c>
      <c r="S512" t="b">
        <v>0</v>
      </c>
      <c r="T512" s="24" t="str">
        <f t="shared" si="47"/>
        <v>Text only</v>
      </c>
    </row>
    <row r="513" spans="1:20" hidden="1" x14ac:dyDescent="0.2">
      <c r="A513" t="s">
        <v>852</v>
      </c>
      <c r="B513" t="s">
        <v>14</v>
      </c>
      <c r="C513" t="s">
        <v>15</v>
      </c>
      <c r="D513" t="s">
        <v>853</v>
      </c>
      <c r="E513" t="s">
        <v>854</v>
      </c>
      <c r="F5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3" s="27">
        <f t="shared" si="42"/>
        <v>40208</v>
      </c>
      <c r="H513" s="7" t="str">
        <f t="shared" si="43"/>
        <v>23:20:53</v>
      </c>
      <c r="I513" s="8" t="str">
        <f t="shared" si="44"/>
        <v>Evening</v>
      </c>
      <c r="J513" t="s">
        <v>482</v>
      </c>
      <c r="L513">
        <v>0</v>
      </c>
      <c r="M513">
        <v>0</v>
      </c>
      <c r="N513">
        <v>0</v>
      </c>
      <c r="O513" s="4">
        <f t="shared" si="45"/>
        <v>0</v>
      </c>
      <c r="P513" s="5" t="str">
        <f t="shared" si="46"/>
        <v>No engagement</v>
      </c>
      <c r="Q513" t="b">
        <v>0</v>
      </c>
      <c r="R513" t="b">
        <v>0</v>
      </c>
      <c r="S513" t="b">
        <v>1</v>
      </c>
      <c r="T513" s="24" t="str">
        <f t="shared" si="47"/>
        <v>Link</v>
      </c>
    </row>
    <row r="514" spans="1:20" hidden="1" x14ac:dyDescent="0.2">
      <c r="A514" t="s">
        <v>848</v>
      </c>
      <c r="B514" t="s">
        <v>14</v>
      </c>
      <c r="C514" t="s">
        <v>15</v>
      </c>
      <c r="D514" t="s">
        <v>849</v>
      </c>
      <c r="E514" t="s">
        <v>850</v>
      </c>
      <c r="F5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4" s="27">
        <f t="shared" ref="G514:G577" si="48">DATEVALUE((LEFT(E514,10)))</f>
        <v>40208</v>
      </c>
      <c r="H514" s="7" t="str">
        <f t="shared" ref="H514:H577" si="49">MID(E514,12,8)</f>
        <v>23:21:36</v>
      </c>
      <c r="I514" s="8" t="str">
        <f t="shared" ref="I514:I577" si="50">IF(HOUR(H514)&lt;7,"Early morning",
IF(HOUR(H514)&lt;11,"Morning",
IF(HOUR(H514)&lt;14,"Mid-day",
IF(HOUR(H514)&lt;18,"Afternoon","Evening"))))</f>
        <v>Evening</v>
      </c>
      <c r="J514" t="s">
        <v>851</v>
      </c>
      <c r="L514">
        <v>0</v>
      </c>
      <c r="M514">
        <v>0</v>
      </c>
      <c r="N514">
        <v>0</v>
      </c>
      <c r="O514" s="4">
        <f t="shared" ref="O514:O577" si="51">L514+M514+N514</f>
        <v>0</v>
      </c>
      <c r="P514" s="5" t="str">
        <f t="shared" ref="P514:P577" si="52">IF(O514&lt;1,"No engagement", IF(O514&lt;5,"Low engagement", IF(O514&lt;10,"Moderate engagement", "High engagement")))</f>
        <v>No engagement</v>
      </c>
      <c r="Q514" t="b">
        <v>0</v>
      </c>
      <c r="R514" t="b">
        <v>0</v>
      </c>
      <c r="S514" t="b">
        <v>0</v>
      </c>
      <c r="T514" s="24" t="str">
        <f t="shared" ref="T514:T577" si="53">IF(Q514=TRUE,"Photo",IF(R514=TRUE,"Video",IF(S514=TRUE,"Link",("Text only"))))</f>
        <v>Text only</v>
      </c>
    </row>
    <row r="515" spans="1:20" hidden="1" x14ac:dyDescent="0.2">
      <c r="A515" t="s">
        <v>842</v>
      </c>
      <c r="B515" t="s">
        <v>14</v>
      </c>
      <c r="C515" t="s">
        <v>15</v>
      </c>
      <c r="D515" t="s">
        <v>843</v>
      </c>
      <c r="E515" t="s">
        <v>844</v>
      </c>
      <c r="F5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5" s="27">
        <f t="shared" si="48"/>
        <v>40208</v>
      </c>
      <c r="H515" s="7" t="str">
        <f t="shared" si="49"/>
        <v>23:35:26</v>
      </c>
      <c r="I515" s="8" t="str">
        <f t="shared" si="50"/>
        <v>Evening</v>
      </c>
      <c r="J515" t="s">
        <v>482</v>
      </c>
      <c r="L515">
        <v>1</v>
      </c>
      <c r="M515">
        <v>0</v>
      </c>
      <c r="N515">
        <v>0</v>
      </c>
      <c r="O515" s="4">
        <f t="shared" si="51"/>
        <v>1</v>
      </c>
      <c r="P515" s="5" t="str">
        <f t="shared" si="52"/>
        <v>Low engagement</v>
      </c>
      <c r="Q515" t="b">
        <v>0</v>
      </c>
      <c r="R515" t="b">
        <v>0</v>
      </c>
      <c r="S515" t="b">
        <v>1</v>
      </c>
      <c r="T515" s="24" t="str">
        <f t="shared" si="53"/>
        <v>Link</v>
      </c>
    </row>
    <row r="516" spans="1:20" hidden="1" x14ac:dyDescent="0.2">
      <c r="A516" t="s">
        <v>838</v>
      </c>
      <c r="B516" t="s">
        <v>14</v>
      </c>
      <c r="C516" t="s">
        <v>15</v>
      </c>
      <c r="D516" t="s">
        <v>839</v>
      </c>
      <c r="E516" t="s">
        <v>840</v>
      </c>
      <c r="F5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6" s="27">
        <f t="shared" si="48"/>
        <v>40209</v>
      </c>
      <c r="H516" s="7" t="str">
        <f t="shared" si="49"/>
        <v>02:12:50</v>
      </c>
      <c r="I516" s="8" t="str">
        <f t="shared" si="50"/>
        <v>Early morning</v>
      </c>
      <c r="J516" t="s">
        <v>841</v>
      </c>
      <c r="L516">
        <v>0</v>
      </c>
      <c r="M516">
        <v>0</v>
      </c>
      <c r="N516">
        <v>0</v>
      </c>
      <c r="O516" s="4">
        <f t="shared" si="51"/>
        <v>0</v>
      </c>
      <c r="P516" s="5" t="str">
        <f t="shared" si="52"/>
        <v>No engagement</v>
      </c>
      <c r="Q516" t="b">
        <v>0</v>
      </c>
      <c r="R516" t="b">
        <v>0</v>
      </c>
      <c r="S516" t="b">
        <v>0</v>
      </c>
      <c r="T516" s="24" t="str">
        <f t="shared" si="53"/>
        <v>Text only</v>
      </c>
    </row>
    <row r="517" spans="1:20" hidden="1" x14ac:dyDescent="0.2">
      <c r="A517" t="s">
        <v>827</v>
      </c>
      <c r="B517" t="s">
        <v>14</v>
      </c>
      <c r="C517" t="s">
        <v>15</v>
      </c>
      <c r="D517" t="s">
        <v>828</v>
      </c>
      <c r="E517" t="s">
        <v>829</v>
      </c>
      <c r="F5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7" s="27">
        <f t="shared" si="48"/>
        <v>40210</v>
      </c>
      <c r="H517" s="7" t="str">
        <f t="shared" si="49"/>
        <v>13:34:07</v>
      </c>
      <c r="I517" s="8" t="str">
        <f t="shared" si="50"/>
        <v>Mid-day</v>
      </c>
      <c r="J517" t="s">
        <v>826</v>
      </c>
      <c r="L517">
        <v>0</v>
      </c>
      <c r="M517">
        <v>0</v>
      </c>
      <c r="N517">
        <v>0</v>
      </c>
      <c r="O517" s="4">
        <f t="shared" si="51"/>
        <v>0</v>
      </c>
      <c r="P517" s="5" t="str">
        <f t="shared" si="52"/>
        <v>No engagement</v>
      </c>
      <c r="Q517" t="b">
        <v>0</v>
      </c>
      <c r="R517" t="b">
        <v>0</v>
      </c>
      <c r="S517" t="b">
        <v>0</v>
      </c>
      <c r="T517" s="24" t="str">
        <f t="shared" si="53"/>
        <v>Text only</v>
      </c>
    </row>
    <row r="518" spans="1:20" hidden="1" x14ac:dyDescent="0.2">
      <c r="A518" t="s">
        <v>823</v>
      </c>
      <c r="B518" t="s">
        <v>14</v>
      </c>
      <c r="C518" t="s">
        <v>15</v>
      </c>
      <c r="D518" t="s">
        <v>824</v>
      </c>
      <c r="E518" t="s">
        <v>825</v>
      </c>
      <c r="F5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8" s="27">
        <f t="shared" si="48"/>
        <v>40210</v>
      </c>
      <c r="H518" s="7" t="str">
        <f t="shared" si="49"/>
        <v>13:35:00</v>
      </c>
      <c r="I518" s="8" t="str">
        <f t="shared" si="50"/>
        <v>Mid-day</v>
      </c>
      <c r="J518" t="s">
        <v>826</v>
      </c>
      <c r="L518">
        <v>0</v>
      </c>
      <c r="M518">
        <v>0</v>
      </c>
      <c r="N518">
        <v>0</v>
      </c>
      <c r="O518" s="4">
        <f t="shared" si="51"/>
        <v>0</v>
      </c>
      <c r="P518" s="5" t="str">
        <f t="shared" si="52"/>
        <v>No engagement</v>
      </c>
      <c r="Q518" t="b">
        <v>0</v>
      </c>
      <c r="R518" t="b">
        <v>0</v>
      </c>
      <c r="S518" t="b">
        <v>1</v>
      </c>
      <c r="T518" s="24" t="str">
        <f t="shared" si="53"/>
        <v>Link</v>
      </c>
    </row>
    <row r="519" spans="1:20" hidden="1" x14ac:dyDescent="0.2">
      <c r="A519" t="s">
        <v>802</v>
      </c>
      <c r="B519" t="s">
        <v>14</v>
      </c>
      <c r="C519" t="s">
        <v>15</v>
      </c>
      <c r="D519" t="s">
        <v>803</v>
      </c>
      <c r="E519" t="s">
        <v>804</v>
      </c>
      <c r="F5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19" s="27">
        <f t="shared" si="48"/>
        <v>40210</v>
      </c>
      <c r="H519" s="7" t="str">
        <f t="shared" si="49"/>
        <v>19:15:51</v>
      </c>
      <c r="I519" s="8" t="str">
        <f t="shared" si="50"/>
        <v>Evening</v>
      </c>
      <c r="J519" t="s">
        <v>174</v>
      </c>
      <c r="L519">
        <v>0</v>
      </c>
      <c r="M519">
        <v>0</v>
      </c>
      <c r="N519">
        <v>0</v>
      </c>
      <c r="O519" s="4">
        <f t="shared" si="51"/>
        <v>0</v>
      </c>
      <c r="P519" s="5" t="str">
        <f t="shared" si="52"/>
        <v>No engagement</v>
      </c>
      <c r="Q519" t="b">
        <v>0</v>
      </c>
      <c r="R519" t="b">
        <v>0</v>
      </c>
      <c r="S519" t="b">
        <v>0</v>
      </c>
      <c r="T519" s="24" t="str">
        <f t="shared" si="53"/>
        <v>Text only</v>
      </c>
    </row>
    <row r="520" spans="1:20" hidden="1" x14ac:dyDescent="0.2">
      <c r="A520" t="s">
        <v>799</v>
      </c>
      <c r="B520" t="s">
        <v>14</v>
      </c>
      <c r="C520" t="s">
        <v>15</v>
      </c>
      <c r="D520" t="s">
        <v>800</v>
      </c>
      <c r="E520" t="s">
        <v>801</v>
      </c>
      <c r="F5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0" s="27">
        <f t="shared" si="48"/>
        <v>40210</v>
      </c>
      <c r="H520" s="7" t="str">
        <f t="shared" si="49"/>
        <v>19:35:13</v>
      </c>
      <c r="I520" s="8" t="str">
        <f t="shared" si="50"/>
        <v>Evening</v>
      </c>
      <c r="L520">
        <v>0</v>
      </c>
      <c r="M520">
        <v>0</v>
      </c>
      <c r="N520">
        <v>0</v>
      </c>
      <c r="O520" s="4">
        <f t="shared" si="51"/>
        <v>0</v>
      </c>
      <c r="P520" s="5" t="str">
        <f t="shared" si="52"/>
        <v>No engagement</v>
      </c>
      <c r="Q520" t="b">
        <v>0</v>
      </c>
      <c r="R520" t="b">
        <v>0</v>
      </c>
      <c r="S520" t="b">
        <v>0</v>
      </c>
      <c r="T520" s="24" t="str">
        <f t="shared" si="53"/>
        <v>Text only</v>
      </c>
    </row>
    <row r="521" spans="1:20" hidden="1" x14ac:dyDescent="0.2">
      <c r="A521" t="s">
        <v>793</v>
      </c>
      <c r="B521" t="s">
        <v>14</v>
      </c>
      <c r="C521" t="s">
        <v>15</v>
      </c>
      <c r="D521" t="s">
        <v>794</v>
      </c>
      <c r="E521" t="s">
        <v>795</v>
      </c>
      <c r="F5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1" s="27">
        <f t="shared" si="48"/>
        <v>40210</v>
      </c>
      <c r="H521" s="7" t="str">
        <f t="shared" si="49"/>
        <v>19:51:14</v>
      </c>
      <c r="I521" s="8" t="str">
        <f t="shared" si="50"/>
        <v>Evening</v>
      </c>
      <c r="L521">
        <v>1</v>
      </c>
      <c r="M521">
        <v>0</v>
      </c>
      <c r="N521">
        <v>0</v>
      </c>
      <c r="O521" s="4">
        <f t="shared" si="51"/>
        <v>1</v>
      </c>
      <c r="P521" s="5" t="str">
        <f t="shared" si="52"/>
        <v>Low engagement</v>
      </c>
      <c r="Q521" t="b">
        <v>0</v>
      </c>
      <c r="R521" t="b">
        <v>0</v>
      </c>
      <c r="S521" t="b">
        <v>0</v>
      </c>
      <c r="T521" s="24" t="str">
        <f t="shared" si="53"/>
        <v>Text only</v>
      </c>
    </row>
    <row r="522" spans="1:20" hidden="1" x14ac:dyDescent="0.2">
      <c r="A522" t="s">
        <v>784</v>
      </c>
      <c r="B522" t="s">
        <v>14</v>
      </c>
      <c r="C522" t="s">
        <v>15</v>
      </c>
      <c r="D522" t="s">
        <v>785</v>
      </c>
      <c r="E522" t="s">
        <v>786</v>
      </c>
      <c r="F5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2" s="27">
        <f t="shared" si="48"/>
        <v>40210</v>
      </c>
      <c r="H522" s="7" t="str">
        <f t="shared" si="49"/>
        <v>19:59:41</v>
      </c>
      <c r="I522" s="8" t="str">
        <f t="shared" si="50"/>
        <v>Evening</v>
      </c>
      <c r="J522" t="s">
        <v>242</v>
      </c>
      <c r="L522">
        <v>0</v>
      </c>
      <c r="M522">
        <v>0</v>
      </c>
      <c r="N522">
        <v>0</v>
      </c>
      <c r="O522" s="4">
        <f t="shared" si="51"/>
        <v>0</v>
      </c>
      <c r="P522" s="5" t="str">
        <f t="shared" si="52"/>
        <v>No engagement</v>
      </c>
      <c r="Q522" t="b">
        <v>0</v>
      </c>
      <c r="R522" t="b">
        <v>0</v>
      </c>
      <c r="S522" t="b">
        <v>1</v>
      </c>
      <c r="T522" s="24" t="str">
        <f t="shared" si="53"/>
        <v>Link</v>
      </c>
    </row>
    <row r="523" spans="1:20" hidden="1" x14ac:dyDescent="0.2">
      <c r="A523" t="s">
        <v>781</v>
      </c>
      <c r="B523" t="s">
        <v>14</v>
      </c>
      <c r="C523" t="s">
        <v>15</v>
      </c>
      <c r="D523" t="s">
        <v>782</v>
      </c>
      <c r="E523" t="s">
        <v>783</v>
      </c>
      <c r="F5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3" s="27">
        <f t="shared" si="48"/>
        <v>40210</v>
      </c>
      <c r="H523" s="7" t="str">
        <f t="shared" si="49"/>
        <v>20:00:58</v>
      </c>
      <c r="I523" s="8" t="str">
        <f t="shared" si="50"/>
        <v>Evening</v>
      </c>
      <c r="J523" t="s">
        <v>735</v>
      </c>
      <c r="L523">
        <v>0</v>
      </c>
      <c r="M523">
        <v>0</v>
      </c>
      <c r="N523">
        <v>0</v>
      </c>
      <c r="O523" s="4">
        <f t="shared" si="51"/>
        <v>0</v>
      </c>
      <c r="P523" s="5" t="str">
        <f t="shared" si="52"/>
        <v>No engagement</v>
      </c>
      <c r="Q523" t="b">
        <v>0</v>
      </c>
      <c r="R523" t="b">
        <v>0</v>
      </c>
      <c r="S523" t="b">
        <v>0</v>
      </c>
      <c r="T523" s="24" t="str">
        <f t="shared" si="53"/>
        <v>Text only</v>
      </c>
    </row>
    <row r="524" spans="1:20" hidden="1" x14ac:dyDescent="0.2">
      <c r="A524" t="s">
        <v>778</v>
      </c>
      <c r="B524" t="s">
        <v>14</v>
      </c>
      <c r="C524" t="s">
        <v>15</v>
      </c>
      <c r="D524" t="s">
        <v>779</v>
      </c>
      <c r="E524" t="s">
        <v>780</v>
      </c>
      <c r="F5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4" s="27">
        <f t="shared" si="48"/>
        <v>40210</v>
      </c>
      <c r="H524" s="7" t="str">
        <f t="shared" si="49"/>
        <v>20:02:58</v>
      </c>
      <c r="I524" s="8" t="str">
        <f t="shared" si="50"/>
        <v>Evening</v>
      </c>
      <c r="J524" t="s">
        <v>777</v>
      </c>
      <c r="L524">
        <v>0</v>
      </c>
      <c r="M524">
        <v>0</v>
      </c>
      <c r="N524">
        <v>0</v>
      </c>
      <c r="O524" s="4">
        <f t="shared" si="51"/>
        <v>0</v>
      </c>
      <c r="P524" s="5" t="str">
        <f t="shared" si="52"/>
        <v>No engagement</v>
      </c>
      <c r="Q524" t="b">
        <v>0</v>
      </c>
      <c r="R524" t="b">
        <v>0</v>
      </c>
      <c r="S524" t="b">
        <v>0</v>
      </c>
      <c r="T524" s="24" t="str">
        <f t="shared" si="53"/>
        <v>Text only</v>
      </c>
    </row>
    <row r="525" spans="1:20" hidden="1" x14ac:dyDescent="0.2">
      <c r="A525" t="s">
        <v>771</v>
      </c>
      <c r="B525" t="s">
        <v>14</v>
      </c>
      <c r="C525" t="s">
        <v>15</v>
      </c>
      <c r="D525" t="s">
        <v>772</v>
      </c>
      <c r="E525" t="s">
        <v>773</v>
      </c>
      <c r="F5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5" s="27">
        <f t="shared" si="48"/>
        <v>40210</v>
      </c>
      <c r="H525" s="7" t="str">
        <f t="shared" si="49"/>
        <v>20:05:13</v>
      </c>
      <c r="I525" s="8" t="str">
        <f t="shared" si="50"/>
        <v>Evening</v>
      </c>
      <c r="J525" t="s">
        <v>664</v>
      </c>
      <c r="L525">
        <v>0</v>
      </c>
      <c r="M525">
        <v>0</v>
      </c>
      <c r="N525">
        <v>0</v>
      </c>
      <c r="O525" s="4">
        <f t="shared" si="51"/>
        <v>0</v>
      </c>
      <c r="P525" s="5" t="str">
        <f t="shared" si="52"/>
        <v>No engagement</v>
      </c>
      <c r="Q525" t="b">
        <v>0</v>
      </c>
      <c r="R525" t="b">
        <v>0</v>
      </c>
      <c r="S525" t="b">
        <v>0</v>
      </c>
      <c r="T525" s="24" t="str">
        <f t="shared" si="53"/>
        <v>Text only</v>
      </c>
    </row>
    <row r="526" spans="1:20" hidden="1" x14ac:dyDescent="0.2">
      <c r="A526" t="s">
        <v>768</v>
      </c>
      <c r="B526" t="s">
        <v>14</v>
      </c>
      <c r="C526" t="s">
        <v>15</v>
      </c>
      <c r="D526" t="s">
        <v>769</v>
      </c>
      <c r="E526" t="s">
        <v>770</v>
      </c>
      <c r="F5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6" s="27">
        <f t="shared" si="48"/>
        <v>40210</v>
      </c>
      <c r="H526" s="7" t="str">
        <f t="shared" si="49"/>
        <v>20:07:06</v>
      </c>
      <c r="I526" s="8" t="str">
        <f t="shared" si="50"/>
        <v>Evening</v>
      </c>
      <c r="J526" t="s">
        <v>735</v>
      </c>
      <c r="L526">
        <v>0</v>
      </c>
      <c r="M526">
        <v>0</v>
      </c>
      <c r="N526">
        <v>0</v>
      </c>
      <c r="O526" s="4">
        <f t="shared" si="51"/>
        <v>0</v>
      </c>
      <c r="P526" s="5" t="str">
        <f t="shared" si="52"/>
        <v>No engagement</v>
      </c>
      <c r="Q526" t="b">
        <v>0</v>
      </c>
      <c r="R526" t="b">
        <v>0</v>
      </c>
      <c r="S526" t="b">
        <v>0</v>
      </c>
      <c r="T526" s="24" t="str">
        <f t="shared" si="53"/>
        <v>Text only</v>
      </c>
    </row>
    <row r="527" spans="1:20" hidden="1" x14ac:dyDescent="0.2">
      <c r="A527" t="s">
        <v>765</v>
      </c>
      <c r="B527" t="s">
        <v>14</v>
      </c>
      <c r="C527" t="s">
        <v>15</v>
      </c>
      <c r="D527" t="s">
        <v>766</v>
      </c>
      <c r="E527" t="s">
        <v>767</v>
      </c>
      <c r="F5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7" s="27">
        <f t="shared" si="48"/>
        <v>40210</v>
      </c>
      <c r="H527" s="7" t="str">
        <f t="shared" si="49"/>
        <v>20:10:37</v>
      </c>
      <c r="I527" s="8" t="str">
        <f t="shared" si="50"/>
        <v>Evening</v>
      </c>
      <c r="J527" t="s">
        <v>725</v>
      </c>
      <c r="L527">
        <v>0</v>
      </c>
      <c r="M527">
        <v>0</v>
      </c>
      <c r="N527">
        <v>0</v>
      </c>
      <c r="O527" s="4">
        <f t="shared" si="51"/>
        <v>0</v>
      </c>
      <c r="P527" s="5" t="str">
        <f t="shared" si="52"/>
        <v>No engagement</v>
      </c>
      <c r="Q527" t="b">
        <v>0</v>
      </c>
      <c r="R527" t="b">
        <v>0</v>
      </c>
      <c r="S527" t="b">
        <v>0</v>
      </c>
      <c r="T527" s="24" t="str">
        <f t="shared" si="53"/>
        <v>Text only</v>
      </c>
    </row>
    <row r="528" spans="1:20" hidden="1" x14ac:dyDescent="0.2">
      <c r="A528" t="s">
        <v>762</v>
      </c>
      <c r="B528" t="s">
        <v>14</v>
      </c>
      <c r="C528" t="s">
        <v>15</v>
      </c>
      <c r="D528" t="s">
        <v>763</v>
      </c>
      <c r="E528" t="s">
        <v>764</v>
      </c>
      <c r="F5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8" s="27">
        <f t="shared" si="48"/>
        <v>40210</v>
      </c>
      <c r="H528" s="7" t="str">
        <f t="shared" si="49"/>
        <v>20:11:56</v>
      </c>
      <c r="I528" s="8" t="str">
        <f t="shared" si="50"/>
        <v>Evening</v>
      </c>
      <c r="J528" t="s">
        <v>664</v>
      </c>
      <c r="L528">
        <v>0</v>
      </c>
      <c r="M528">
        <v>0</v>
      </c>
      <c r="N528">
        <v>0</v>
      </c>
      <c r="O528" s="4">
        <f t="shared" si="51"/>
        <v>0</v>
      </c>
      <c r="P528" s="5" t="str">
        <f t="shared" si="52"/>
        <v>No engagement</v>
      </c>
      <c r="Q528" t="b">
        <v>0</v>
      </c>
      <c r="R528" t="b">
        <v>0</v>
      </c>
      <c r="S528" t="b">
        <v>0</v>
      </c>
      <c r="T528" s="24" t="str">
        <f t="shared" si="53"/>
        <v>Text only</v>
      </c>
    </row>
    <row r="529" spans="1:20" hidden="1" x14ac:dyDescent="0.2">
      <c r="A529" t="s">
        <v>759</v>
      </c>
      <c r="B529" t="s">
        <v>14</v>
      </c>
      <c r="C529" t="s">
        <v>15</v>
      </c>
      <c r="D529" t="s">
        <v>760</v>
      </c>
      <c r="E529" t="s">
        <v>761</v>
      </c>
      <c r="F5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29" s="27">
        <f t="shared" si="48"/>
        <v>40210</v>
      </c>
      <c r="H529" s="7" t="str">
        <f t="shared" si="49"/>
        <v>20:14:50</v>
      </c>
      <c r="I529" s="8" t="str">
        <f t="shared" si="50"/>
        <v>Evening</v>
      </c>
      <c r="J529" t="s">
        <v>292</v>
      </c>
      <c r="L529">
        <v>0</v>
      </c>
      <c r="M529">
        <v>0</v>
      </c>
      <c r="N529">
        <v>0</v>
      </c>
      <c r="O529" s="4">
        <f t="shared" si="51"/>
        <v>0</v>
      </c>
      <c r="P529" s="5" t="str">
        <f t="shared" si="52"/>
        <v>No engagement</v>
      </c>
      <c r="Q529" t="b">
        <v>0</v>
      </c>
      <c r="R529" t="b">
        <v>0</v>
      </c>
      <c r="S529" t="b">
        <v>0</v>
      </c>
      <c r="T529" s="24" t="str">
        <f t="shared" si="53"/>
        <v>Text only</v>
      </c>
    </row>
    <row r="530" spans="1:20" hidden="1" x14ac:dyDescent="0.2">
      <c r="A530" t="s">
        <v>756</v>
      </c>
      <c r="B530" t="s">
        <v>14</v>
      </c>
      <c r="C530" t="s">
        <v>15</v>
      </c>
      <c r="D530" t="s">
        <v>757</v>
      </c>
      <c r="E530" t="s">
        <v>758</v>
      </c>
      <c r="F5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30" s="27">
        <f t="shared" si="48"/>
        <v>40210</v>
      </c>
      <c r="H530" s="7" t="str">
        <f t="shared" si="49"/>
        <v>20:15:40</v>
      </c>
      <c r="I530" s="8" t="str">
        <f t="shared" si="50"/>
        <v>Evening</v>
      </c>
      <c r="J530" t="s">
        <v>720</v>
      </c>
      <c r="L530">
        <v>0</v>
      </c>
      <c r="M530">
        <v>0</v>
      </c>
      <c r="N530">
        <v>0</v>
      </c>
      <c r="O530" s="4">
        <f t="shared" si="51"/>
        <v>0</v>
      </c>
      <c r="P530" s="5" t="str">
        <f t="shared" si="52"/>
        <v>No engagement</v>
      </c>
      <c r="Q530" t="b">
        <v>0</v>
      </c>
      <c r="R530" t="b">
        <v>0</v>
      </c>
      <c r="S530" t="b">
        <v>0</v>
      </c>
      <c r="T530" s="24" t="str">
        <f t="shared" si="53"/>
        <v>Text only</v>
      </c>
    </row>
    <row r="531" spans="1:20" hidden="1" x14ac:dyDescent="0.2">
      <c r="A531" t="s">
        <v>752</v>
      </c>
      <c r="B531" t="s">
        <v>14</v>
      </c>
      <c r="C531" t="s">
        <v>15</v>
      </c>
      <c r="D531" t="s">
        <v>753</v>
      </c>
      <c r="E531" t="s">
        <v>754</v>
      </c>
      <c r="F5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31" s="27">
        <f t="shared" si="48"/>
        <v>40210</v>
      </c>
      <c r="H531" s="7" t="str">
        <f t="shared" si="49"/>
        <v>20:18:37</v>
      </c>
      <c r="I531" s="8" t="str">
        <f t="shared" si="50"/>
        <v>Evening</v>
      </c>
      <c r="J531" t="s">
        <v>755</v>
      </c>
      <c r="L531">
        <v>0</v>
      </c>
      <c r="M531">
        <v>0</v>
      </c>
      <c r="N531">
        <v>0</v>
      </c>
      <c r="O531" s="4">
        <f t="shared" si="51"/>
        <v>0</v>
      </c>
      <c r="P531" s="5" t="str">
        <f t="shared" si="52"/>
        <v>No engagement</v>
      </c>
      <c r="Q531" t="b">
        <v>0</v>
      </c>
      <c r="R531" t="b">
        <v>0</v>
      </c>
      <c r="S531" t="b">
        <v>0</v>
      </c>
      <c r="T531" s="24" t="str">
        <f t="shared" si="53"/>
        <v>Text only</v>
      </c>
    </row>
    <row r="532" spans="1:20" hidden="1" x14ac:dyDescent="0.2">
      <c r="A532" t="s">
        <v>749</v>
      </c>
      <c r="B532" t="s">
        <v>14</v>
      </c>
      <c r="C532" t="s">
        <v>15</v>
      </c>
      <c r="D532" t="s">
        <v>750</v>
      </c>
      <c r="E532" t="s">
        <v>751</v>
      </c>
      <c r="F5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32" s="27">
        <f t="shared" si="48"/>
        <v>40210</v>
      </c>
      <c r="H532" s="7" t="str">
        <f t="shared" si="49"/>
        <v>20:20:13</v>
      </c>
      <c r="I532" s="8" t="str">
        <f t="shared" si="50"/>
        <v>Evening</v>
      </c>
      <c r="L532">
        <v>0</v>
      </c>
      <c r="M532">
        <v>0</v>
      </c>
      <c r="N532">
        <v>0</v>
      </c>
      <c r="O532" s="4">
        <f t="shared" si="51"/>
        <v>0</v>
      </c>
      <c r="P532" s="5" t="str">
        <f t="shared" si="52"/>
        <v>No engagement</v>
      </c>
      <c r="Q532" t="b">
        <v>0</v>
      </c>
      <c r="R532" t="b">
        <v>0</v>
      </c>
      <c r="S532" t="b">
        <v>0</v>
      </c>
      <c r="T532" s="24" t="str">
        <f t="shared" si="53"/>
        <v>Text only</v>
      </c>
    </row>
    <row r="533" spans="1:20" hidden="1" x14ac:dyDescent="0.2">
      <c r="A533" t="s">
        <v>746</v>
      </c>
      <c r="B533" t="s">
        <v>14</v>
      </c>
      <c r="C533" t="s">
        <v>15</v>
      </c>
      <c r="D533" t="s">
        <v>747</v>
      </c>
      <c r="E533" t="s">
        <v>748</v>
      </c>
      <c r="F5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33" s="27">
        <f t="shared" si="48"/>
        <v>40210</v>
      </c>
      <c r="H533" s="7" t="str">
        <f t="shared" si="49"/>
        <v>20:21:57</v>
      </c>
      <c r="I533" s="8" t="str">
        <f t="shared" si="50"/>
        <v>Evening</v>
      </c>
      <c r="J533" t="s">
        <v>592</v>
      </c>
      <c r="L533">
        <v>0</v>
      </c>
      <c r="M533">
        <v>0</v>
      </c>
      <c r="N533">
        <v>0</v>
      </c>
      <c r="O533" s="4">
        <f t="shared" si="51"/>
        <v>0</v>
      </c>
      <c r="P533" s="5" t="str">
        <f t="shared" si="52"/>
        <v>No engagement</v>
      </c>
      <c r="Q533" t="b">
        <v>0</v>
      </c>
      <c r="R533" t="b">
        <v>0</v>
      </c>
      <c r="S533" t="b">
        <v>0</v>
      </c>
      <c r="T533" s="24" t="str">
        <f t="shared" si="53"/>
        <v>Text only</v>
      </c>
    </row>
    <row r="534" spans="1:20" hidden="1" x14ac:dyDescent="0.2">
      <c r="A534" t="s">
        <v>710</v>
      </c>
      <c r="B534" t="s">
        <v>14</v>
      </c>
      <c r="C534" t="s">
        <v>15</v>
      </c>
      <c r="D534" t="s">
        <v>711</v>
      </c>
      <c r="E534" t="s">
        <v>712</v>
      </c>
      <c r="F5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Recall 3</v>
      </c>
      <c r="G534" s="27">
        <f t="shared" si="48"/>
        <v>40212</v>
      </c>
      <c r="H534" s="7" t="str">
        <f t="shared" si="49"/>
        <v>17:49:27</v>
      </c>
      <c r="I534" s="8" t="str">
        <f t="shared" si="50"/>
        <v>Afternoon</v>
      </c>
      <c r="J534" t="s">
        <v>713</v>
      </c>
      <c r="L534">
        <v>0</v>
      </c>
      <c r="M534">
        <v>0</v>
      </c>
      <c r="N534">
        <v>0</v>
      </c>
      <c r="O534" s="4">
        <f t="shared" si="51"/>
        <v>0</v>
      </c>
      <c r="P534" s="5" t="str">
        <f t="shared" si="52"/>
        <v>No engagement</v>
      </c>
      <c r="Q534" t="b">
        <v>0</v>
      </c>
      <c r="R534" t="b">
        <v>0</v>
      </c>
      <c r="S534" t="b">
        <v>0</v>
      </c>
      <c r="T534" s="24" t="str">
        <f t="shared" si="53"/>
        <v>Text only</v>
      </c>
    </row>
    <row r="535" spans="1:20" x14ac:dyDescent="0.2">
      <c r="A535" t="s">
        <v>313</v>
      </c>
      <c r="B535" t="s">
        <v>14</v>
      </c>
      <c r="C535" t="s">
        <v>15</v>
      </c>
      <c r="D535" t="s">
        <v>7329</v>
      </c>
      <c r="E535" t="s">
        <v>314</v>
      </c>
      <c r="F5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35" s="27">
        <f t="shared" si="48"/>
        <v>40248</v>
      </c>
      <c r="H535" s="7" t="str">
        <f t="shared" si="49"/>
        <v>18:55:56</v>
      </c>
      <c r="I535" s="8" t="str">
        <f t="shared" si="50"/>
        <v>Evening</v>
      </c>
      <c r="L535">
        <v>1</v>
      </c>
      <c r="M535">
        <v>0</v>
      </c>
      <c r="N535">
        <v>26</v>
      </c>
      <c r="O535" s="4">
        <f t="shared" si="51"/>
        <v>27</v>
      </c>
      <c r="P535" s="5" t="str">
        <f t="shared" si="52"/>
        <v>High engagement</v>
      </c>
      <c r="Q535" t="b">
        <v>0</v>
      </c>
      <c r="R535" t="b">
        <v>0</v>
      </c>
      <c r="S535" t="b">
        <v>1</v>
      </c>
      <c r="T535" s="24" t="str">
        <f t="shared" si="53"/>
        <v>Link</v>
      </c>
    </row>
    <row r="536" spans="1:20" x14ac:dyDescent="0.2">
      <c r="A536" t="s">
        <v>268</v>
      </c>
      <c r="B536" t="s">
        <v>14</v>
      </c>
      <c r="C536" t="s">
        <v>15</v>
      </c>
      <c r="D536" t="s">
        <v>7330</v>
      </c>
      <c r="E536" t="s">
        <v>269</v>
      </c>
      <c r="F5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36" s="27">
        <f t="shared" si="48"/>
        <v>40252</v>
      </c>
      <c r="H536" s="7" t="str">
        <f t="shared" si="49"/>
        <v>19:54:03</v>
      </c>
      <c r="I536" s="8" t="str">
        <f t="shared" si="50"/>
        <v>Evening</v>
      </c>
      <c r="L536">
        <v>5</v>
      </c>
      <c r="M536">
        <v>0</v>
      </c>
      <c r="N536">
        <v>20</v>
      </c>
      <c r="O536" s="4">
        <f t="shared" si="51"/>
        <v>25</v>
      </c>
      <c r="P536" s="5" t="str">
        <f t="shared" si="52"/>
        <v>High engagement</v>
      </c>
      <c r="Q536" t="b">
        <v>0</v>
      </c>
      <c r="R536" t="b">
        <v>0</v>
      </c>
      <c r="S536" t="b">
        <v>1</v>
      </c>
      <c r="T536" s="24" t="str">
        <f t="shared" si="53"/>
        <v>Link</v>
      </c>
    </row>
    <row r="537" spans="1:20" x14ac:dyDescent="0.2">
      <c r="A537" t="s">
        <v>656</v>
      </c>
      <c r="B537" t="s">
        <v>14</v>
      </c>
      <c r="C537" t="s">
        <v>15</v>
      </c>
      <c r="D537" t="s">
        <v>7331</v>
      </c>
      <c r="E537" t="s">
        <v>657</v>
      </c>
      <c r="F5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37" s="27">
        <f t="shared" si="48"/>
        <v>40218</v>
      </c>
      <c r="H537" s="7" t="str">
        <f t="shared" si="49"/>
        <v>06:43:26</v>
      </c>
      <c r="I537" s="8" t="str">
        <f t="shared" si="50"/>
        <v>Early morning</v>
      </c>
      <c r="L537">
        <v>1</v>
      </c>
      <c r="M537">
        <v>0</v>
      </c>
      <c r="N537">
        <v>14</v>
      </c>
      <c r="O537" s="4">
        <f t="shared" si="51"/>
        <v>15</v>
      </c>
      <c r="P537" s="5" t="str">
        <f t="shared" si="52"/>
        <v>High engagement</v>
      </c>
      <c r="Q537" t="b">
        <v>0</v>
      </c>
      <c r="R537" t="b">
        <v>0</v>
      </c>
      <c r="S537" t="b">
        <v>1</v>
      </c>
      <c r="T537" s="24" t="str">
        <f t="shared" si="53"/>
        <v>Link</v>
      </c>
    </row>
    <row r="538" spans="1:20" x14ac:dyDescent="0.2">
      <c r="A538" t="s">
        <v>626</v>
      </c>
      <c r="B538" t="s">
        <v>14</v>
      </c>
      <c r="C538" t="s">
        <v>15</v>
      </c>
      <c r="D538" t="s">
        <v>7332</v>
      </c>
      <c r="E538" t="s">
        <v>627</v>
      </c>
      <c r="F5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38" s="27">
        <f t="shared" si="48"/>
        <v>40219</v>
      </c>
      <c r="H538" s="7" t="str">
        <f t="shared" si="49"/>
        <v>17:57:24</v>
      </c>
      <c r="I538" s="8" t="str">
        <f t="shared" si="50"/>
        <v>Afternoon</v>
      </c>
      <c r="L538">
        <v>3</v>
      </c>
      <c r="M538">
        <v>0</v>
      </c>
      <c r="N538">
        <v>14</v>
      </c>
      <c r="O538" s="4">
        <f t="shared" si="51"/>
        <v>17</v>
      </c>
      <c r="P538" s="5" t="str">
        <f t="shared" si="52"/>
        <v>High engagement</v>
      </c>
      <c r="Q538" t="b">
        <v>0</v>
      </c>
      <c r="R538" t="b">
        <v>0</v>
      </c>
      <c r="S538" t="b">
        <v>1</v>
      </c>
      <c r="T538" s="24" t="str">
        <f t="shared" si="53"/>
        <v>Link</v>
      </c>
    </row>
    <row r="539" spans="1:20" x14ac:dyDescent="0.2">
      <c r="A539" s="31" t="s">
        <v>333</v>
      </c>
      <c r="B539" t="s">
        <v>14</v>
      </c>
      <c r="C539" t="s">
        <v>15</v>
      </c>
      <c r="D539" t="s">
        <v>334</v>
      </c>
      <c r="E539" t="s">
        <v>335</v>
      </c>
      <c r="F5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39" s="27">
        <f t="shared" si="48"/>
        <v>40246</v>
      </c>
      <c r="H539" s="7" t="str">
        <f t="shared" si="49"/>
        <v>21:02:20</v>
      </c>
      <c r="I539" s="8" t="str">
        <f t="shared" si="50"/>
        <v>Evening</v>
      </c>
      <c r="L539">
        <v>1</v>
      </c>
      <c r="M539">
        <v>0</v>
      </c>
      <c r="N539">
        <v>14</v>
      </c>
      <c r="O539" s="4">
        <f t="shared" si="51"/>
        <v>15</v>
      </c>
      <c r="P539" s="5" t="str">
        <f t="shared" si="52"/>
        <v>High engagement</v>
      </c>
      <c r="Q539" t="b">
        <v>0</v>
      </c>
      <c r="R539" t="b">
        <v>0</v>
      </c>
      <c r="S539" t="b">
        <v>1</v>
      </c>
      <c r="T539" s="24" t="str">
        <f t="shared" si="53"/>
        <v>Link</v>
      </c>
    </row>
    <row r="540" spans="1:20" x14ac:dyDescent="0.2">
      <c r="A540" t="s">
        <v>106</v>
      </c>
      <c r="B540" t="s">
        <v>14</v>
      </c>
      <c r="C540" t="s">
        <v>15</v>
      </c>
      <c r="D540" t="s">
        <v>7333</v>
      </c>
      <c r="E540" t="s">
        <v>107</v>
      </c>
      <c r="F5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0" s="27">
        <f t="shared" si="48"/>
        <v>40281</v>
      </c>
      <c r="H540" s="7" t="str">
        <f t="shared" si="49"/>
        <v>23:26:04</v>
      </c>
      <c r="I540" s="8" t="str">
        <f t="shared" si="50"/>
        <v>Evening</v>
      </c>
      <c r="L540">
        <v>1</v>
      </c>
      <c r="M540">
        <v>0</v>
      </c>
      <c r="N540">
        <v>14</v>
      </c>
      <c r="O540" s="4">
        <f t="shared" si="51"/>
        <v>15</v>
      </c>
      <c r="P540" s="5" t="str">
        <f t="shared" si="52"/>
        <v>High engagement</v>
      </c>
      <c r="Q540" t="b">
        <v>0</v>
      </c>
      <c r="R540" t="b">
        <v>0</v>
      </c>
      <c r="S540" t="b">
        <v>1</v>
      </c>
      <c r="T540" s="24" t="str">
        <f t="shared" si="53"/>
        <v>Link</v>
      </c>
    </row>
    <row r="541" spans="1:20" x14ac:dyDescent="0.2">
      <c r="A541" t="s">
        <v>617</v>
      </c>
      <c r="B541" t="s">
        <v>14</v>
      </c>
      <c r="C541" t="s">
        <v>15</v>
      </c>
      <c r="D541" t="s">
        <v>618</v>
      </c>
      <c r="E541" t="s">
        <v>619</v>
      </c>
      <c r="F5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1" s="27">
        <f t="shared" si="48"/>
        <v>40219</v>
      </c>
      <c r="H541" s="7" t="str">
        <f t="shared" si="49"/>
        <v>22:54:35</v>
      </c>
      <c r="I541" s="8" t="str">
        <f t="shared" si="50"/>
        <v>Evening</v>
      </c>
      <c r="L541">
        <v>3</v>
      </c>
      <c r="M541">
        <v>0</v>
      </c>
      <c r="N541">
        <v>13</v>
      </c>
      <c r="O541" s="4">
        <f t="shared" si="51"/>
        <v>16</v>
      </c>
      <c r="P541" s="5" t="str">
        <f t="shared" si="52"/>
        <v>High engagement</v>
      </c>
      <c r="Q541" t="b">
        <v>0</v>
      </c>
      <c r="R541" t="b">
        <v>0</v>
      </c>
      <c r="S541" t="b">
        <v>0</v>
      </c>
      <c r="T541" s="24" t="str">
        <f t="shared" si="53"/>
        <v>Text only</v>
      </c>
    </row>
    <row r="542" spans="1:20" x14ac:dyDescent="0.2">
      <c r="A542" t="s">
        <v>480</v>
      </c>
      <c r="B542" t="s">
        <v>14</v>
      </c>
      <c r="C542" t="s">
        <v>15</v>
      </c>
      <c r="D542" t="s">
        <v>7334</v>
      </c>
      <c r="E542" t="s">
        <v>481</v>
      </c>
      <c r="F5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2" s="27">
        <f t="shared" si="48"/>
        <v>40232</v>
      </c>
      <c r="H542" s="7" t="str">
        <f t="shared" si="49"/>
        <v>02:55:57</v>
      </c>
      <c r="I542" s="8" t="str">
        <f t="shared" si="50"/>
        <v>Early morning</v>
      </c>
      <c r="L542">
        <v>3</v>
      </c>
      <c r="M542">
        <v>0</v>
      </c>
      <c r="N542">
        <v>12</v>
      </c>
      <c r="O542" s="4">
        <f t="shared" si="51"/>
        <v>15</v>
      </c>
      <c r="P542" s="5" t="str">
        <f t="shared" si="52"/>
        <v>High engagement</v>
      </c>
      <c r="Q542" t="b">
        <v>0</v>
      </c>
      <c r="R542" t="b">
        <v>0</v>
      </c>
      <c r="S542" t="b">
        <v>1</v>
      </c>
      <c r="T542" s="24" t="str">
        <f t="shared" si="53"/>
        <v>Link</v>
      </c>
    </row>
    <row r="543" spans="1:20" x14ac:dyDescent="0.2">
      <c r="A543" t="s">
        <v>58</v>
      </c>
      <c r="B543" t="s">
        <v>14</v>
      </c>
      <c r="C543" t="s">
        <v>15</v>
      </c>
      <c r="D543" t="s">
        <v>7335</v>
      </c>
      <c r="E543" t="s">
        <v>59</v>
      </c>
      <c r="F5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3" s="27">
        <f t="shared" si="48"/>
        <v>40287</v>
      </c>
      <c r="H543" s="7" t="str">
        <f t="shared" si="49"/>
        <v>19:12:54</v>
      </c>
      <c r="I543" s="8" t="str">
        <f t="shared" si="50"/>
        <v>Evening</v>
      </c>
      <c r="L543">
        <v>1</v>
      </c>
      <c r="M543">
        <v>0</v>
      </c>
      <c r="N543">
        <v>12</v>
      </c>
      <c r="O543" s="4">
        <f t="shared" si="51"/>
        <v>13</v>
      </c>
      <c r="P543" s="5" t="str">
        <f t="shared" si="52"/>
        <v>High engagement</v>
      </c>
      <c r="Q543" t="b">
        <v>0</v>
      </c>
      <c r="R543" t="b">
        <v>0</v>
      </c>
      <c r="S543" t="b">
        <v>1</v>
      </c>
      <c r="T543" s="24" t="str">
        <f t="shared" si="53"/>
        <v>Link</v>
      </c>
    </row>
    <row r="544" spans="1:20" x14ac:dyDescent="0.2">
      <c r="A544" t="s">
        <v>55</v>
      </c>
      <c r="B544" t="s">
        <v>14</v>
      </c>
      <c r="C544" t="s">
        <v>15</v>
      </c>
      <c r="D544" t="s">
        <v>56</v>
      </c>
      <c r="E544" t="s">
        <v>57</v>
      </c>
      <c r="F5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4" s="27">
        <f t="shared" si="48"/>
        <v>40287</v>
      </c>
      <c r="H544" s="7" t="str">
        <f t="shared" si="49"/>
        <v>20:12:34</v>
      </c>
      <c r="I544" s="8" t="str">
        <f t="shared" si="50"/>
        <v>Evening</v>
      </c>
      <c r="L544">
        <v>2</v>
      </c>
      <c r="M544">
        <v>0</v>
      </c>
      <c r="N544">
        <v>12</v>
      </c>
      <c r="O544" s="4">
        <f t="shared" si="51"/>
        <v>14</v>
      </c>
      <c r="P544" s="5" t="str">
        <f t="shared" si="52"/>
        <v>High engagement</v>
      </c>
      <c r="Q544" t="b">
        <v>0</v>
      </c>
      <c r="R544" t="b">
        <v>0</v>
      </c>
      <c r="S544" t="b">
        <v>1</v>
      </c>
      <c r="T544" s="24" t="str">
        <f t="shared" si="53"/>
        <v>Link</v>
      </c>
    </row>
    <row r="545" spans="1:20" x14ac:dyDescent="0.2">
      <c r="A545" t="s">
        <v>589</v>
      </c>
      <c r="B545" t="s">
        <v>14</v>
      </c>
      <c r="C545" t="s">
        <v>15</v>
      </c>
      <c r="D545" t="s">
        <v>590</v>
      </c>
      <c r="E545" t="s">
        <v>591</v>
      </c>
      <c r="F5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5" s="27">
        <f t="shared" si="48"/>
        <v>40221</v>
      </c>
      <c r="H545" s="7" t="str">
        <f t="shared" si="49"/>
        <v>23:12:30</v>
      </c>
      <c r="I545" s="8" t="str">
        <f t="shared" si="50"/>
        <v>Evening</v>
      </c>
      <c r="L545">
        <v>1</v>
      </c>
      <c r="M545">
        <v>0</v>
      </c>
      <c r="N545">
        <v>11</v>
      </c>
      <c r="O545" s="4">
        <f t="shared" si="51"/>
        <v>12</v>
      </c>
      <c r="P545" s="5" t="str">
        <f t="shared" si="52"/>
        <v>High engagement</v>
      </c>
      <c r="Q545" t="b">
        <v>0</v>
      </c>
      <c r="R545" t="b">
        <v>0</v>
      </c>
      <c r="S545" t="b">
        <v>1</v>
      </c>
      <c r="T545" s="24" t="str">
        <f t="shared" si="53"/>
        <v>Link</v>
      </c>
    </row>
    <row r="546" spans="1:20" x14ac:dyDescent="0.2">
      <c r="A546" t="s">
        <v>280</v>
      </c>
      <c r="B546" t="s">
        <v>14</v>
      </c>
      <c r="C546" t="s">
        <v>15</v>
      </c>
      <c r="D546" t="s">
        <v>281</v>
      </c>
      <c r="E546" t="s">
        <v>282</v>
      </c>
      <c r="F5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6" s="27">
        <f t="shared" si="48"/>
        <v>40249</v>
      </c>
      <c r="H546" s="7" t="str">
        <f t="shared" si="49"/>
        <v>22:48:40</v>
      </c>
      <c r="I546" s="8" t="str">
        <f t="shared" si="50"/>
        <v>Evening</v>
      </c>
      <c r="L546">
        <v>3</v>
      </c>
      <c r="M546">
        <v>0</v>
      </c>
      <c r="N546">
        <v>11</v>
      </c>
      <c r="O546" s="4">
        <f t="shared" si="51"/>
        <v>14</v>
      </c>
      <c r="P546" s="5" t="str">
        <f t="shared" si="52"/>
        <v>High engagement</v>
      </c>
      <c r="Q546" t="b">
        <v>0</v>
      </c>
      <c r="R546" t="b">
        <v>0</v>
      </c>
      <c r="S546" t="b">
        <v>1</v>
      </c>
      <c r="T546" s="24" t="str">
        <f t="shared" si="53"/>
        <v>Link</v>
      </c>
    </row>
    <row r="547" spans="1:20" x14ac:dyDescent="0.2">
      <c r="A547" t="s">
        <v>668</v>
      </c>
      <c r="B547" t="s">
        <v>14</v>
      </c>
      <c r="C547" t="s">
        <v>15</v>
      </c>
      <c r="D547" t="s">
        <v>669</v>
      </c>
      <c r="E547" t="s">
        <v>670</v>
      </c>
      <c r="F5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7" s="27">
        <f t="shared" si="48"/>
        <v>40217</v>
      </c>
      <c r="H547" s="7" t="str">
        <f t="shared" si="49"/>
        <v>18:14:08</v>
      </c>
      <c r="I547" s="8" t="str">
        <f t="shared" si="50"/>
        <v>Evening</v>
      </c>
      <c r="L547">
        <v>0</v>
      </c>
      <c r="M547">
        <v>0</v>
      </c>
      <c r="N547">
        <v>10</v>
      </c>
      <c r="O547" s="4">
        <f t="shared" si="51"/>
        <v>10</v>
      </c>
      <c r="P547" s="5" t="str">
        <f t="shared" si="52"/>
        <v>High engagement</v>
      </c>
      <c r="Q547" t="b">
        <v>0</v>
      </c>
      <c r="R547" t="b">
        <v>0</v>
      </c>
      <c r="S547" t="b">
        <v>1</v>
      </c>
      <c r="T547" s="24" t="str">
        <f t="shared" si="53"/>
        <v>Link</v>
      </c>
    </row>
    <row r="548" spans="1:20" x14ac:dyDescent="0.2">
      <c r="A548" t="s">
        <v>605</v>
      </c>
      <c r="B548" t="s">
        <v>14</v>
      </c>
      <c r="C548" t="s">
        <v>15</v>
      </c>
      <c r="D548" t="s">
        <v>606</v>
      </c>
      <c r="E548" t="s">
        <v>607</v>
      </c>
      <c r="F5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8" s="27">
        <f t="shared" si="48"/>
        <v>40220</v>
      </c>
      <c r="H548" s="7" t="str">
        <f t="shared" si="49"/>
        <v>23:22:14</v>
      </c>
      <c r="I548" s="8" t="str">
        <f t="shared" si="50"/>
        <v>Evening</v>
      </c>
      <c r="L548">
        <v>1</v>
      </c>
      <c r="M548">
        <v>0</v>
      </c>
      <c r="N548">
        <v>10</v>
      </c>
      <c r="O548" s="4">
        <f t="shared" si="51"/>
        <v>11</v>
      </c>
      <c r="P548" s="5" t="str">
        <f t="shared" si="52"/>
        <v>High engagement</v>
      </c>
      <c r="Q548" t="b">
        <v>0</v>
      </c>
      <c r="R548" t="b">
        <v>0</v>
      </c>
      <c r="S548" t="b">
        <v>1</v>
      </c>
      <c r="T548" s="24" t="str">
        <f t="shared" si="53"/>
        <v>Link</v>
      </c>
    </row>
    <row r="549" spans="1:20" x14ac:dyDescent="0.2">
      <c r="A549" t="s">
        <v>428</v>
      </c>
      <c r="B549" t="s">
        <v>14</v>
      </c>
      <c r="C549" t="s">
        <v>15</v>
      </c>
      <c r="D549" t="s">
        <v>429</v>
      </c>
      <c r="E549" t="s">
        <v>430</v>
      </c>
      <c r="F5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49" s="27">
        <f t="shared" si="48"/>
        <v>40238</v>
      </c>
      <c r="H549" s="7" t="str">
        <f t="shared" si="49"/>
        <v>19:33:40</v>
      </c>
      <c r="I549" s="8" t="str">
        <f t="shared" si="50"/>
        <v>Evening</v>
      </c>
      <c r="L549">
        <v>0</v>
      </c>
      <c r="M549">
        <v>0</v>
      </c>
      <c r="N549">
        <v>10</v>
      </c>
      <c r="O549" s="4">
        <f t="shared" si="51"/>
        <v>10</v>
      </c>
      <c r="P549" s="5" t="str">
        <f t="shared" si="52"/>
        <v>High engagement</v>
      </c>
      <c r="Q549" t="b">
        <v>0</v>
      </c>
      <c r="R549" t="b">
        <v>0</v>
      </c>
      <c r="S549" t="b">
        <v>1</v>
      </c>
      <c r="T549" s="24" t="str">
        <f t="shared" si="53"/>
        <v>Link</v>
      </c>
    </row>
    <row r="550" spans="1:20" x14ac:dyDescent="0.2">
      <c r="A550" t="s">
        <v>356</v>
      </c>
      <c r="B550" t="s">
        <v>14</v>
      </c>
      <c r="C550" t="s">
        <v>15</v>
      </c>
      <c r="D550" t="s">
        <v>357</v>
      </c>
      <c r="E550" t="s">
        <v>358</v>
      </c>
      <c r="F5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0" s="27">
        <f t="shared" si="48"/>
        <v>40242</v>
      </c>
      <c r="H550" s="7" t="str">
        <f t="shared" si="49"/>
        <v>17:46:47</v>
      </c>
      <c r="I550" s="8" t="str">
        <f t="shared" si="50"/>
        <v>Afternoon</v>
      </c>
      <c r="L550">
        <v>0</v>
      </c>
      <c r="M550">
        <v>0</v>
      </c>
      <c r="N550">
        <v>10</v>
      </c>
      <c r="O550" s="4">
        <f t="shared" si="51"/>
        <v>10</v>
      </c>
      <c r="P550" s="5" t="str">
        <f t="shared" si="52"/>
        <v>High engagement</v>
      </c>
      <c r="Q550" t="b">
        <v>0</v>
      </c>
      <c r="R550" t="b">
        <v>0</v>
      </c>
      <c r="S550" t="b">
        <v>1</v>
      </c>
      <c r="T550" s="24" t="str">
        <f t="shared" si="53"/>
        <v>Link</v>
      </c>
    </row>
    <row r="551" spans="1:20" x14ac:dyDescent="0.2">
      <c r="A551" t="s">
        <v>277</v>
      </c>
      <c r="B551" t="s">
        <v>14</v>
      </c>
      <c r="C551" t="s">
        <v>15</v>
      </c>
      <c r="D551" t="s">
        <v>278</v>
      </c>
      <c r="E551" t="s">
        <v>279</v>
      </c>
      <c r="F5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1" s="27">
        <f t="shared" si="48"/>
        <v>40249</v>
      </c>
      <c r="H551" s="7" t="str">
        <f t="shared" si="49"/>
        <v>23:00:44</v>
      </c>
      <c r="I551" s="8" t="str">
        <f t="shared" si="50"/>
        <v>Evening</v>
      </c>
      <c r="L551">
        <v>2</v>
      </c>
      <c r="M551">
        <v>0</v>
      </c>
      <c r="N551">
        <v>10</v>
      </c>
      <c r="O551" s="4">
        <f t="shared" si="51"/>
        <v>12</v>
      </c>
      <c r="P551" s="5" t="str">
        <f t="shared" si="52"/>
        <v>High engagement</v>
      </c>
      <c r="Q551" t="b">
        <v>0</v>
      </c>
      <c r="R551" t="b">
        <v>0</v>
      </c>
      <c r="S551" t="b">
        <v>1</v>
      </c>
      <c r="T551" s="24" t="str">
        <f t="shared" si="53"/>
        <v>Link</v>
      </c>
    </row>
    <row r="552" spans="1:20" x14ac:dyDescent="0.2">
      <c r="A552" t="s">
        <v>44</v>
      </c>
      <c r="B552" t="s">
        <v>14</v>
      </c>
      <c r="C552" t="s">
        <v>15</v>
      </c>
      <c r="D552" t="s">
        <v>45</v>
      </c>
      <c r="E552" t="s">
        <v>46</v>
      </c>
      <c r="F5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2" s="27">
        <f t="shared" si="48"/>
        <v>40290</v>
      </c>
      <c r="H552" s="7" t="str">
        <f t="shared" si="49"/>
        <v>15:51:41</v>
      </c>
      <c r="I552" s="8" t="str">
        <f t="shared" si="50"/>
        <v>Afternoon</v>
      </c>
      <c r="L552">
        <v>1</v>
      </c>
      <c r="M552">
        <v>0</v>
      </c>
      <c r="N552">
        <v>10</v>
      </c>
      <c r="O552" s="4">
        <f t="shared" si="51"/>
        <v>11</v>
      </c>
      <c r="P552" s="5" t="str">
        <f t="shared" si="52"/>
        <v>High engagement</v>
      </c>
      <c r="Q552" t="b">
        <v>0</v>
      </c>
      <c r="R552" t="b">
        <v>0</v>
      </c>
      <c r="S552" t="b">
        <v>1</v>
      </c>
      <c r="T552" s="24" t="str">
        <f t="shared" si="53"/>
        <v>Link</v>
      </c>
    </row>
    <row r="553" spans="1:20" x14ac:dyDescent="0.2">
      <c r="A553" t="s">
        <v>661</v>
      </c>
      <c r="B553" t="s">
        <v>14</v>
      </c>
      <c r="C553" t="s">
        <v>15</v>
      </c>
      <c r="D553" t="s">
        <v>662</v>
      </c>
      <c r="E553" t="s">
        <v>663</v>
      </c>
      <c r="F5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3" s="27">
        <f t="shared" si="48"/>
        <v>40218</v>
      </c>
      <c r="H553" s="7" t="str">
        <f t="shared" si="49"/>
        <v>02:18:03</v>
      </c>
      <c r="I553" s="8" t="str">
        <f t="shared" si="50"/>
        <v>Early morning</v>
      </c>
      <c r="L553">
        <v>2</v>
      </c>
      <c r="M553">
        <v>0</v>
      </c>
      <c r="N553">
        <v>9</v>
      </c>
      <c r="O553" s="4">
        <f t="shared" si="51"/>
        <v>11</v>
      </c>
      <c r="P553" s="5" t="str">
        <f t="shared" si="52"/>
        <v>High engagement</v>
      </c>
      <c r="Q553" t="b">
        <v>0</v>
      </c>
      <c r="R553" t="b">
        <v>0</v>
      </c>
      <c r="S553" t="b">
        <v>1</v>
      </c>
      <c r="T553" s="24" t="str">
        <f t="shared" si="53"/>
        <v>Link</v>
      </c>
    </row>
    <row r="554" spans="1:20" x14ac:dyDescent="0.2">
      <c r="A554" t="s">
        <v>658</v>
      </c>
      <c r="B554" t="s">
        <v>14</v>
      </c>
      <c r="C554" t="s">
        <v>15</v>
      </c>
      <c r="D554" t="s">
        <v>659</v>
      </c>
      <c r="E554" t="s">
        <v>660</v>
      </c>
      <c r="F5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4" s="27">
        <f t="shared" si="48"/>
        <v>40218</v>
      </c>
      <c r="H554" s="7" t="str">
        <f t="shared" si="49"/>
        <v>06:40:39</v>
      </c>
      <c r="I554" s="8" t="str">
        <f t="shared" si="50"/>
        <v>Early morning</v>
      </c>
      <c r="L554">
        <v>1</v>
      </c>
      <c r="M554">
        <v>0</v>
      </c>
      <c r="N554">
        <v>9</v>
      </c>
      <c r="O554" s="4">
        <f t="shared" si="51"/>
        <v>10</v>
      </c>
      <c r="P554" s="5" t="str">
        <f t="shared" si="52"/>
        <v>High engagement</v>
      </c>
      <c r="Q554" t="b">
        <v>0</v>
      </c>
      <c r="R554" t="b">
        <v>0</v>
      </c>
      <c r="S554" t="b">
        <v>1</v>
      </c>
      <c r="T554" s="24" t="str">
        <f t="shared" si="53"/>
        <v>Link</v>
      </c>
    </row>
    <row r="555" spans="1:20" x14ac:dyDescent="0.2">
      <c r="A555" t="s">
        <v>553</v>
      </c>
      <c r="B555" t="s">
        <v>14</v>
      </c>
      <c r="C555" t="s">
        <v>15</v>
      </c>
      <c r="D555" t="s">
        <v>554</v>
      </c>
      <c r="E555" t="s">
        <v>555</v>
      </c>
      <c r="F5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5" s="27">
        <f t="shared" si="48"/>
        <v>40227</v>
      </c>
      <c r="H555" s="7" t="str">
        <f t="shared" si="49"/>
        <v>22:35:08</v>
      </c>
      <c r="I555" s="8" t="str">
        <f t="shared" si="50"/>
        <v>Evening</v>
      </c>
      <c r="L555">
        <v>1</v>
      </c>
      <c r="M555">
        <v>0</v>
      </c>
      <c r="N555">
        <v>9</v>
      </c>
      <c r="O555" s="4">
        <f t="shared" si="51"/>
        <v>10</v>
      </c>
      <c r="P555" s="5" t="str">
        <f t="shared" si="52"/>
        <v>High engagement</v>
      </c>
      <c r="Q555" t="b">
        <v>0</v>
      </c>
      <c r="R555" t="b">
        <v>0</v>
      </c>
      <c r="S555" t="b">
        <v>1</v>
      </c>
      <c r="T555" s="24" t="str">
        <f t="shared" si="53"/>
        <v>Link</v>
      </c>
    </row>
    <row r="556" spans="1:20" x14ac:dyDescent="0.2">
      <c r="A556" t="s">
        <v>437</v>
      </c>
      <c r="B556" t="s">
        <v>14</v>
      </c>
      <c r="C556" t="s">
        <v>15</v>
      </c>
      <c r="D556" t="s">
        <v>438</v>
      </c>
      <c r="E556" t="s">
        <v>439</v>
      </c>
      <c r="F5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6" s="27">
        <f t="shared" si="48"/>
        <v>40235</v>
      </c>
      <c r="H556" s="7" t="str">
        <f t="shared" si="49"/>
        <v>21:46:56</v>
      </c>
      <c r="I556" s="8" t="str">
        <f t="shared" si="50"/>
        <v>Evening</v>
      </c>
      <c r="L556">
        <v>0</v>
      </c>
      <c r="M556">
        <v>0</v>
      </c>
      <c r="N556">
        <v>9</v>
      </c>
      <c r="O556" s="4">
        <f t="shared" si="51"/>
        <v>9</v>
      </c>
      <c r="P556" s="5" t="str">
        <f t="shared" si="52"/>
        <v>Moderate engagement</v>
      </c>
      <c r="Q556" t="b">
        <v>0</v>
      </c>
      <c r="R556" t="b">
        <v>0</v>
      </c>
      <c r="S556" t="b">
        <v>1</v>
      </c>
      <c r="T556" s="24" t="str">
        <f t="shared" si="53"/>
        <v>Link</v>
      </c>
    </row>
    <row r="557" spans="1:20" x14ac:dyDescent="0.2">
      <c r="A557" t="s">
        <v>407</v>
      </c>
      <c r="B557" t="s">
        <v>14</v>
      </c>
      <c r="C557" t="s">
        <v>15</v>
      </c>
      <c r="D557" t="s">
        <v>408</v>
      </c>
      <c r="E557" t="s">
        <v>409</v>
      </c>
      <c r="F5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7" s="27">
        <f t="shared" si="48"/>
        <v>40239</v>
      </c>
      <c r="H557" s="7" t="str">
        <f t="shared" si="49"/>
        <v>21:43:16</v>
      </c>
      <c r="I557" s="8" t="str">
        <f t="shared" si="50"/>
        <v>Evening</v>
      </c>
      <c r="L557">
        <v>0</v>
      </c>
      <c r="M557">
        <v>0</v>
      </c>
      <c r="N557">
        <v>9</v>
      </c>
      <c r="O557" s="4">
        <f t="shared" si="51"/>
        <v>9</v>
      </c>
      <c r="P557" s="5" t="str">
        <f t="shared" si="52"/>
        <v>Moderate engagement</v>
      </c>
      <c r="Q557" t="b">
        <v>0</v>
      </c>
      <c r="R557" t="b">
        <v>0</v>
      </c>
      <c r="S557" t="b">
        <v>1</v>
      </c>
      <c r="T557" s="24" t="str">
        <f t="shared" si="53"/>
        <v>Link</v>
      </c>
    </row>
    <row r="558" spans="1:20" x14ac:dyDescent="0.2">
      <c r="A558" t="s">
        <v>343</v>
      </c>
      <c r="B558" t="s">
        <v>14</v>
      </c>
      <c r="C558" t="s">
        <v>15</v>
      </c>
      <c r="D558" t="s">
        <v>344</v>
      </c>
      <c r="E558" t="s">
        <v>345</v>
      </c>
      <c r="F5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8" s="27">
        <f t="shared" si="48"/>
        <v>40245</v>
      </c>
      <c r="H558" s="7" t="str">
        <f t="shared" si="49"/>
        <v>20:51:01</v>
      </c>
      <c r="I558" s="8" t="str">
        <f t="shared" si="50"/>
        <v>Evening</v>
      </c>
      <c r="L558">
        <v>0</v>
      </c>
      <c r="M558">
        <v>0</v>
      </c>
      <c r="N558">
        <v>9</v>
      </c>
      <c r="O558" s="4">
        <f t="shared" si="51"/>
        <v>9</v>
      </c>
      <c r="P558" s="5" t="str">
        <f t="shared" si="52"/>
        <v>Moderate engagement</v>
      </c>
      <c r="Q558" t="b">
        <v>0</v>
      </c>
      <c r="R558" t="b">
        <v>0</v>
      </c>
      <c r="S558" t="b">
        <v>1</v>
      </c>
      <c r="T558" s="24" t="str">
        <f t="shared" si="53"/>
        <v>Link</v>
      </c>
    </row>
    <row r="559" spans="1:20" x14ac:dyDescent="0.2">
      <c r="A559" t="s">
        <v>87</v>
      </c>
      <c r="B559" t="s">
        <v>14</v>
      </c>
      <c r="C559" t="s">
        <v>15</v>
      </c>
      <c r="D559" t="s">
        <v>88</v>
      </c>
      <c r="E559" t="s">
        <v>89</v>
      </c>
      <c r="F5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59" s="27">
        <f t="shared" si="48"/>
        <v>40283</v>
      </c>
      <c r="H559" s="7" t="str">
        <f t="shared" si="49"/>
        <v>15:43:06</v>
      </c>
      <c r="I559" s="8" t="str">
        <f t="shared" si="50"/>
        <v>Afternoon</v>
      </c>
      <c r="L559">
        <v>1</v>
      </c>
      <c r="M559">
        <v>0</v>
      </c>
      <c r="N559">
        <v>9</v>
      </c>
      <c r="O559" s="4">
        <f t="shared" si="51"/>
        <v>10</v>
      </c>
      <c r="P559" s="5" t="str">
        <f t="shared" si="52"/>
        <v>High engagement</v>
      </c>
      <c r="Q559" t="b">
        <v>0</v>
      </c>
      <c r="R559" t="b">
        <v>0</v>
      </c>
      <c r="S559" t="b">
        <v>1</v>
      </c>
      <c r="T559" s="24" t="str">
        <f t="shared" si="53"/>
        <v>Link</v>
      </c>
    </row>
    <row r="560" spans="1:20" x14ac:dyDescent="0.2">
      <c r="A560" t="s">
        <v>623</v>
      </c>
      <c r="B560" t="s">
        <v>14</v>
      </c>
      <c r="C560" t="s">
        <v>15</v>
      </c>
      <c r="D560" t="s">
        <v>624</v>
      </c>
      <c r="E560" t="s">
        <v>625</v>
      </c>
      <c r="F5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0" s="27">
        <f t="shared" si="48"/>
        <v>40219</v>
      </c>
      <c r="H560" s="7" t="str">
        <f t="shared" si="49"/>
        <v>19:17:14</v>
      </c>
      <c r="I560" s="8" t="str">
        <f t="shared" si="50"/>
        <v>Evening</v>
      </c>
      <c r="L560">
        <v>2</v>
      </c>
      <c r="M560">
        <v>0</v>
      </c>
      <c r="N560">
        <v>8</v>
      </c>
      <c r="O560" s="4">
        <f t="shared" si="51"/>
        <v>10</v>
      </c>
      <c r="P560" s="5" t="str">
        <f t="shared" si="52"/>
        <v>High engagement</v>
      </c>
      <c r="Q560" t="b">
        <v>0</v>
      </c>
      <c r="R560" t="b">
        <v>0</v>
      </c>
      <c r="S560" t="b">
        <v>1</v>
      </c>
      <c r="T560" s="24" t="str">
        <f t="shared" si="53"/>
        <v>Link</v>
      </c>
    </row>
    <row r="561" spans="1:20" x14ac:dyDescent="0.2">
      <c r="A561" t="s">
        <v>451</v>
      </c>
      <c r="B561" t="s">
        <v>14</v>
      </c>
      <c r="C561" t="s">
        <v>15</v>
      </c>
      <c r="D561" t="s">
        <v>452</v>
      </c>
      <c r="E561" t="s">
        <v>453</v>
      </c>
      <c r="F5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1" s="27">
        <f t="shared" si="48"/>
        <v>40234</v>
      </c>
      <c r="H561" s="7" t="str">
        <f t="shared" si="49"/>
        <v>01:34:03</v>
      </c>
      <c r="I561" s="8" t="str">
        <f t="shared" si="50"/>
        <v>Early morning</v>
      </c>
      <c r="L561">
        <v>0</v>
      </c>
      <c r="M561">
        <v>0</v>
      </c>
      <c r="N561">
        <v>8</v>
      </c>
      <c r="O561" s="4">
        <f t="shared" si="51"/>
        <v>8</v>
      </c>
      <c r="P561" s="5" t="str">
        <f t="shared" si="52"/>
        <v>Moderate engagement</v>
      </c>
      <c r="Q561" t="b">
        <v>0</v>
      </c>
      <c r="R561" t="b">
        <v>0</v>
      </c>
      <c r="S561" t="b">
        <v>1</v>
      </c>
      <c r="T561" s="24" t="str">
        <f t="shared" si="53"/>
        <v>Link</v>
      </c>
    </row>
    <row r="562" spans="1:20" x14ac:dyDescent="0.2">
      <c r="A562" t="s">
        <v>340</v>
      </c>
      <c r="B562" t="s">
        <v>14</v>
      </c>
      <c r="C562" t="s">
        <v>15</v>
      </c>
      <c r="D562" t="s">
        <v>341</v>
      </c>
      <c r="E562" t="s">
        <v>342</v>
      </c>
      <c r="F5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2" s="27">
        <f t="shared" si="48"/>
        <v>40245</v>
      </c>
      <c r="H562" s="7" t="str">
        <f t="shared" si="49"/>
        <v>20:51:59</v>
      </c>
      <c r="I562" s="8" t="str">
        <f t="shared" si="50"/>
        <v>Evening</v>
      </c>
      <c r="L562">
        <v>0</v>
      </c>
      <c r="M562">
        <v>0</v>
      </c>
      <c r="N562">
        <v>8</v>
      </c>
      <c r="O562" s="4">
        <f t="shared" si="51"/>
        <v>8</v>
      </c>
      <c r="P562" s="5" t="str">
        <f t="shared" si="52"/>
        <v>Moderate engagement</v>
      </c>
      <c r="Q562" t="b">
        <v>0</v>
      </c>
      <c r="R562" t="b">
        <v>0</v>
      </c>
      <c r="S562" t="b">
        <v>1</v>
      </c>
      <c r="T562" s="24" t="str">
        <f t="shared" si="53"/>
        <v>Link</v>
      </c>
    </row>
    <row r="563" spans="1:20" x14ac:dyDescent="0.2">
      <c r="A563" t="s">
        <v>262</v>
      </c>
      <c r="B563" t="s">
        <v>14</v>
      </c>
      <c r="C563" t="s">
        <v>15</v>
      </c>
      <c r="D563" t="s">
        <v>263</v>
      </c>
      <c r="E563" t="s">
        <v>264</v>
      </c>
      <c r="F5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3" s="27">
        <f t="shared" si="48"/>
        <v>40254</v>
      </c>
      <c r="H563" s="7" t="str">
        <f t="shared" si="49"/>
        <v>17:10:45</v>
      </c>
      <c r="I563" s="8" t="str">
        <f t="shared" si="50"/>
        <v>Afternoon</v>
      </c>
      <c r="L563">
        <v>1</v>
      </c>
      <c r="M563">
        <v>0</v>
      </c>
      <c r="N563">
        <v>8</v>
      </c>
      <c r="O563" s="4">
        <f t="shared" si="51"/>
        <v>9</v>
      </c>
      <c r="P563" s="5" t="str">
        <f t="shared" si="52"/>
        <v>Moderate engagement</v>
      </c>
      <c r="Q563" t="b">
        <v>0</v>
      </c>
      <c r="R563" t="b">
        <v>0</v>
      </c>
      <c r="S563" t="b">
        <v>1</v>
      </c>
      <c r="T563" s="24" t="str">
        <f t="shared" si="53"/>
        <v>Link</v>
      </c>
    </row>
    <row r="564" spans="1:20" x14ac:dyDescent="0.2">
      <c r="A564" t="s">
        <v>253</v>
      </c>
      <c r="B564" t="s">
        <v>14</v>
      </c>
      <c r="C564" t="s">
        <v>15</v>
      </c>
      <c r="D564" t="s">
        <v>254</v>
      </c>
      <c r="E564" t="s">
        <v>255</v>
      </c>
      <c r="F5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4" s="27">
        <f t="shared" si="48"/>
        <v>40259</v>
      </c>
      <c r="H564" s="7" t="str">
        <f t="shared" si="49"/>
        <v>15:22:22</v>
      </c>
      <c r="I564" s="8" t="str">
        <f t="shared" si="50"/>
        <v>Afternoon</v>
      </c>
      <c r="L564">
        <v>1</v>
      </c>
      <c r="M564">
        <v>0</v>
      </c>
      <c r="N564">
        <v>8</v>
      </c>
      <c r="O564" s="4">
        <f t="shared" si="51"/>
        <v>9</v>
      </c>
      <c r="P564" s="5" t="str">
        <f t="shared" si="52"/>
        <v>Moderate engagement</v>
      </c>
      <c r="Q564" t="b">
        <v>0</v>
      </c>
      <c r="R564" t="b">
        <v>0</v>
      </c>
      <c r="S564" t="b">
        <v>1</v>
      </c>
      <c r="T564" s="24" t="str">
        <f t="shared" si="53"/>
        <v>Link</v>
      </c>
    </row>
    <row r="565" spans="1:20" x14ac:dyDescent="0.2">
      <c r="A565" t="s">
        <v>207</v>
      </c>
      <c r="B565" t="s">
        <v>14</v>
      </c>
      <c r="C565" t="s">
        <v>15</v>
      </c>
      <c r="D565" t="s">
        <v>208</v>
      </c>
      <c r="E565" t="s">
        <v>209</v>
      </c>
      <c r="F5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5" s="27">
        <f t="shared" si="48"/>
        <v>40267</v>
      </c>
      <c r="H565" s="7" t="str">
        <f t="shared" si="49"/>
        <v>18:23:40</v>
      </c>
      <c r="I565" s="8" t="str">
        <f t="shared" si="50"/>
        <v>Evening</v>
      </c>
      <c r="L565">
        <v>1</v>
      </c>
      <c r="M565">
        <v>0</v>
      </c>
      <c r="N565">
        <v>8</v>
      </c>
      <c r="O565" s="4">
        <f t="shared" si="51"/>
        <v>9</v>
      </c>
      <c r="P565" s="5" t="str">
        <f t="shared" si="52"/>
        <v>Moderate engagement</v>
      </c>
      <c r="Q565" t="b">
        <v>0</v>
      </c>
      <c r="R565" t="b">
        <v>0</v>
      </c>
      <c r="S565" t="b">
        <v>1</v>
      </c>
      <c r="T565" s="24" t="str">
        <f t="shared" si="53"/>
        <v>Link</v>
      </c>
    </row>
    <row r="566" spans="1:20" x14ac:dyDescent="0.2">
      <c r="A566" t="s">
        <v>62</v>
      </c>
      <c r="B566" t="s">
        <v>14</v>
      </c>
      <c r="C566" t="s">
        <v>15</v>
      </c>
      <c r="D566" t="s">
        <v>63</v>
      </c>
      <c r="E566" t="s">
        <v>64</v>
      </c>
      <c r="F5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6" s="27">
        <f t="shared" si="48"/>
        <v>40284</v>
      </c>
      <c r="H566" s="7" t="str">
        <f t="shared" si="49"/>
        <v>21:58:14</v>
      </c>
      <c r="I566" s="8" t="str">
        <f t="shared" si="50"/>
        <v>Evening</v>
      </c>
      <c r="L566">
        <v>0</v>
      </c>
      <c r="M566">
        <v>0</v>
      </c>
      <c r="N566">
        <v>8</v>
      </c>
      <c r="O566" s="4">
        <f t="shared" si="51"/>
        <v>8</v>
      </c>
      <c r="P566" s="5" t="str">
        <f t="shared" si="52"/>
        <v>Moderate engagement</v>
      </c>
      <c r="Q566" t="b">
        <v>0</v>
      </c>
      <c r="R566" t="b">
        <v>0</v>
      </c>
      <c r="S566" t="b">
        <v>1</v>
      </c>
      <c r="T566" s="24" t="str">
        <f t="shared" si="53"/>
        <v>Link</v>
      </c>
    </row>
    <row r="567" spans="1:20" x14ac:dyDescent="0.2">
      <c r="A567" t="s">
        <v>546</v>
      </c>
      <c r="B567" t="s">
        <v>14</v>
      </c>
      <c r="C567" t="s">
        <v>15</v>
      </c>
      <c r="D567" t="s">
        <v>547</v>
      </c>
      <c r="E567" t="s">
        <v>548</v>
      </c>
      <c r="F5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7" s="27">
        <f t="shared" si="48"/>
        <v>40231</v>
      </c>
      <c r="H567" s="7" t="str">
        <f t="shared" si="49"/>
        <v>23:44:50</v>
      </c>
      <c r="I567" s="8" t="str">
        <f t="shared" si="50"/>
        <v>Evening</v>
      </c>
      <c r="L567">
        <v>3</v>
      </c>
      <c r="M567">
        <v>1</v>
      </c>
      <c r="N567">
        <v>7</v>
      </c>
      <c r="O567" s="4">
        <f t="shared" si="51"/>
        <v>11</v>
      </c>
      <c r="P567" s="5" t="str">
        <f t="shared" si="52"/>
        <v>High engagement</v>
      </c>
      <c r="Q567" t="b">
        <v>0</v>
      </c>
      <c r="R567" t="b">
        <v>0</v>
      </c>
      <c r="S567" t="b">
        <v>1</v>
      </c>
      <c r="T567" s="24" t="str">
        <f t="shared" si="53"/>
        <v>Link</v>
      </c>
    </row>
    <row r="568" spans="1:20" x14ac:dyDescent="0.2">
      <c r="A568" t="s">
        <v>543</v>
      </c>
      <c r="B568" t="s">
        <v>14</v>
      </c>
      <c r="C568" t="s">
        <v>15</v>
      </c>
      <c r="D568" t="s">
        <v>544</v>
      </c>
      <c r="E568" t="s">
        <v>545</v>
      </c>
      <c r="F5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8" s="27">
        <f t="shared" si="48"/>
        <v>40232</v>
      </c>
      <c r="H568" s="7" t="str">
        <f t="shared" si="49"/>
        <v>00:49:56</v>
      </c>
      <c r="I568" s="8" t="str">
        <f t="shared" si="50"/>
        <v>Early morning</v>
      </c>
      <c r="L568">
        <v>3</v>
      </c>
      <c r="M568">
        <v>0</v>
      </c>
      <c r="N568">
        <v>7</v>
      </c>
      <c r="O568" s="4">
        <f t="shared" si="51"/>
        <v>10</v>
      </c>
      <c r="P568" s="5" t="str">
        <f t="shared" si="52"/>
        <v>High engagement</v>
      </c>
      <c r="Q568" t="b">
        <v>0</v>
      </c>
      <c r="R568" t="b">
        <v>0</v>
      </c>
      <c r="S568" t="b">
        <v>1</v>
      </c>
      <c r="T568" s="24" t="str">
        <f t="shared" si="53"/>
        <v>Link</v>
      </c>
    </row>
    <row r="569" spans="1:20" x14ac:dyDescent="0.2">
      <c r="A569" t="s">
        <v>467</v>
      </c>
      <c r="B569" t="s">
        <v>14</v>
      </c>
      <c r="C569" t="s">
        <v>15</v>
      </c>
      <c r="D569" t="s">
        <v>468</v>
      </c>
      <c r="E569" t="s">
        <v>469</v>
      </c>
      <c r="F5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69" s="27">
        <f t="shared" si="48"/>
        <v>40233</v>
      </c>
      <c r="H569" s="7" t="str">
        <f t="shared" si="49"/>
        <v>17:22:50</v>
      </c>
      <c r="I569" s="8" t="str">
        <f t="shared" si="50"/>
        <v>Afternoon</v>
      </c>
      <c r="L569">
        <v>2</v>
      </c>
      <c r="M569">
        <v>0</v>
      </c>
      <c r="N569">
        <v>7</v>
      </c>
      <c r="O569" s="4">
        <f t="shared" si="51"/>
        <v>9</v>
      </c>
      <c r="P569" s="5" t="str">
        <f t="shared" si="52"/>
        <v>Moderate engagement</v>
      </c>
      <c r="Q569" t="b">
        <v>0</v>
      </c>
      <c r="R569" t="b">
        <v>0</v>
      </c>
      <c r="S569" t="b">
        <v>1</v>
      </c>
      <c r="T569" s="24" t="str">
        <f t="shared" si="53"/>
        <v>Link</v>
      </c>
    </row>
    <row r="570" spans="1:20" x14ac:dyDescent="0.2">
      <c r="A570" t="s">
        <v>369</v>
      </c>
      <c r="B570" t="s">
        <v>14</v>
      </c>
      <c r="C570" t="s">
        <v>15</v>
      </c>
      <c r="D570" t="s">
        <v>370</v>
      </c>
      <c r="E570" t="s">
        <v>371</v>
      </c>
      <c r="F5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0" s="27">
        <f t="shared" si="48"/>
        <v>40242</v>
      </c>
      <c r="H570" s="7" t="str">
        <f t="shared" si="49"/>
        <v>04:33:32</v>
      </c>
      <c r="I570" s="8" t="str">
        <f t="shared" si="50"/>
        <v>Early morning</v>
      </c>
      <c r="L570">
        <v>1</v>
      </c>
      <c r="M570">
        <v>0</v>
      </c>
      <c r="N570">
        <v>7</v>
      </c>
      <c r="O570" s="4">
        <f t="shared" si="51"/>
        <v>8</v>
      </c>
      <c r="P570" s="5" t="str">
        <f t="shared" si="52"/>
        <v>Moderate engagement</v>
      </c>
      <c r="Q570" t="b">
        <v>0</v>
      </c>
      <c r="R570" t="b">
        <v>0</v>
      </c>
      <c r="S570" t="b">
        <v>1</v>
      </c>
      <c r="T570" s="24" t="str">
        <f t="shared" si="53"/>
        <v>Link</v>
      </c>
    </row>
    <row r="571" spans="1:20" x14ac:dyDescent="0.2">
      <c r="A571" t="s">
        <v>286</v>
      </c>
      <c r="B571" t="s">
        <v>14</v>
      </c>
      <c r="C571" t="s">
        <v>15</v>
      </c>
      <c r="D571" t="s">
        <v>287</v>
      </c>
      <c r="E571" t="s">
        <v>288</v>
      </c>
      <c r="F5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1" s="27">
        <f t="shared" si="48"/>
        <v>40249</v>
      </c>
      <c r="H571" s="7" t="str">
        <f t="shared" si="49"/>
        <v>20:43:20</v>
      </c>
      <c r="I571" s="8" t="str">
        <f t="shared" si="50"/>
        <v>Evening</v>
      </c>
      <c r="L571">
        <v>0</v>
      </c>
      <c r="M571">
        <v>0</v>
      </c>
      <c r="N571">
        <v>7</v>
      </c>
      <c r="O571" s="4">
        <f t="shared" si="51"/>
        <v>7</v>
      </c>
      <c r="P571" s="5" t="str">
        <f t="shared" si="52"/>
        <v>Moderate engagement</v>
      </c>
      <c r="Q571" t="b">
        <v>0</v>
      </c>
      <c r="R571" t="b">
        <v>0</v>
      </c>
      <c r="S571" t="b">
        <v>1</v>
      </c>
      <c r="T571" s="24" t="str">
        <f t="shared" si="53"/>
        <v>Link</v>
      </c>
    </row>
    <row r="572" spans="1:20" x14ac:dyDescent="0.2">
      <c r="A572" t="s">
        <v>270</v>
      </c>
      <c r="B572" t="s">
        <v>14</v>
      </c>
      <c r="C572" t="s">
        <v>15</v>
      </c>
      <c r="D572" t="s">
        <v>271</v>
      </c>
      <c r="E572" t="s">
        <v>272</v>
      </c>
      <c r="F5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2" s="27">
        <f t="shared" si="48"/>
        <v>40252</v>
      </c>
      <c r="H572" s="7" t="str">
        <f t="shared" si="49"/>
        <v>19:30:11</v>
      </c>
      <c r="I572" s="8" t="str">
        <f t="shared" si="50"/>
        <v>Evening</v>
      </c>
      <c r="L572">
        <v>0</v>
      </c>
      <c r="M572">
        <v>0</v>
      </c>
      <c r="N572">
        <v>7</v>
      </c>
      <c r="O572" s="4">
        <f t="shared" si="51"/>
        <v>7</v>
      </c>
      <c r="P572" s="5" t="str">
        <f t="shared" si="52"/>
        <v>Moderate engagement</v>
      </c>
      <c r="Q572" t="b">
        <v>0</v>
      </c>
      <c r="R572" t="b">
        <v>0</v>
      </c>
      <c r="S572" t="b">
        <v>1</v>
      </c>
      <c r="T572" s="24" t="str">
        <f t="shared" si="53"/>
        <v>Link</v>
      </c>
    </row>
    <row r="573" spans="1:20" x14ac:dyDescent="0.2">
      <c r="A573" t="s">
        <v>256</v>
      </c>
      <c r="B573" t="s">
        <v>14</v>
      </c>
      <c r="C573" t="s">
        <v>15</v>
      </c>
      <c r="D573" t="s">
        <v>257</v>
      </c>
      <c r="E573" t="s">
        <v>258</v>
      </c>
      <c r="F5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3" s="27">
        <f t="shared" si="48"/>
        <v>40254</v>
      </c>
      <c r="H573" s="7" t="str">
        <f t="shared" si="49"/>
        <v>21:56:39</v>
      </c>
      <c r="I573" s="8" t="str">
        <f t="shared" si="50"/>
        <v>Evening</v>
      </c>
      <c r="L573">
        <v>1</v>
      </c>
      <c r="M573">
        <v>0</v>
      </c>
      <c r="N573">
        <v>7</v>
      </c>
      <c r="O573" s="4">
        <f t="shared" si="51"/>
        <v>8</v>
      </c>
      <c r="P573" s="5" t="str">
        <f t="shared" si="52"/>
        <v>Moderate engagement</v>
      </c>
      <c r="Q573" t="b">
        <v>0</v>
      </c>
      <c r="R573" t="b">
        <v>0</v>
      </c>
      <c r="S573" t="b">
        <v>1</v>
      </c>
      <c r="T573" s="24" t="str">
        <f t="shared" si="53"/>
        <v>Link</v>
      </c>
    </row>
    <row r="574" spans="1:20" x14ac:dyDescent="0.2">
      <c r="A574" t="s">
        <v>235</v>
      </c>
      <c r="B574" t="s">
        <v>14</v>
      </c>
      <c r="C574" t="s">
        <v>15</v>
      </c>
      <c r="D574" t="s">
        <v>236</v>
      </c>
      <c r="E574" t="s">
        <v>237</v>
      </c>
      <c r="F5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4" s="27">
        <f t="shared" si="48"/>
        <v>40260</v>
      </c>
      <c r="H574" s="7" t="str">
        <f t="shared" si="49"/>
        <v>21:49:39</v>
      </c>
      <c r="I574" s="8" t="str">
        <f t="shared" si="50"/>
        <v>Evening</v>
      </c>
      <c r="L574">
        <v>3</v>
      </c>
      <c r="M574">
        <v>0</v>
      </c>
      <c r="N574">
        <v>7</v>
      </c>
      <c r="O574" s="4">
        <f t="shared" si="51"/>
        <v>10</v>
      </c>
      <c r="P574" s="5" t="str">
        <f t="shared" si="52"/>
        <v>High engagement</v>
      </c>
      <c r="Q574" t="b">
        <v>0</v>
      </c>
      <c r="R574" t="b">
        <v>0</v>
      </c>
      <c r="S574" t="b">
        <v>1</v>
      </c>
      <c r="T574" s="24" t="str">
        <f t="shared" si="53"/>
        <v>Link</v>
      </c>
    </row>
    <row r="575" spans="1:20" x14ac:dyDescent="0.2">
      <c r="A575" t="s">
        <v>171</v>
      </c>
      <c r="B575" t="s">
        <v>14</v>
      </c>
      <c r="C575" t="s">
        <v>15</v>
      </c>
      <c r="D575" t="s">
        <v>172</v>
      </c>
      <c r="E575" t="s">
        <v>173</v>
      </c>
      <c r="F5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5" s="27">
        <f t="shared" si="48"/>
        <v>40273</v>
      </c>
      <c r="H575" s="7" t="str">
        <f t="shared" si="49"/>
        <v>21:24:54</v>
      </c>
      <c r="I575" s="8" t="str">
        <f t="shared" si="50"/>
        <v>Evening</v>
      </c>
      <c r="L575">
        <v>0</v>
      </c>
      <c r="M575">
        <v>0</v>
      </c>
      <c r="N575">
        <v>7</v>
      </c>
      <c r="O575" s="4">
        <f t="shared" si="51"/>
        <v>7</v>
      </c>
      <c r="P575" s="5" t="str">
        <f t="shared" si="52"/>
        <v>Moderate engagement</v>
      </c>
      <c r="Q575" t="b">
        <v>0</v>
      </c>
      <c r="R575" t="b">
        <v>0</v>
      </c>
      <c r="S575" t="b">
        <v>1</v>
      </c>
      <c r="T575" s="24" t="str">
        <f t="shared" si="53"/>
        <v>Link</v>
      </c>
    </row>
    <row r="576" spans="1:20" x14ac:dyDescent="0.2">
      <c r="A576" t="s">
        <v>157</v>
      </c>
      <c r="B576" t="s">
        <v>14</v>
      </c>
      <c r="C576" t="s">
        <v>15</v>
      </c>
      <c r="D576" t="s">
        <v>158</v>
      </c>
      <c r="E576" t="s">
        <v>159</v>
      </c>
      <c r="F5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6" s="27">
        <f t="shared" si="48"/>
        <v>40276</v>
      </c>
      <c r="H576" s="7" t="str">
        <f t="shared" si="49"/>
        <v>18:09:19</v>
      </c>
      <c r="I576" s="8" t="str">
        <f t="shared" si="50"/>
        <v>Evening</v>
      </c>
      <c r="L576">
        <v>3</v>
      </c>
      <c r="M576">
        <v>0</v>
      </c>
      <c r="N576">
        <v>7</v>
      </c>
      <c r="O576" s="4">
        <f t="shared" si="51"/>
        <v>10</v>
      </c>
      <c r="P576" s="5" t="str">
        <f t="shared" si="52"/>
        <v>High engagement</v>
      </c>
      <c r="Q576" t="b">
        <v>0</v>
      </c>
      <c r="R576" t="b">
        <v>0</v>
      </c>
      <c r="S576" t="b">
        <v>1</v>
      </c>
      <c r="T576" s="24" t="str">
        <f t="shared" si="53"/>
        <v>Link</v>
      </c>
    </row>
    <row r="577" spans="1:20" x14ac:dyDescent="0.2">
      <c r="A577" t="s">
        <v>602</v>
      </c>
      <c r="B577" t="s">
        <v>14</v>
      </c>
      <c r="C577" t="s">
        <v>15</v>
      </c>
      <c r="D577" t="s">
        <v>603</v>
      </c>
      <c r="E577" t="s">
        <v>604</v>
      </c>
      <c r="F5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7" s="27">
        <f t="shared" si="48"/>
        <v>40221</v>
      </c>
      <c r="H577" s="7" t="str">
        <f t="shared" si="49"/>
        <v>18:59:41</v>
      </c>
      <c r="I577" s="8" t="str">
        <f t="shared" si="50"/>
        <v>Evening</v>
      </c>
      <c r="L577">
        <v>2</v>
      </c>
      <c r="M577">
        <v>0</v>
      </c>
      <c r="N577">
        <v>6</v>
      </c>
      <c r="O577" s="4">
        <f t="shared" si="51"/>
        <v>8</v>
      </c>
      <c r="P577" s="5" t="str">
        <f t="shared" si="52"/>
        <v>Moderate engagement</v>
      </c>
      <c r="Q577" t="b">
        <v>0</v>
      </c>
      <c r="R577" t="b">
        <v>0</v>
      </c>
      <c r="S577" t="b">
        <v>1</v>
      </c>
      <c r="T577" s="24" t="str">
        <f t="shared" si="53"/>
        <v>Link</v>
      </c>
    </row>
    <row r="578" spans="1:20" x14ac:dyDescent="0.2">
      <c r="A578" t="s">
        <v>593</v>
      </c>
      <c r="B578" t="s">
        <v>14</v>
      </c>
      <c r="C578" t="s">
        <v>15</v>
      </c>
      <c r="D578" t="s">
        <v>594</v>
      </c>
      <c r="E578" t="s">
        <v>595</v>
      </c>
      <c r="F5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8" s="27">
        <f t="shared" ref="G578:G641" si="54">DATEVALUE((LEFT(E578,10)))</f>
        <v>40221</v>
      </c>
      <c r="H578" s="7" t="str">
        <f t="shared" ref="H578:H641" si="55">MID(E578,12,8)</f>
        <v>21:35:56</v>
      </c>
      <c r="I578" s="8" t="str">
        <f t="shared" ref="I578:I641" si="56">IF(HOUR(H578)&lt;7,"Early morning",
IF(HOUR(H578)&lt;11,"Morning",
IF(HOUR(H578)&lt;14,"Mid-day",
IF(HOUR(H578)&lt;18,"Afternoon","Evening"))))</f>
        <v>Evening</v>
      </c>
      <c r="L578">
        <v>0</v>
      </c>
      <c r="M578">
        <v>0</v>
      </c>
      <c r="N578">
        <v>6</v>
      </c>
      <c r="O578" s="4">
        <f t="shared" ref="O578:O641" si="57">L578+M578+N578</f>
        <v>6</v>
      </c>
      <c r="P578" s="5" t="str">
        <f t="shared" ref="P578:P641" si="58">IF(O578&lt;1,"No engagement", IF(O578&lt;5,"Low engagement", IF(O578&lt;10,"Moderate engagement", "High engagement")))</f>
        <v>Moderate engagement</v>
      </c>
      <c r="Q578" t="b">
        <v>0</v>
      </c>
      <c r="R578" t="b">
        <v>0</v>
      </c>
      <c r="S578" t="b">
        <v>0</v>
      </c>
      <c r="T578" s="24" t="str">
        <f t="shared" ref="T578:T641" si="59">IF(Q578=TRUE,"Photo",IF(R578=TRUE,"Video",IF(S578=TRUE,"Link",("Text only"))))</f>
        <v>Text only</v>
      </c>
    </row>
    <row r="579" spans="1:20" x14ac:dyDescent="0.2">
      <c r="A579" t="s">
        <v>444</v>
      </c>
      <c r="B579" t="s">
        <v>14</v>
      </c>
      <c r="C579" t="s">
        <v>15</v>
      </c>
      <c r="D579" t="s">
        <v>445</v>
      </c>
      <c r="E579" t="s">
        <v>446</v>
      </c>
      <c r="F5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79" s="27">
        <f t="shared" si="54"/>
        <v>40235</v>
      </c>
      <c r="H579" s="7" t="str">
        <f t="shared" si="55"/>
        <v>17:53:54</v>
      </c>
      <c r="I579" s="8" t="str">
        <f t="shared" si="56"/>
        <v>Afternoon</v>
      </c>
      <c r="L579">
        <v>2</v>
      </c>
      <c r="M579">
        <v>0</v>
      </c>
      <c r="N579">
        <v>6</v>
      </c>
      <c r="O579" s="4">
        <f t="shared" si="57"/>
        <v>8</v>
      </c>
      <c r="P579" s="5" t="str">
        <f t="shared" si="58"/>
        <v>Moderate engagement</v>
      </c>
      <c r="Q579" t="b">
        <v>0</v>
      </c>
      <c r="R579" t="b">
        <v>0</v>
      </c>
      <c r="S579" t="b">
        <v>1</v>
      </c>
      <c r="T579" s="24" t="str">
        <f t="shared" si="59"/>
        <v>Link</v>
      </c>
    </row>
    <row r="580" spans="1:20" x14ac:dyDescent="0.2">
      <c r="A580" t="s">
        <v>434</v>
      </c>
      <c r="B580" t="s">
        <v>14</v>
      </c>
      <c r="C580" t="s">
        <v>15</v>
      </c>
      <c r="D580" t="s">
        <v>435</v>
      </c>
      <c r="E580" t="s">
        <v>436</v>
      </c>
      <c r="F5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0" s="27">
        <f t="shared" si="54"/>
        <v>40235</v>
      </c>
      <c r="H580" s="7" t="str">
        <f t="shared" si="55"/>
        <v>23:41:53</v>
      </c>
      <c r="I580" s="8" t="str">
        <f t="shared" si="56"/>
        <v>Evening</v>
      </c>
      <c r="L580">
        <v>0</v>
      </c>
      <c r="M580">
        <v>0</v>
      </c>
      <c r="N580">
        <v>6</v>
      </c>
      <c r="O580" s="4">
        <f t="shared" si="57"/>
        <v>6</v>
      </c>
      <c r="P580" s="5" t="str">
        <f t="shared" si="58"/>
        <v>Moderate engagement</v>
      </c>
      <c r="Q580" t="b">
        <v>0</v>
      </c>
      <c r="R580" t="b">
        <v>0</v>
      </c>
      <c r="S580" t="b">
        <v>1</v>
      </c>
      <c r="T580" s="24" t="str">
        <f t="shared" si="59"/>
        <v>Link</v>
      </c>
    </row>
    <row r="581" spans="1:20" x14ac:dyDescent="0.2">
      <c r="A581" t="s">
        <v>431</v>
      </c>
      <c r="B581" t="s">
        <v>14</v>
      </c>
      <c r="C581" t="s">
        <v>15</v>
      </c>
      <c r="D581" t="s">
        <v>432</v>
      </c>
      <c r="E581" t="s">
        <v>433</v>
      </c>
      <c r="F5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1" s="27">
        <f t="shared" si="54"/>
        <v>40237</v>
      </c>
      <c r="H581" s="7" t="str">
        <f t="shared" si="55"/>
        <v>20:08:00</v>
      </c>
      <c r="I581" s="8" t="str">
        <f t="shared" si="56"/>
        <v>Evening</v>
      </c>
      <c r="L581">
        <v>1</v>
      </c>
      <c r="M581">
        <v>0</v>
      </c>
      <c r="N581">
        <v>6</v>
      </c>
      <c r="O581" s="4">
        <f t="shared" si="57"/>
        <v>7</v>
      </c>
      <c r="P581" s="5" t="str">
        <f t="shared" si="58"/>
        <v>Moderate engagement</v>
      </c>
      <c r="Q581" t="b">
        <v>0</v>
      </c>
      <c r="R581" t="b">
        <v>0</v>
      </c>
      <c r="S581" t="b">
        <v>1</v>
      </c>
      <c r="T581" s="24" t="str">
        <f t="shared" si="59"/>
        <v>Link</v>
      </c>
    </row>
    <row r="582" spans="1:20" x14ac:dyDescent="0.2">
      <c r="A582" t="s">
        <v>394</v>
      </c>
      <c r="B582" t="s">
        <v>14</v>
      </c>
      <c r="C582" t="s">
        <v>15</v>
      </c>
      <c r="D582" t="s">
        <v>395</v>
      </c>
      <c r="E582" t="s">
        <v>396</v>
      </c>
      <c r="F5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2" s="27">
        <f t="shared" si="54"/>
        <v>40240</v>
      </c>
      <c r="H582" s="7" t="str">
        <f t="shared" si="55"/>
        <v>17:32:02</v>
      </c>
      <c r="I582" s="8" t="str">
        <f t="shared" si="56"/>
        <v>Afternoon</v>
      </c>
      <c r="L582">
        <v>1</v>
      </c>
      <c r="M582">
        <v>0</v>
      </c>
      <c r="N582">
        <v>6</v>
      </c>
      <c r="O582" s="4">
        <f t="shared" si="57"/>
        <v>7</v>
      </c>
      <c r="P582" s="5" t="str">
        <f t="shared" si="58"/>
        <v>Moderate engagement</v>
      </c>
      <c r="Q582" t="b">
        <v>0</v>
      </c>
      <c r="R582" t="b">
        <v>0</v>
      </c>
      <c r="S582" t="b">
        <v>1</v>
      </c>
      <c r="T582" s="24" t="str">
        <f t="shared" si="59"/>
        <v>Link</v>
      </c>
    </row>
    <row r="583" spans="1:20" x14ac:dyDescent="0.2">
      <c r="A583" t="s">
        <v>163</v>
      </c>
      <c r="B583" t="s">
        <v>14</v>
      </c>
      <c r="C583" t="s">
        <v>15</v>
      </c>
      <c r="D583" t="s">
        <v>164</v>
      </c>
      <c r="E583" t="s">
        <v>165</v>
      </c>
      <c r="F5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3" s="27">
        <f t="shared" si="54"/>
        <v>40275</v>
      </c>
      <c r="H583" s="7" t="str">
        <f t="shared" si="55"/>
        <v>21:23:31</v>
      </c>
      <c r="I583" s="8" t="str">
        <f t="shared" si="56"/>
        <v>Evening</v>
      </c>
      <c r="L583">
        <v>2</v>
      </c>
      <c r="M583">
        <v>0</v>
      </c>
      <c r="N583">
        <v>6</v>
      </c>
      <c r="O583" s="4">
        <f t="shared" si="57"/>
        <v>8</v>
      </c>
      <c r="P583" s="5" t="str">
        <f t="shared" si="58"/>
        <v>Moderate engagement</v>
      </c>
      <c r="Q583" t="b">
        <v>0</v>
      </c>
      <c r="R583" t="b">
        <v>0</v>
      </c>
      <c r="S583" t="b">
        <v>1</v>
      </c>
      <c r="T583" s="24" t="str">
        <f t="shared" si="59"/>
        <v>Link</v>
      </c>
    </row>
    <row r="584" spans="1:20" x14ac:dyDescent="0.2">
      <c r="A584" t="s">
        <v>18</v>
      </c>
      <c r="B584" t="s">
        <v>14</v>
      </c>
      <c r="C584" t="s">
        <v>15</v>
      </c>
      <c r="D584" t="s">
        <v>19</v>
      </c>
      <c r="E584" t="s">
        <v>20</v>
      </c>
      <c r="F5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4" s="27">
        <f t="shared" si="54"/>
        <v>40296</v>
      </c>
      <c r="H584" s="7" t="str">
        <f t="shared" si="55"/>
        <v>15:10:26</v>
      </c>
      <c r="I584" s="8" t="str">
        <f t="shared" si="56"/>
        <v>Afternoon</v>
      </c>
      <c r="L584">
        <v>2</v>
      </c>
      <c r="M584">
        <v>0</v>
      </c>
      <c r="N584">
        <v>6</v>
      </c>
      <c r="O584" s="4">
        <f t="shared" si="57"/>
        <v>8</v>
      </c>
      <c r="P584" s="5" t="str">
        <f t="shared" si="58"/>
        <v>Moderate engagement</v>
      </c>
      <c r="Q584" t="b">
        <v>0</v>
      </c>
      <c r="R584" t="b">
        <v>0</v>
      </c>
      <c r="S584" t="b">
        <v>1</v>
      </c>
      <c r="T584" s="24" t="str">
        <f t="shared" si="59"/>
        <v>Link</v>
      </c>
    </row>
    <row r="585" spans="1:20" x14ac:dyDescent="0.2">
      <c r="A585" t="s">
        <v>665</v>
      </c>
      <c r="B585" t="s">
        <v>14</v>
      </c>
      <c r="C585" t="s">
        <v>15</v>
      </c>
      <c r="D585" t="s">
        <v>666</v>
      </c>
      <c r="E585" t="s">
        <v>667</v>
      </c>
      <c r="F5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5" s="27">
        <f t="shared" si="54"/>
        <v>40217</v>
      </c>
      <c r="H585" s="7" t="str">
        <f t="shared" si="55"/>
        <v>22:01:00</v>
      </c>
      <c r="I585" s="8" t="str">
        <f t="shared" si="56"/>
        <v>Evening</v>
      </c>
      <c r="L585">
        <v>1</v>
      </c>
      <c r="M585">
        <v>0</v>
      </c>
      <c r="N585">
        <v>5</v>
      </c>
      <c r="O585" s="4">
        <f t="shared" si="57"/>
        <v>6</v>
      </c>
      <c r="P585" s="5" t="str">
        <f t="shared" si="58"/>
        <v>Moderate engagement</v>
      </c>
      <c r="Q585" t="b">
        <v>0</v>
      </c>
      <c r="R585" t="b">
        <v>0</v>
      </c>
      <c r="S585" t="b">
        <v>1</v>
      </c>
      <c r="T585" s="24" t="str">
        <f t="shared" si="59"/>
        <v>Link</v>
      </c>
    </row>
    <row r="586" spans="1:20" x14ac:dyDescent="0.2">
      <c r="A586" t="s">
        <v>628</v>
      </c>
      <c r="B586" t="s">
        <v>14</v>
      </c>
      <c r="C586" t="s">
        <v>15</v>
      </c>
      <c r="D586" t="s">
        <v>629</v>
      </c>
      <c r="E586" t="s">
        <v>630</v>
      </c>
      <c r="F5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6" s="27">
        <f t="shared" si="54"/>
        <v>40219</v>
      </c>
      <c r="H586" s="7" t="str">
        <f t="shared" si="55"/>
        <v>16:53:35</v>
      </c>
      <c r="I586" s="8" t="str">
        <f t="shared" si="56"/>
        <v>Afternoon</v>
      </c>
      <c r="L586">
        <v>0</v>
      </c>
      <c r="M586">
        <v>0</v>
      </c>
      <c r="N586">
        <v>5</v>
      </c>
      <c r="O586" s="4">
        <f t="shared" si="57"/>
        <v>5</v>
      </c>
      <c r="P586" s="5" t="str">
        <f t="shared" si="58"/>
        <v>Moderate engagement</v>
      </c>
      <c r="Q586" t="b">
        <v>0</v>
      </c>
      <c r="R586" t="b">
        <v>0</v>
      </c>
      <c r="S586" t="b">
        <v>1</v>
      </c>
      <c r="T586" s="24" t="str">
        <f t="shared" si="59"/>
        <v>Link</v>
      </c>
    </row>
    <row r="587" spans="1:20" x14ac:dyDescent="0.2">
      <c r="A587" t="s">
        <v>537</v>
      </c>
      <c r="B587" t="s">
        <v>14</v>
      </c>
      <c r="C587" t="s">
        <v>15</v>
      </c>
      <c r="D587" t="s">
        <v>538</v>
      </c>
      <c r="E587" t="s">
        <v>539</v>
      </c>
      <c r="F5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7" s="27">
        <f t="shared" si="54"/>
        <v>40232</v>
      </c>
      <c r="H587" s="7" t="str">
        <f t="shared" si="55"/>
        <v>01:06:54</v>
      </c>
      <c r="I587" s="8" t="str">
        <f t="shared" si="56"/>
        <v>Early morning</v>
      </c>
      <c r="L587">
        <v>2</v>
      </c>
      <c r="M587">
        <v>0</v>
      </c>
      <c r="N587">
        <v>5</v>
      </c>
      <c r="O587" s="4">
        <f t="shared" si="57"/>
        <v>7</v>
      </c>
      <c r="P587" s="5" t="str">
        <f t="shared" si="58"/>
        <v>Moderate engagement</v>
      </c>
      <c r="Q587" t="b">
        <v>0</v>
      </c>
      <c r="R587" t="b">
        <v>0</v>
      </c>
      <c r="S587" t="b">
        <v>1</v>
      </c>
      <c r="T587" s="24" t="str">
        <f t="shared" si="59"/>
        <v>Link</v>
      </c>
    </row>
    <row r="588" spans="1:20" x14ac:dyDescent="0.2">
      <c r="A588" t="s">
        <v>144</v>
      </c>
      <c r="B588" t="s">
        <v>14</v>
      </c>
      <c r="C588" t="s">
        <v>15</v>
      </c>
      <c r="D588" t="s">
        <v>145</v>
      </c>
      <c r="E588" t="s">
        <v>146</v>
      </c>
      <c r="F5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8" s="27">
        <f t="shared" si="54"/>
        <v>40281</v>
      </c>
      <c r="H588" s="7" t="str">
        <f t="shared" si="55"/>
        <v>16:01:38</v>
      </c>
      <c r="I588" s="8" t="str">
        <f t="shared" si="56"/>
        <v>Afternoon</v>
      </c>
      <c r="L588">
        <v>3</v>
      </c>
      <c r="M588">
        <v>0</v>
      </c>
      <c r="N588">
        <v>5</v>
      </c>
      <c r="O588" s="4">
        <f t="shared" si="57"/>
        <v>8</v>
      </c>
      <c r="P588" s="5" t="str">
        <f t="shared" si="58"/>
        <v>Moderate engagement</v>
      </c>
      <c r="Q588" t="b">
        <v>0</v>
      </c>
      <c r="R588" t="b">
        <v>0</v>
      </c>
      <c r="S588" t="b">
        <v>1</v>
      </c>
      <c r="T588" s="24" t="str">
        <f t="shared" si="59"/>
        <v>Link</v>
      </c>
    </row>
    <row r="589" spans="1:20" x14ac:dyDescent="0.2">
      <c r="A589" t="s">
        <v>132</v>
      </c>
      <c r="B589" t="s">
        <v>14</v>
      </c>
      <c r="C589" t="s">
        <v>15</v>
      </c>
      <c r="D589" t="s">
        <v>133</v>
      </c>
      <c r="E589" t="s">
        <v>134</v>
      </c>
      <c r="F5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89" s="27">
        <f t="shared" si="54"/>
        <v>40281</v>
      </c>
      <c r="H589" s="7" t="str">
        <f t="shared" si="55"/>
        <v>18:11:10</v>
      </c>
      <c r="I589" s="8" t="str">
        <f t="shared" si="56"/>
        <v>Evening</v>
      </c>
      <c r="L589">
        <v>0</v>
      </c>
      <c r="M589">
        <v>0</v>
      </c>
      <c r="N589">
        <v>5</v>
      </c>
      <c r="O589" s="4">
        <f t="shared" si="57"/>
        <v>5</v>
      </c>
      <c r="P589" s="5" t="str">
        <f t="shared" si="58"/>
        <v>Moderate engagement</v>
      </c>
      <c r="Q589" t="b">
        <v>0</v>
      </c>
      <c r="R589" t="b">
        <v>0</v>
      </c>
      <c r="S589" t="b">
        <v>1</v>
      </c>
      <c r="T589" s="24" t="str">
        <f t="shared" si="59"/>
        <v>Link</v>
      </c>
    </row>
    <row r="590" spans="1:20" x14ac:dyDescent="0.2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0" s="27">
        <f t="shared" si="54"/>
        <v>40296</v>
      </c>
      <c r="H590" s="7" t="str">
        <f t="shared" si="55"/>
        <v>15:25:16</v>
      </c>
      <c r="I590" s="8" t="str">
        <f t="shared" si="56"/>
        <v>Afternoon</v>
      </c>
      <c r="L590">
        <v>1</v>
      </c>
      <c r="M590">
        <v>0</v>
      </c>
      <c r="N590">
        <v>5</v>
      </c>
      <c r="O590" s="4">
        <f t="shared" si="57"/>
        <v>6</v>
      </c>
      <c r="P590" s="5" t="str">
        <f t="shared" si="58"/>
        <v>Moderate engagement</v>
      </c>
      <c r="Q590" t="b">
        <v>0</v>
      </c>
      <c r="R590" t="b">
        <v>0</v>
      </c>
      <c r="S590" t="b">
        <v>0</v>
      </c>
      <c r="T590" s="24" t="str">
        <f t="shared" si="59"/>
        <v>Text only</v>
      </c>
    </row>
    <row r="591" spans="1:20" x14ac:dyDescent="0.2">
      <c r="A591" t="s">
        <v>634</v>
      </c>
      <c r="B591" t="s">
        <v>14</v>
      </c>
      <c r="C591" t="s">
        <v>15</v>
      </c>
      <c r="D591" t="s">
        <v>635</v>
      </c>
      <c r="E591" t="s">
        <v>636</v>
      </c>
      <c r="F5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1" s="27">
        <f t="shared" si="54"/>
        <v>40219</v>
      </c>
      <c r="H591" s="7" t="str">
        <f t="shared" si="55"/>
        <v>01:49:47</v>
      </c>
      <c r="I591" s="8" t="str">
        <f t="shared" si="56"/>
        <v>Early morning</v>
      </c>
      <c r="L591">
        <v>0</v>
      </c>
      <c r="M591">
        <v>0</v>
      </c>
      <c r="N591">
        <v>4</v>
      </c>
      <c r="O591" s="4">
        <f t="shared" si="57"/>
        <v>4</v>
      </c>
      <c r="P591" s="5" t="str">
        <f t="shared" si="58"/>
        <v>Low engagement</v>
      </c>
      <c r="Q591" t="b">
        <v>0</v>
      </c>
      <c r="R591" t="b">
        <v>0</v>
      </c>
      <c r="S591" t="b">
        <v>0</v>
      </c>
      <c r="T591" s="24" t="str">
        <f t="shared" si="59"/>
        <v>Text only</v>
      </c>
    </row>
    <row r="592" spans="1:20" x14ac:dyDescent="0.2">
      <c r="A592" t="s">
        <v>585</v>
      </c>
      <c r="B592" t="s">
        <v>14</v>
      </c>
      <c r="C592" t="s">
        <v>15</v>
      </c>
      <c r="D592" t="s">
        <v>586</v>
      </c>
      <c r="E592" t="s">
        <v>587</v>
      </c>
      <c r="F5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2" s="27">
        <f t="shared" si="54"/>
        <v>40223</v>
      </c>
      <c r="H592" s="7" t="str">
        <f t="shared" si="55"/>
        <v>02:08:59</v>
      </c>
      <c r="I592" s="8" t="str">
        <f t="shared" si="56"/>
        <v>Early morning</v>
      </c>
      <c r="L592">
        <v>1</v>
      </c>
      <c r="M592">
        <v>0</v>
      </c>
      <c r="N592">
        <v>4</v>
      </c>
      <c r="O592" s="4">
        <f t="shared" si="57"/>
        <v>5</v>
      </c>
      <c r="P592" s="5" t="str">
        <f t="shared" si="58"/>
        <v>Moderate engagement</v>
      </c>
      <c r="Q592" t="b">
        <v>0</v>
      </c>
      <c r="R592" t="b">
        <v>0</v>
      </c>
      <c r="S592" t="b">
        <v>1</v>
      </c>
      <c r="T592" s="24" t="str">
        <f t="shared" si="59"/>
        <v>Link</v>
      </c>
    </row>
    <row r="593" spans="1:20" x14ac:dyDescent="0.2">
      <c r="A593" t="s">
        <v>560</v>
      </c>
      <c r="B593" t="s">
        <v>14</v>
      </c>
      <c r="C593" t="s">
        <v>15</v>
      </c>
      <c r="D593" t="s">
        <v>561</v>
      </c>
      <c r="E593" t="s">
        <v>562</v>
      </c>
      <c r="F5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3" s="27">
        <f t="shared" si="54"/>
        <v>40227</v>
      </c>
      <c r="H593" s="7" t="str">
        <f t="shared" si="55"/>
        <v>22:07:39</v>
      </c>
      <c r="I593" s="8" t="str">
        <f t="shared" si="56"/>
        <v>Evening</v>
      </c>
      <c r="L593">
        <v>0</v>
      </c>
      <c r="M593">
        <v>0</v>
      </c>
      <c r="N593">
        <v>4</v>
      </c>
      <c r="O593" s="4">
        <f t="shared" si="57"/>
        <v>4</v>
      </c>
      <c r="P593" s="5" t="str">
        <f t="shared" si="58"/>
        <v>Low engagement</v>
      </c>
      <c r="Q593" t="b">
        <v>0</v>
      </c>
      <c r="R593" t="b">
        <v>0</v>
      </c>
      <c r="S593" t="b">
        <v>0</v>
      </c>
      <c r="T593" s="24" t="str">
        <f t="shared" si="59"/>
        <v>Text only</v>
      </c>
    </row>
    <row r="594" spans="1:20" x14ac:dyDescent="0.2">
      <c r="A594" t="s">
        <v>464</v>
      </c>
      <c r="B594" t="s">
        <v>14</v>
      </c>
      <c r="C594" t="s">
        <v>15</v>
      </c>
      <c r="D594" t="s">
        <v>465</v>
      </c>
      <c r="E594" t="s">
        <v>466</v>
      </c>
      <c r="F5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4" s="27">
        <f t="shared" si="54"/>
        <v>40233</v>
      </c>
      <c r="H594" s="7" t="str">
        <f t="shared" si="55"/>
        <v>17:23:43</v>
      </c>
      <c r="I594" s="8" t="str">
        <f t="shared" si="56"/>
        <v>Afternoon</v>
      </c>
      <c r="L594">
        <v>2</v>
      </c>
      <c r="M594">
        <v>0</v>
      </c>
      <c r="N594">
        <v>4</v>
      </c>
      <c r="O594" s="4">
        <f t="shared" si="57"/>
        <v>6</v>
      </c>
      <c r="P594" s="5" t="str">
        <f t="shared" si="58"/>
        <v>Moderate engagement</v>
      </c>
      <c r="Q594" t="b">
        <v>0</v>
      </c>
      <c r="R594" t="b">
        <v>0</v>
      </c>
      <c r="S594" t="b">
        <v>1</v>
      </c>
      <c r="T594" s="24" t="str">
        <f t="shared" si="59"/>
        <v>Link</v>
      </c>
    </row>
    <row r="595" spans="1:20" x14ac:dyDescent="0.2">
      <c r="A595" t="s">
        <v>461</v>
      </c>
      <c r="B595" t="s">
        <v>14</v>
      </c>
      <c r="C595" t="s">
        <v>15</v>
      </c>
      <c r="D595" t="s">
        <v>462</v>
      </c>
      <c r="E595" t="s">
        <v>463</v>
      </c>
      <c r="F5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5" s="27">
        <f t="shared" si="54"/>
        <v>40233</v>
      </c>
      <c r="H595" s="7" t="str">
        <f t="shared" si="55"/>
        <v>17:32:30</v>
      </c>
      <c r="I595" s="8" t="str">
        <f t="shared" si="56"/>
        <v>Afternoon</v>
      </c>
      <c r="L595">
        <v>0</v>
      </c>
      <c r="M595">
        <v>0</v>
      </c>
      <c r="N595">
        <v>4</v>
      </c>
      <c r="O595" s="4">
        <f t="shared" si="57"/>
        <v>4</v>
      </c>
      <c r="P595" s="5" t="str">
        <f t="shared" si="58"/>
        <v>Low engagement</v>
      </c>
      <c r="Q595" t="b">
        <v>0</v>
      </c>
      <c r="R595" t="b">
        <v>0</v>
      </c>
      <c r="S595" t="b">
        <v>1</v>
      </c>
      <c r="T595" s="24" t="str">
        <f t="shared" si="59"/>
        <v>Link</v>
      </c>
    </row>
    <row r="596" spans="1:20" x14ac:dyDescent="0.2">
      <c r="A596" t="s">
        <v>416</v>
      </c>
      <c r="B596" t="s">
        <v>14</v>
      </c>
      <c r="C596" t="s">
        <v>15</v>
      </c>
      <c r="D596" t="s">
        <v>417</v>
      </c>
      <c r="E596" t="s">
        <v>418</v>
      </c>
      <c r="F5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6" s="27">
        <f t="shared" si="54"/>
        <v>40239</v>
      </c>
      <c r="H596" s="7" t="str">
        <f t="shared" si="55"/>
        <v>16:18:51</v>
      </c>
      <c r="I596" s="8" t="str">
        <f t="shared" si="56"/>
        <v>Afternoon</v>
      </c>
      <c r="L596">
        <v>0</v>
      </c>
      <c r="M596">
        <v>0</v>
      </c>
      <c r="N596">
        <v>4</v>
      </c>
      <c r="O596" s="4">
        <f t="shared" si="57"/>
        <v>4</v>
      </c>
      <c r="P596" s="5" t="str">
        <f t="shared" si="58"/>
        <v>Low engagement</v>
      </c>
      <c r="Q596" t="b">
        <v>0</v>
      </c>
      <c r="R596" t="b">
        <v>0</v>
      </c>
      <c r="S596" t="b">
        <v>1</v>
      </c>
      <c r="T596" s="24" t="str">
        <f t="shared" si="59"/>
        <v>Link</v>
      </c>
    </row>
    <row r="597" spans="1:20" x14ac:dyDescent="0.2">
      <c r="A597" t="s">
        <v>352</v>
      </c>
      <c r="B597" t="s">
        <v>14</v>
      </c>
      <c r="C597" t="s">
        <v>15</v>
      </c>
      <c r="D597" t="s">
        <v>353</v>
      </c>
      <c r="E597" t="s">
        <v>354</v>
      </c>
      <c r="F5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7" s="27">
        <f t="shared" si="54"/>
        <v>40245</v>
      </c>
      <c r="H597" s="7" t="str">
        <f t="shared" si="55"/>
        <v>18:12:36</v>
      </c>
      <c r="I597" s="8" t="str">
        <f t="shared" si="56"/>
        <v>Evening</v>
      </c>
      <c r="L597">
        <v>0</v>
      </c>
      <c r="M597">
        <v>0</v>
      </c>
      <c r="N597">
        <v>4</v>
      </c>
      <c r="O597" s="4">
        <f t="shared" si="57"/>
        <v>4</v>
      </c>
      <c r="P597" s="5" t="str">
        <f t="shared" si="58"/>
        <v>Low engagement</v>
      </c>
      <c r="Q597" t="b">
        <v>0</v>
      </c>
      <c r="R597" t="b">
        <v>0</v>
      </c>
      <c r="S597" t="b">
        <v>1</v>
      </c>
      <c r="T597" s="24" t="str">
        <f t="shared" si="59"/>
        <v>Link</v>
      </c>
    </row>
    <row r="598" spans="1:20" x14ac:dyDescent="0.2">
      <c r="A598" t="s">
        <v>324</v>
      </c>
      <c r="B598" t="s">
        <v>14</v>
      </c>
      <c r="C598" t="s">
        <v>15</v>
      </c>
      <c r="D598" t="s">
        <v>325</v>
      </c>
      <c r="E598" t="s">
        <v>326</v>
      </c>
      <c r="F5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8" s="27">
        <f t="shared" si="54"/>
        <v>40247</v>
      </c>
      <c r="H598" s="7" t="str">
        <f t="shared" si="55"/>
        <v>18:28:43</v>
      </c>
      <c r="I598" s="8" t="str">
        <f t="shared" si="56"/>
        <v>Evening</v>
      </c>
      <c r="L598">
        <v>0</v>
      </c>
      <c r="M598">
        <v>0</v>
      </c>
      <c r="N598">
        <v>4</v>
      </c>
      <c r="O598" s="4">
        <f t="shared" si="57"/>
        <v>4</v>
      </c>
      <c r="P598" s="5" t="str">
        <f t="shared" si="58"/>
        <v>Low engagement</v>
      </c>
      <c r="Q598" t="b">
        <v>0</v>
      </c>
      <c r="R598" t="b">
        <v>0</v>
      </c>
      <c r="S598" t="b">
        <v>1</v>
      </c>
      <c r="T598" s="24" t="str">
        <f t="shared" si="59"/>
        <v>Link</v>
      </c>
    </row>
    <row r="599" spans="1:20" x14ac:dyDescent="0.2">
      <c r="A599" t="s">
        <v>321</v>
      </c>
      <c r="B599" t="s">
        <v>14</v>
      </c>
      <c r="C599" t="s">
        <v>15</v>
      </c>
      <c r="D599" t="s">
        <v>322</v>
      </c>
      <c r="E599" t="s">
        <v>323</v>
      </c>
      <c r="F5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599" s="27">
        <f t="shared" si="54"/>
        <v>40247</v>
      </c>
      <c r="H599" s="7" t="str">
        <f t="shared" si="55"/>
        <v>21:49:14</v>
      </c>
      <c r="I599" s="8" t="str">
        <f t="shared" si="56"/>
        <v>Evening</v>
      </c>
      <c r="L599">
        <v>1</v>
      </c>
      <c r="M599">
        <v>0</v>
      </c>
      <c r="N599">
        <v>4</v>
      </c>
      <c r="O599" s="4">
        <f t="shared" si="57"/>
        <v>5</v>
      </c>
      <c r="P599" s="5" t="str">
        <f t="shared" si="58"/>
        <v>Moderate engagement</v>
      </c>
      <c r="Q599" t="b">
        <v>0</v>
      </c>
      <c r="R599" t="b">
        <v>0</v>
      </c>
      <c r="S599" t="b">
        <v>1</v>
      </c>
      <c r="T599" s="24" t="str">
        <f t="shared" si="59"/>
        <v>Link</v>
      </c>
    </row>
    <row r="600" spans="1:20" x14ac:dyDescent="0.2">
      <c r="A600" t="s">
        <v>238</v>
      </c>
      <c r="B600" t="s">
        <v>14</v>
      </c>
      <c r="C600" t="s">
        <v>15</v>
      </c>
      <c r="D600" t="s">
        <v>239</v>
      </c>
      <c r="E600" t="s">
        <v>240</v>
      </c>
      <c r="F6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0" s="27">
        <f t="shared" si="54"/>
        <v>40260</v>
      </c>
      <c r="H600" s="7" t="str">
        <f t="shared" si="55"/>
        <v>21:45:29</v>
      </c>
      <c r="I600" s="8" t="str">
        <f t="shared" si="56"/>
        <v>Evening</v>
      </c>
      <c r="L600">
        <v>2</v>
      </c>
      <c r="M600">
        <v>0</v>
      </c>
      <c r="N600">
        <v>4</v>
      </c>
      <c r="O600" s="4">
        <f t="shared" si="57"/>
        <v>6</v>
      </c>
      <c r="P600" s="5" t="str">
        <f t="shared" si="58"/>
        <v>Moderate engagement</v>
      </c>
      <c r="Q600" t="b">
        <v>0</v>
      </c>
      <c r="R600" t="b">
        <v>0</v>
      </c>
      <c r="S600" t="b">
        <v>1</v>
      </c>
      <c r="T600" s="24" t="str">
        <f t="shared" si="59"/>
        <v>Link</v>
      </c>
    </row>
    <row r="601" spans="1:20" x14ac:dyDescent="0.2">
      <c r="A601" t="s">
        <v>114</v>
      </c>
      <c r="B601" t="s">
        <v>14</v>
      </c>
      <c r="C601" t="s">
        <v>15</v>
      </c>
      <c r="D601" t="s">
        <v>115</v>
      </c>
      <c r="E601" t="s">
        <v>116</v>
      </c>
      <c r="F6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1" s="27">
        <f t="shared" si="54"/>
        <v>40281</v>
      </c>
      <c r="H601" s="7" t="str">
        <f t="shared" si="55"/>
        <v>21:15:06</v>
      </c>
      <c r="I601" s="8" t="str">
        <f t="shared" si="56"/>
        <v>Evening</v>
      </c>
      <c r="L601">
        <v>1</v>
      </c>
      <c r="M601">
        <v>0</v>
      </c>
      <c r="N601">
        <v>4</v>
      </c>
      <c r="O601" s="4">
        <f t="shared" si="57"/>
        <v>5</v>
      </c>
      <c r="P601" s="5" t="str">
        <f t="shared" si="58"/>
        <v>Moderate engagement</v>
      </c>
      <c r="Q601" t="b">
        <v>0</v>
      </c>
      <c r="R601" t="b">
        <v>0</v>
      </c>
      <c r="S601" t="b">
        <v>1</v>
      </c>
      <c r="T601" s="24" t="str">
        <f t="shared" si="59"/>
        <v>Link</v>
      </c>
    </row>
    <row r="602" spans="1:20" x14ac:dyDescent="0.2">
      <c r="A602" t="s">
        <v>111</v>
      </c>
      <c r="B602" t="s">
        <v>14</v>
      </c>
      <c r="C602" t="s">
        <v>15</v>
      </c>
      <c r="D602" t="s">
        <v>112</v>
      </c>
      <c r="E602" t="s">
        <v>113</v>
      </c>
      <c r="F6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2" s="27">
        <f t="shared" si="54"/>
        <v>40281</v>
      </c>
      <c r="H602" s="7" t="str">
        <f t="shared" si="55"/>
        <v>21:51:35</v>
      </c>
      <c r="I602" s="8" t="str">
        <f t="shared" si="56"/>
        <v>Evening</v>
      </c>
      <c r="K602" t="s">
        <v>2351</v>
      </c>
      <c r="L602">
        <v>0</v>
      </c>
      <c r="M602">
        <v>0</v>
      </c>
      <c r="N602">
        <v>4</v>
      </c>
      <c r="O602" s="4">
        <f t="shared" si="57"/>
        <v>4</v>
      </c>
      <c r="P602" s="5" t="str">
        <f t="shared" si="58"/>
        <v>Low engagement</v>
      </c>
      <c r="Q602" t="b">
        <v>0</v>
      </c>
      <c r="R602" t="b">
        <v>0</v>
      </c>
      <c r="S602" t="b">
        <v>1</v>
      </c>
      <c r="T602" s="24" t="str">
        <f t="shared" si="59"/>
        <v>Link</v>
      </c>
    </row>
    <row r="603" spans="1:20" x14ac:dyDescent="0.2">
      <c r="A603" t="s">
        <v>66</v>
      </c>
      <c r="B603" t="s">
        <v>14</v>
      </c>
      <c r="C603" t="s">
        <v>15</v>
      </c>
      <c r="D603" t="s">
        <v>67</v>
      </c>
      <c r="E603" t="s">
        <v>68</v>
      </c>
      <c r="F6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3" s="27">
        <f t="shared" si="54"/>
        <v>40284</v>
      </c>
      <c r="H603" s="7" t="str">
        <f t="shared" si="55"/>
        <v>18:44:32</v>
      </c>
      <c r="I603" s="8" t="str">
        <f t="shared" si="56"/>
        <v>Evening</v>
      </c>
      <c r="L603">
        <v>2</v>
      </c>
      <c r="M603">
        <v>0</v>
      </c>
      <c r="N603">
        <v>4</v>
      </c>
      <c r="O603" s="4">
        <f t="shared" si="57"/>
        <v>6</v>
      </c>
      <c r="P603" s="5" t="str">
        <f t="shared" si="58"/>
        <v>Moderate engagement</v>
      </c>
      <c r="Q603" t="b">
        <v>0</v>
      </c>
      <c r="R603" t="b">
        <v>0</v>
      </c>
      <c r="S603" t="b">
        <v>1</v>
      </c>
      <c r="T603" s="24" t="str">
        <f t="shared" si="59"/>
        <v>Link</v>
      </c>
    </row>
    <row r="604" spans="1:20" x14ac:dyDescent="0.2">
      <c r="A604" t="s">
        <v>620</v>
      </c>
      <c r="B604" t="s">
        <v>14</v>
      </c>
      <c r="C604" t="s">
        <v>15</v>
      </c>
      <c r="D604" t="s">
        <v>621</v>
      </c>
      <c r="E604" t="s">
        <v>622</v>
      </c>
      <c r="F6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4" s="27">
        <f t="shared" si="54"/>
        <v>40219</v>
      </c>
      <c r="H604" s="7" t="str">
        <f t="shared" si="55"/>
        <v>19:27:26</v>
      </c>
      <c r="I604" s="8" t="str">
        <f t="shared" si="56"/>
        <v>Evening</v>
      </c>
      <c r="L604">
        <v>1</v>
      </c>
      <c r="M604">
        <v>0</v>
      </c>
      <c r="N604">
        <v>3</v>
      </c>
      <c r="O604" s="4">
        <f t="shared" si="57"/>
        <v>4</v>
      </c>
      <c r="P604" s="5" t="str">
        <f t="shared" si="58"/>
        <v>Low engagement</v>
      </c>
      <c r="Q604" t="b">
        <v>0</v>
      </c>
      <c r="R604" t="b">
        <v>0</v>
      </c>
      <c r="S604" t="b">
        <v>1</v>
      </c>
      <c r="T604" s="24" t="str">
        <f t="shared" si="59"/>
        <v>Link</v>
      </c>
    </row>
    <row r="605" spans="1:20" x14ac:dyDescent="0.2">
      <c r="A605" t="s">
        <v>614</v>
      </c>
      <c r="B605" t="s">
        <v>14</v>
      </c>
      <c r="C605" t="s">
        <v>15</v>
      </c>
      <c r="D605" t="s">
        <v>615</v>
      </c>
      <c r="E605" t="s">
        <v>616</v>
      </c>
      <c r="F6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5" s="27">
        <f t="shared" si="54"/>
        <v>40220</v>
      </c>
      <c r="H605" s="7" t="str">
        <f t="shared" si="55"/>
        <v>18:47:08</v>
      </c>
      <c r="I605" s="8" t="str">
        <f t="shared" si="56"/>
        <v>Evening</v>
      </c>
      <c r="L605">
        <v>0</v>
      </c>
      <c r="M605">
        <v>0</v>
      </c>
      <c r="N605">
        <v>3</v>
      </c>
      <c r="O605" s="4">
        <f t="shared" si="57"/>
        <v>3</v>
      </c>
      <c r="P605" s="5" t="str">
        <f t="shared" si="58"/>
        <v>Low engagement</v>
      </c>
      <c r="Q605" t="b">
        <v>0</v>
      </c>
      <c r="R605" t="b">
        <v>0</v>
      </c>
      <c r="S605" t="b">
        <v>1</v>
      </c>
      <c r="T605" s="24" t="str">
        <f t="shared" si="59"/>
        <v>Link</v>
      </c>
    </row>
    <row r="606" spans="1:20" x14ac:dyDescent="0.2">
      <c r="A606" t="s">
        <v>599</v>
      </c>
      <c r="B606" t="s">
        <v>14</v>
      </c>
      <c r="C606" t="s">
        <v>15</v>
      </c>
      <c r="D606" t="s">
        <v>600</v>
      </c>
      <c r="E606" t="s">
        <v>601</v>
      </c>
      <c r="F6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6" s="27">
        <f t="shared" si="54"/>
        <v>40221</v>
      </c>
      <c r="H606" s="7" t="str">
        <f t="shared" si="55"/>
        <v>20:40:30</v>
      </c>
      <c r="I606" s="8" t="str">
        <f t="shared" si="56"/>
        <v>Evening</v>
      </c>
      <c r="L606">
        <v>0</v>
      </c>
      <c r="M606">
        <v>0</v>
      </c>
      <c r="N606">
        <v>3</v>
      </c>
      <c r="O606" s="4">
        <f t="shared" si="57"/>
        <v>3</v>
      </c>
      <c r="P606" s="5" t="str">
        <f t="shared" si="58"/>
        <v>Low engagement</v>
      </c>
      <c r="Q606" t="b">
        <v>0</v>
      </c>
      <c r="R606" t="b">
        <v>0</v>
      </c>
      <c r="S606" t="b">
        <v>0</v>
      </c>
      <c r="T606" s="24" t="str">
        <f t="shared" si="59"/>
        <v>Text only</v>
      </c>
    </row>
    <row r="607" spans="1:20" x14ac:dyDescent="0.2">
      <c r="A607" t="s">
        <v>549</v>
      </c>
      <c r="B607" t="s">
        <v>14</v>
      </c>
      <c r="C607" t="s">
        <v>15</v>
      </c>
      <c r="D607" t="s">
        <v>550</v>
      </c>
      <c r="E607" t="s">
        <v>551</v>
      </c>
      <c r="F6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7" s="27">
        <f t="shared" si="54"/>
        <v>40231</v>
      </c>
      <c r="H607" s="7" t="str">
        <f t="shared" si="55"/>
        <v>02:20:51</v>
      </c>
      <c r="I607" s="8" t="str">
        <f t="shared" si="56"/>
        <v>Early morning</v>
      </c>
      <c r="L607">
        <v>1</v>
      </c>
      <c r="M607">
        <v>0</v>
      </c>
      <c r="N607">
        <v>3</v>
      </c>
      <c r="O607" s="4">
        <f t="shared" si="57"/>
        <v>4</v>
      </c>
      <c r="P607" s="5" t="str">
        <f t="shared" si="58"/>
        <v>Low engagement</v>
      </c>
      <c r="Q607" t="b">
        <v>0</v>
      </c>
      <c r="R607" t="b">
        <v>0</v>
      </c>
      <c r="S607" t="b">
        <v>1</v>
      </c>
      <c r="T607" s="24" t="str">
        <f t="shared" si="59"/>
        <v>Link</v>
      </c>
    </row>
    <row r="608" spans="1:20" x14ac:dyDescent="0.2">
      <c r="A608" t="s">
        <v>413</v>
      </c>
      <c r="B608" t="s">
        <v>14</v>
      </c>
      <c r="C608" t="s">
        <v>15</v>
      </c>
      <c r="D608" t="s">
        <v>414</v>
      </c>
      <c r="E608" t="s">
        <v>415</v>
      </c>
      <c r="F6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8" s="27">
        <f t="shared" si="54"/>
        <v>40239</v>
      </c>
      <c r="H608" s="7" t="str">
        <f t="shared" si="55"/>
        <v>16:48:16</v>
      </c>
      <c r="I608" s="8" t="str">
        <f t="shared" si="56"/>
        <v>Afternoon</v>
      </c>
      <c r="L608">
        <v>0</v>
      </c>
      <c r="M608">
        <v>0</v>
      </c>
      <c r="N608">
        <v>3</v>
      </c>
      <c r="O608" s="4">
        <f t="shared" si="57"/>
        <v>3</v>
      </c>
      <c r="P608" s="5" t="str">
        <f t="shared" si="58"/>
        <v>Low engagement</v>
      </c>
      <c r="Q608" t="b">
        <v>0</v>
      </c>
      <c r="R608" t="b">
        <v>0</v>
      </c>
      <c r="S608" t="b">
        <v>1</v>
      </c>
      <c r="T608" s="24" t="str">
        <f t="shared" si="59"/>
        <v>Link</v>
      </c>
    </row>
    <row r="609" spans="1:20" x14ac:dyDescent="0.2">
      <c r="A609" t="s">
        <v>410</v>
      </c>
      <c r="B609" t="s">
        <v>14</v>
      </c>
      <c r="C609" t="s">
        <v>15</v>
      </c>
      <c r="D609" t="s">
        <v>411</v>
      </c>
      <c r="E609" t="s">
        <v>412</v>
      </c>
      <c r="F6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09" s="27">
        <f t="shared" si="54"/>
        <v>40239</v>
      </c>
      <c r="H609" s="7" t="str">
        <f t="shared" si="55"/>
        <v>18:07:14</v>
      </c>
      <c r="I609" s="8" t="str">
        <f t="shared" si="56"/>
        <v>Evening</v>
      </c>
      <c r="L609">
        <v>0</v>
      </c>
      <c r="M609">
        <v>0</v>
      </c>
      <c r="N609">
        <v>3</v>
      </c>
      <c r="O609" s="4">
        <f t="shared" si="57"/>
        <v>3</v>
      </c>
      <c r="P609" s="5" t="str">
        <f t="shared" si="58"/>
        <v>Low engagement</v>
      </c>
      <c r="Q609" t="b">
        <v>0</v>
      </c>
      <c r="R609" t="b">
        <v>0</v>
      </c>
      <c r="S609" t="b">
        <v>1</v>
      </c>
      <c r="T609" s="24" t="str">
        <f t="shared" si="59"/>
        <v>Link</v>
      </c>
    </row>
    <row r="610" spans="1:20" x14ac:dyDescent="0.2">
      <c r="A610" t="s">
        <v>246</v>
      </c>
      <c r="B610" t="s">
        <v>14</v>
      </c>
      <c r="C610" t="s">
        <v>15</v>
      </c>
      <c r="D610" t="s">
        <v>247</v>
      </c>
      <c r="E610" t="s">
        <v>248</v>
      </c>
      <c r="F6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0" s="27">
        <f t="shared" si="54"/>
        <v>40259</v>
      </c>
      <c r="H610" s="7" t="str">
        <f t="shared" si="55"/>
        <v>19:40:43</v>
      </c>
      <c r="I610" s="8" t="str">
        <f t="shared" si="56"/>
        <v>Evening</v>
      </c>
      <c r="L610">
        <v>1</v>
      </c>
      <c r="M610">
        <v>0</v>
      </c>
      <c r="N610">
        <v>3</v>
      </c>
      <c r="O610" s="4">
        <f t="shared" si="57"/>
        <v>4</v>
      </c>
      <c r="P610" s="5" t="str">
        <f t="shared" si="58"/>
        <v>Low engagement</v>
      </c>
      <c r="Q610" t="b">
        <v>0</v>
      </c>
      <c r="R610" t="b">
        <v>0</v>
      </c>
      <c r="S610" t="b">
        <v>1</v>
      </c>
      <c r="T610" s="24" t="str">
        <f t="shared" si="59"/>
        <v>Link</v>
      </c>
    </row>
    <row r="611" spans="1:20" x14ac:dyDescent="0.2">
      <c r="A611" t="s">
        <v>219</v>
      </c>
      <c r="B611" t="s">
        <v>14</v>
      </c>
      <c r="C611" t="s">
        <v>15</v>
      </c>
      <c r="D611" t="s">
        <v>220</v>
      </c>
      <c r="E611" t="s">
        <v>221</v>
      </c>
      <c r="F6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1" s="27">
        <f t="shared" si="54"/>
        <v>40263</v>
      </c>
      <c r="H611" s="7" t="str">
        <f t="shared" si="55"/>
        <v>15:58:33</v>
      </c>
      <c r="I611" s="8" t="str">
        <f t="shared" si="56"/>
        <v>Afternoon</v>
      </c>
      <c r="L611">
        <v>0</v>
      </c>
      <c r="M611">
        <v>0</v>
      </c>
      <c r="N611">
        <v>3</v>
      </c>
      <c r="O611" s="4">
        <f t="shared" si="57"/>
        <v>3</v>
      </c>
      <c r="P611" s="5" t="str">
        <f t="shared" si="58"/>
        <v>Low engagement</v>
      </c>
      <c r="Q611" t="b">
        <v>0</v>
      </c>
      <c r="R611" t="b">
        <v>0</v>
      </c>
      <c r="S611" t="b">
        <v>0</v>
      </c>
      <c r="T611" s="24" t="str">
        <f t="shared" si="59"/>
        <v>Text only</v>
      </c>
    </row>
    <row r="612" spans="1:20" x14ac:dyDescent="0.2">
      <c r="A612" t="s">
        <v>191</v>
      </c>
      <c r="B612" t="s">
        <v>14</v>
      </c>
      <c r="C612" t="s">
        <v>15</v>
      </c>
      <c r="D612" t="s">
        <v>192</v>
      </c>
      <c r="E612" t="s">
        <v>193</v>
      </c>
      <c r="F6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2" s="27">
        <f t="shared" si="54"/>
        <v>40269</v>
      </c>
      <c r="H612" s="7" t="str">
        <f t="shared" si="55"/>
        <v>17:28:22</v>
      </c>
      <c r="I612" s="8" t="str">
        <f t="shared" si="56"/>
        <v>Afternoon</v>
      </c>
      <c r="L612">
        <v>1</v>
      </c>
      <c r="M612">
        <v>0</v>
      </c>
      <c r="N612">
        <v>3</v>
      </c>
      <c r="O612" s="4">
        <f t="shared" si="57"/>
        <v>4</v>
      </c>
      <c r="P612" s="5" t="str">
        <f t="shared" si="58"/>
        <v>Low engagement</v>
      </c>
      <c r="Q612" t="b">
        <v>0</v>
      </c>
      <c r="R612" t="b">
        <v>0</v>
      </c>
      <c r="S612" t="b">
        <v>1</v>
      </c>
      <c r="T612" s="24" t="str">
        <f t="shared" si="59"/>
        <v>Link</v>
      </c>
    </row>
    <row r="613" spans="1:20" x14ac:dyDescent="0.2">
      <c r="A613" t="s">
        <v>160</v>
      </c>
      <c r="B613" t="s">
        <v>14</v>
      </c>
      <c r="C613" t="s">
        <v>15</v>
      </c>
      <c r="D613" t="s">
        <v>161</v>
      </c>
      <c r="E613" t="s">
        <v>162</v>
      </c>
      <c r="F6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3" s="27">
        <f t="shared" si="54"/>
        <v>40275</v>
      </c>
      <c r="H613" s="7" t="str">
        <f t="shared" si="55"/>
        <v>22:34:06</v>
      </c>
      <c r="I613" s="8" t="str">
        <f t="shared" si="56"/>
        <v>Evening</v>
      </c>
      <c r="L613">
        <v>1</v>
      </c>
      <c r="M613">
        <v>0</v>
      </c>
      <c r="N613">
        <v>3</v>
      </c>
      <c r="O613" s="4">
        <f t="shared" si="57"/>
        <v>4</v>
      </c>
      <c r="P613" s="5" t="str">
        <f t="shared" si="58"/>
        <v>Low engagement</v>
      </c>
      <c r="Q613" t="b">
        <v>0</v>
      </c>
      <c r="R613" t="b">
        <v>0</v>
      </c>
      <c r="S613" t="b">
        <v>1</v>
      </c>
      <c r="T613" s="24" t="str">
        <f t="shared" si="59"/>
        <v>Link</v>
      </c>
    </row>
    <row r="614" spans="1:20" x14ac:dyDescent="0.2">
      <c r="A614" t="s">
        <v>153</v>
      </c>
      <c r="B614" t="s">
        <v>14</v>
      </c>
      <c r="C614" t="s">
        <v>15</v>
      </c>
      <c r="D614" t="s">
        <v>154</v>
      </c>
      <c r="E614" t="s">
        <v>155</v>
      </c>
      <c r="F6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4" s="27">
        <f t="shared" si="54"/>
        <v>40281</v>
      </c>
      <c r="H614" s="7" t="str">
        <f t="shared" si="55"/>
        <v>00:54:36</v>
      </c>
      <c r="I614" s="8" t="str">
        <f t="shared" si="56"/>
        <v>Early morning</v>
      </c>
      <c r="L614">
        <v>0</v>
      </c>
      <c r="M614">
        <v>0</v>
      </c>
      <c r="N614">
        <v>3</v>
      </c>
      <c r="O614" s="4">
        <f t="shared" si="57"/>
        <v>3</v>
      </c>
      <c r="P614" s="5" t="str">
        <f t="shared" si="58"/>
        <v>Low engagement</v>
      </c>
      <c r="Q614" t="b">
        <v>0</v>
      </c>
      <c r="R614" t="b">
        <v>0</v>
      </c>
      <c r="S614" t="b">
        <v>1</v>
      </c>
      <c r="T614" s="24" t="str">
        <f t="shared" si="59"/>
        <v>Link</v>
      </c>
    </row>
    <row r="615" spans="1:20" x14ac:dyDescent="0.2">
      <c r="A615" t="s">
        <v>142</v>
      </c>
      <c r="B615" t="s">
        <v>14</v>
      </c>
      <c r="C615" t="s">
        <v>15</v>
      </c>
      <c r="D615" t="s">
        <v>141</v>
      </c>
      <c r="E615" t="s">
        <v>143</v>
      </c>
      <c r="F6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5" s="27">
        <f t="shared" si="54"/>
        <v>40281</v>
      </c>
      <c r="H615" s="7" t="str">
        <f t="shared" si="55"/>
        <v>17:15:24</v>
      </c>
      <c r="I615" s="8" t="str">
        <f t="shared" si="56"/>
        <v>Afternoon</v>
      </c>
      <c r="L615">
        <v>0</v>
      </c>
      <c r="M615">
        <v>0</v>
      </c>
      <c r="N615">
        <v>3</v>
      </c>
      <c r="O615" s="4">
        <f t="shared" si="57"/>
        <v>3</v>
      </c>
      <c r="P615" s="5" t="str">
        <f t="shared" si="58"/>
        <v>Low engagement</v>
      </c>
      <c r="Q615" t="b">
        <v>0</v>
      </c>
      <c r="R615" t="b">
        <v>0</v>
      </c>
      <c r="S615" t="b">
        <v>1</v>
      </c>
      <c r="T615" s="24" t="str">
        <f t="shared" si="59"/>
        <v>Link</v>
      </c>
    </row>
    <row r="616" spans="1:20" x14ac:dyDescent="0.2">
      <c r="A616" t="s">
        <v>138</v>
      </c>
      <c r="B616" t="s">
        <v>14</v>
      </c>
      <c r="C616" t="s">
        <v>15</v>
      </c>
      <c r="D616" t="s">
        <v>139</v>
      </c>
      <c r="E616" t="s">
        <v>140</v>
      </c>
      <c r="F6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6" s="27">
        <f t="shared" si="54"/>
        <v>40281</v>
      </c>
      <c r="H616" s="7" t="str">
        <f t="shared" si="55"/>
        <v>17:31:15</v>
      </c>
      <c r="I616" s="8" t="str">
        <f t="shared" si="56"/>
        <v>Afternoon</v>
      </c>
      <c r="L616">
        <v>0</v>
      </c>
      <c r="M616">
        <v>0</v>
      </c>
      <c r="N616">
        <v>3</v>
      </c>
      <c r="O616" s="4">
        <f t="shared" si="57"/>
        <v>3</v>
      </c>
      <c r="P616" s="5" t="str">
        <f t="shared" si="58"/>
        <v>Low engagement</v>
      </c>
      <c r="Q616" t="b">
        <v>0</v>
      </c>
      <c r="R616" t="b">
        <v>0</v>
      </c>
      <c r="S616" t="b">
        <v>1</v>
      </c>
      <c r="T616" s="24" t="str">
        <f t="shared" si="59"/>
        <v>Link</v>
      </c>
    </row>
    <row r="617" spans="1:20" x14ac:dyDescent="0.2">
      <c r="A617" t="s">
        <v>126</v>
      </c>
      <c r="B617" t="s">
        <v>14</v>
      </c>
      <c r="C617" t="s">
        <v>15</v>
      </c>
      <c r="D617" t="s">
        <v>127</v>
      </c>
      <c r="E617" t="s">
        <v>128</v>
      </c>
      <c r="F6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7" s="27">
        <f t="shared" si="54"/>
        <v>40281</v>
      </c>
      <c r="H617" s="7" t="str">
        <f t="shared" si="55"/>
        <v>20:35:08</v>
      </c>
      <c r="I617" s="8" t="str">
        <f t="shared" si="56"/>
        <v>Evening</v>
      </c>
      <c r="L617">
        <v>0</v>
      </c>
      <c r="M617">
        <v>0</v>
      </c>
      <c r="N617">
        <v>3</v>
      </c>
      <c r="O617" s="4">
        <f t="shared" si="57"/>
        <v>3</v>
      </c>
      <c r="P617" s="5" t="str">
        <f t="shared" si="58"/>
        <v>Low engagement</v>
      </c>
      <c r="Q617" t="b">
        <v>0</v>
      </c>
      <c r="R617" t="b">
        <v>0</v>
      </c>
      <c r="S617" t="b">
        <v>1</v>
      </c>
      <c r="T617" s="24" t="str">
        <f t="shared" si="59"/>
        <v>Link</v>
      </c>
    </row>
    <row r="618" spans="1:20" x14ac:dyDescent="0.2">
      <c r="A618" t="s">
        <v>108</v>
      </c>
      <c r="B618" t="s">
        <v>14</v>
      </c>
      <c r="C618" t="s">
        <v>15</v>
      </c>
      <c r="D618" t="s">
        <v>109</v>
      </c>
      <c r="E618" t="s">
        <v>110</v>
      </c>
      <c r="F6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8" s="27">
        <f t="shared" si="54"/>
        <v>40281</v>
      </c>
      <c r="H618" s="7" t="str">
        <f t="shared" si="55"/>
        <v>22:07:36</v>
      </c>
      <c r="I618" s="8" t="str">
        <f t="shared" si="56"/>
        <v>Evening</v>
      </c>
      <c r="L618">
        <v>1</v>
      </c>
      <c r="M618">
        <v>0</v>
      </c>
      <c r="N618">
        <v>3</v>
      </c>
      <c r="O618" s="4">
        <f t="shared" si="57"/>
        <v>4</v>
      </c>
      <c r="P618" s="5" t="str">
        <f t="shared" si="58"/>
        <v>Low engagement</v>
      </c>
      <c r="Q618" t="b">
        <v>0</v>
      </c>
      <c r="R618" t="b">
        <v>0</v>
      </c>
      <c r="S618" t="b">
        <v>1</v>
      </c>
      <c r="T618" s="24" t="str">
        <f t="shared" si="59"/>
        <v>Link</v>
      </c>
    </row>
    <row r="619" spans="1:20" x14ac:dyDescent="0.2">
      <c r="A619" t="s">
        <v>41</v>
      </c>
      <c r="B619" t="s">
        <v>14</v>
      </c>
      <c r="C619" t="s">
        <v>15</v>
      </c>
      <c r="D619" t="s">
        <v>42</v>
      </c>
      <c r="E619" t="s">
        <v>43</v>
      </c>
      <c r="F6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19" s="27">
        <f t="shared" si="54"/>
        <v>40290</v>
      </c>
      <c r="H619" s="7" t="str">
        <f t="shared" si="55"/>
        <v>18:21:45</v>
      </c>
      <c r="I619" s="8" t="str">
        <f t="shared" si="56"/>
        <v>Evening</v>
      </c>
      <c r="L619">
        <v>1</v>
      </c>
      <c r="M619">
        <v>0</v>
      </c>
      <c r="N619">
        <v>3</v>
      </c>
      <c r="O619" s="4">
        <f t="shared" si="57"/>
        <v>4</v>
      </c>
      <c r="P619" s="5" t="str">
        <f t="shared" si="58"/>
        <v>Low engagement</v>
      </c>
      <c r="Q619" t="b">
        <v>0</v>
      </c>
      <c r="R619" t="b">
        <v>0</v>
      </c>
      <c r="S619" t="b">
        <v>1</v>
      </c>
      <c r="T619" s="24" t="str">
        <f t="shared" si="59"/>
        <v>Link</v>
      </c>
    </row>
    <row r="620" spans="1:20" x14ac:dyDescent="0.2">
      <c r="A620" t="s">
        <v>653</v>
      </c>
      <c r="B620" t="s">
        <v>14</v>
      </c>
      <c r="C620" t="s">
        <v>15</v>
      </c>
      <c r="D620" t="s">
        <v>654</v>
      </c>
      <c r="E620" t="s">
        <v>655</v>
      </c>
      <c r="F6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0" s="27">
        <f t="shared" si="54"/>
        <v>40218</v>
      </c>
      <c r="H620" s="7" t="str">
        <f t="shared" si="55"/>
        <v>22:26:20</v>
      </c>
      <c r="I620" s="8" t="str">
        <f t="shared" si="56"/>
        <v>Evening</v>
      </c>
      <c r="L620">
        <v>1</v>
      </c>
      <c r="M620">
        <v>0</v>
      </c>
      <c r="N620">
        <v>2</v>
      </c>
      <c r="O620" s="4">
        <f t="shared" si="57"/>
        <v>3</v>
      </c>
      <c r="P620" s="5" t="str">
        <f t="shared" si="58"/>
        <v>Low engagement</v>
      </c>
      <c r="Q620" t="b">
        <v>0</v>
      </c>
      <c r="R620" t="b">
        <v>0</v>
      </c>
      <c r="S620" t="b">
        <v>0</v>
      </c>
      <c r="T620" s="24" t="str">
        <f t="shared" si="59"/>
        <v>Text only</v>
      </c>
    </row>
    <row r="621" spans="1:20" x14ac:dyDescent="0.2">
      <c r="A621" t="s">
        <v>580</v>
      </c>
      <c r="B621" t="s">
        <v>14</v>
      </c>
      <c r="C621" t="s">
        <v>15</v>
      </c>
      <c r="D621" t="s">
        <v>581</v>
      </c>
      <c r="E621" t="s">
        <v>582</v>
      </c>
      <c r="F6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1" s="27">
        <f t="shared" si="54"/>
        <v>40225</v>
      </c>
      <c r="H621" s="7" t="str">
        <f t="shared" si="55"/>
        <v>16:30:34</v>
      </c>
      <c r="I621" s="8" t="str">
        <f t="shared" si="56"/>
        <v>Afternoon</v>
      </c>
      <c r="J621" t="s">
        <v>583</v>
      </c>
      <c r="L621">
        <v>0</v>
      </c>
      <c r="M621">
        <v>0</v>
      </c>
      <c r="N621">
        <v>2</v>
      </c>
      <c r="O621" s="4">
        <f t="shared" si="57"/>
        <v>2</v>
      </c>
      <c r="P621" s="5" t="str">
        <f t="shared" si="58"/>
        <v>Low engagement</v>
      </c>
      <c r="Q621" t="b">
        <v>0</v>
      </c>
      <c r="R621" t="b">
        <v>0</v>
      </c>
      <c r="S621" t="b">
        <v>1</v>
      </c>
      <c r="T621" s="24" t="str">
        <f t="shared" si="59"/>
        <v>Link</v>
      </c>
    </row>
    <row r="622" spans="1:20" x14ac:dyDescent="0.2">
      <c r="A622" t="s">
        <v>577</v>
      </c>
      <c r="B622" t="s">
        <v>14</v>
      </c>
      <c r="C622" t="s">
        <v>15</v>
      </c>
      <c r="D622" t="s">
        <v>578</v>
      </c>
      <c r="E622" t="s">
        <v>579</v>
      </c>
      <c r="F6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2" s="27">
        <f t="shared" si="54"/>
        <v>40226</v>
      </c>
      <c r="H622" s="7" t="str">
        <f t="shared" si="55"/>
        <v>17:24:52</v>
      </c>
      <c r="I622" s="8" t="str">
        <f t="shared" si="56"/>
        <v>Afternoon</v>
      </c>
      <c r="L622">
        <v>1</v>
      </c>
      <c r="M622">
        <v>0</v>
      </c>
      <c r="N622">
        <v>2</v>
      </c>
      <c r="O622" s="4">
        <f t="shared" si="57"/>
        <v>3</v>
      </c>
      <c r="P622" s="5" t="str">
        <f t="shared" si="58"/>
        <v>Low engagement</v>
      </c>
      <c r="Q622" t="b">
        <v>0</v>
      </c>
      <c r="R622" t="b">
        <v>0</v>
      </c>
      <c r="S622" t="b">
        <v>0</v>
      </c>
      <c r="T622" s="24" t="str">
        <f t="shared" si="59"/>
        <v>Text only</v>
      </c>
    </row>
    <row r="623" spans="1:20" x14ac:dyDescent="0.2">
      <c r="A623" t="s">
        <v>483</v>
      </c>
      <c r="B623" t="s">
        <v>14</v>
      </c>
      <c r="C623" t="s">
        <v>15</v>
      </c>
      <c r="D623" t="s">
        <v>484</v>
      </c>
      <c r="E623" t="s">
        <v>485</v>
      </c>
      <c r="F6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3" s="27">
        <f t="shared" si="54"/>
        <v>40232</v>
      </c>
      <c r="H623" s="7" t="str">
        <f t="shared" si="55"/>
        <v>01:42:52</v>
      </c>
      <c r="I623" s="8" t="str">
        <f t="shared" si="56"/>
        <v>Early morning</v>
      </c>
      <c r="L623">
        <v>0</v>
      </c>
      <c r="M623">
        <v>0</v>
      </c>
      <c r="N623">
        <v>2</v>
      </c>
      <c r="O623" s="4">
        <f t="shared" si="57"/>
        <v>2</v>
      </c>
      <c r="P623" s="5" t="str">
        <f t="shared" si="58"/>
        <v>Low engagement</v>
      </c>
      <c r="Q623" t="b">
        <v>0</v>
      </c>
      <c r="R623" t="b">
        <v>0</v>
      </c>
      <c r="S623" t="b">
        <v>0</v>
      </c>
      <c r="T623" s="24" t="str">
        <f t="shared" si="59"/>
        <v>Text only</v>
      </c>
    </row>
    <row r="624" spans="1:20" x14ac:dyDescent="0.2">
      <c r="A624" t="s">
        <v>477</v>
      </c>
      <c r="B624" t="s">
        <v>14</v>
      </c>
      <c r="C624" t="s">
        <v>15</v>
      </c>
      <c r="D624" t="s">
        <v>478</v>
      </c>
      <c r="E624" t="s">
        <v>479</v>
      </c>
      <c r="F6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4" s="27">
        <f t="shared" si="54"/>
        <v>40232</v>
      </c>
      <c r="H624" s="7" t="str">
        <f t="shared" si="55"/>
        <v>18:21:04</v>
      </c>
      <c r="I624" s="8" t="str">
        <f t="shared" si="56"/>
        <v>Evening</v>
      </c>
      <c r="L624">
        <v>1</v>
      </c>
      <c r="M624">
        <v>0</v>
      </c>
      <c r="N624">
        <v>2</v>
      </c>
      <c r="O624" s="4">
        <f t="shared" si="57"/>
        <v>3</v>
      </c>
      <c r="P624" s="5" t="str">
        <f t="shared" si="58"/>
        <v>Low engagement</v>
      </c>
      <c r="Q624" t="b">
        <v>0</v>
      </c>
      <c r="R624" t="b">
        <v>0</v>
      </c>
      <c r="S624" t="b">
        <v>1</v>
      </c>
      <c r="T624" s="24" t="str">
        <f t="shared" si="59"/>
        <v>Link</v>
      </c>
    </row>
    <row r="625" spans="1:20" x14ac:dyDescent="0.2">
      <c r="A625" t="s">
        <v>473</v>
      </c>
      <c r="B625" t="s">
        <v>14</v>
      </c>
      <c r="C625" t="s">
        <v>15</v>
      </c>
      <c r="D625" t="s">
        <v>474</v>
      </c>
      <c r="E625" t="s">
        <v>475</v>
      </c>
      <c r="F6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5" s="27">
        <f t="shared" si="54"/>
        <v>40232</v>
      </c>
      <c r="H625" s="7" t="str">
        <f t="shared" si="55"/>
        <v>21:11:36</v>
      </c>
      <c r="I625" s="8" t="str">
        <f t="shared" si="56"/>
        <v>Evening</v>
      </c>
      <c r="L625">
        <v>0</v>
      </c>
      <c r="M625">
        <v>0</v>
      </c>
      <c r="N625">
        <v>2</v>
      </c>
      <c r="O625" s="4">
        <f t="shared" si="57"/>
        <v>2</v>
      </c>
      <c r="P625" s="5" t="str">
        <f t="shared" si="58"/>
        <v>Low engagement</v>
      </c>
      <c r="Q625" t="b">
        <v>0</v>
      </c>
      <c r="R625" t="b">
        <v>0</v>
      </c>
      <c r="S625" t="b">
        <v>1</v>
      </c>
      <c r="T625" s="24" t="str">
        <f t="shared" si="59"/>
        <v>Link</v>
      </c>
    </row>
    <row r="626" spans="1:20" x14ac:dyDescent="0.2">
      <c r="A626" t="s">
        <v>458</v>
      </c>
      <c r="B626" t="s">
        <v>14</v>
      </c>
      <c r="C626" t="s">
        <v>15</v>
      </c>
      <c r="D626" t="s">
        <v>459</v>
      </c>
      <c r="E626" t="s">
        <v>460</v>
      </c>
      <c r="F6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6" s="27">
        <f t="shared" si="54"/>
        <v>40233</v>
      </c>
      <c r="H626" s="7" t="str">
        <f t="shared" si="55"/>
        <v>19:04:38</v>
      </c>
      <c r="I626" s="8" t="str">
        <f t="shared" si="56"/>
        <v>Evening</v>
      </c>
      <c r="L626">
        <v>0</v>
      </c>
      <c r="M626">
        <v>0</v>
      </c>
      <c r="N626">
        <v>2</v>
      </c>
      <c r="O626" s="4">
        <f t="shared" si="57"/>
        <v>2</v>
      </c>
      <c r="P626" s="5" t="str">
        <f t="shared" si="58"/>
        <v>Low engagement</v>
      </c>
      <c r="Q626" t="b">
        <v>0</v>
      </c>
      <c r="R626" t="b">
        <v>0</v>
      </c>
      <c r="S626" t="b">
        <v>1</v>
      </c>
      <c r="T626" s="24" t="str">
        <f t="shared" si="59"/>
        <v>Link</v>
      </c>
    </row>
    <row r="627" spans="1:20" x14ac:dyDescent="0.2">
      <c r="A627" t="s">
        <v>440</v>
      </c>
      <c r="B627" t="s">
        <v>14</v>
      </c>
      <c r="C627" t="s">
        <v>15</v>
      </c>
      <c r="D627" t="s">
        <v>441</v>
      </c>
      <c r="E627" t="s">
        <v>442</v>
      </c>
      <c r="F6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7" s="27">
        <f t="shared" si="54"/>
        <v>40235</v>
      </c>
      <c r="H627" s="7" t="str">
        <f t="shared" si="55"/>
        <v>21:37:10</v>
      </c>
      <c r="I627" s="8" t="str">
        <f t="shared" si="56"/>
        <v>Evening</v>
      </c>
      <c r="L627">
        <v>0</v>
      </c>
      <c r="M627">
        <v>0</v>
      </c>
      <c r="N627">
        <v>2</v>
      </c>
      <c r="O627" s="4">
        <f t="shared" si="57"/>
        <v>2</v>
      </c>
      <c r="P627" s="5" t="str">
        <f t="shared" si="58"/>
        <v>Low engagement</v>
      </c>
      <c r="Q627" t="b">
        <v>0</v>
      </c>
      <c r="R627" t="b">
        <v>0</v>
      </c>
      <c r="S627" t="b">
        <v>1</v>
      </c>
      <c r="T627" s="24" t="str">
        <f t="shared" si="59"/>
        <v>Link</v>
      </c>
    </row>
    <row r="628" spans="1:20" x14ac:dyDescent="0.2">
      <c r="A628" t="s">
        <v>425</v>
      </c>
      <c r="B628" t="s">
        <v>14</v>
      </c>
      <c r="C628" t="s">
        <v>15</v>
      </c>
      <c r="D628" t="s">
        <v>426</v>
      </c>
      <c r="E628" t="s">
        <v>427</v>
      </c>
      <c r="F6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8" s="27">
        <f t="shared" si="54"/>
        <v>40239</v>
      </c>
      <c r="H628" s="7" t="str">
        <f t="shared" si="55"/>
        <v>02:40:42</v>
      </c>
      <c r="I628" s="8" t="str">
        <f t="shared" si="56"/>
        <v>Early morning</v>
      </c>
      <c r="L628">
        <v>1</v>
      </c>
      <c r="M628">
        <v>0</v>
      </c>
      <c r="N628">
        <v>2</v>
      </c>
      <c r="O628" s="4">
        <f t="shared" si="57"/>
        <v>3</v>
      </c>
      <c r="P628" s="5" t="str">
        <f t="shared" si="58"/>
        <v>Low engagement</v>
      </c>
      <c r="Q628" t="b">
        <v>0</v>
      </c>
      <c r="R628" t="b">
        <v>0</v>
      </c>
      <c r="S628" t="b">
        <v>1</v>
      </c>
      <c r="T628" s="24" t="str">
        <f t="shared" si="59"/>
        <v>Link</v>
      </c>
    </row>
    <row r="629" spans="1:20" x14ac:dyDescent="0.2">
      <c r="A629" t="s">
        <v>349</v>
      </c>
      <c r="B629" t="s">
        <v>14</v>
      </c>
      <c r="C629" t="s">
        <v>15</v>
      </c>
      <c r="D629" t="s">
        <v>350</v>
      </c>
      <c r="E629" t="s">
        <v>351</v>
      </c>
      <c r="F6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29" s="27">
        <f t="shared" si="54"/>
        <v>40245</v>
      </c>
      <c r="H629" s="7" t="str">
        <f t="shared" si="55"/>
        <v>19:14:17</v>
      </c>
      <c r="I629" s="8" t="str">
        <f t="shared" si="56"/>
        <v>Evening</v>
      </c>
      <c r="L629">
        <v>0</v>
      </c>
      <c r="M629">
        <v>0</v>
      </c>
      <c r="N629">
        <v>2</v>
      </c>
      <c r="O629" s="4">
        <f t="shared" si="57"/>
        <v>2</v>
      </c>
      <c r="P629" s="5" t="str">
        <f t="shared" si="58"/>
        <v>Low engagement</v>
      </c>
      <c r="Q629" t="b">
        <v>0</v>
      </c>
      <c r="R629" t="b">
        <v>0</v>
      </c>
      <c r="S629" t="b">
        <v>1</v>
      </c>
      <c r="T629" s="24" t="str">
        <f t="shared" si="59"/>
        <v>Link</v>
      </c>
    </row>
    <row r="630" spans="1:20" x14ac:dyDescent="0.2">
      <c r="A630" t="s">
        <v>315</v>
      </c>
      <c r="B630" t="s">
        <v>14</v>
      </c>
      <c r="C630" t="s">
        <v>15</v>
      </c>
      <c r="D630" t="s">
        <v>316</v>
      </c>
      <c r="E630" t="s">
        <v>317</v>
      </c>
      <c r="F6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0" s="27">
        <f t="shared" si="54"/>
        <v>40248</v>
      </c>
      <c r="H630" s="7" t="str">
        <f t="shared" si="55"/>
        <v>16:42:12</v>
      </c>
      <c r="I630" s="8" t="str">
        <f t="shared" si="56"/>
        <v>Afternoon</v>
      </c>
      <c r="L630">
        <v>0</v>
      </c>
      <c r="M630">
        <v>0</v>
      </c>
      <c r="N630">
        <v>2</v>
      </c>
      <c r="O630" s="4">
        <f t="shared" si="57"/>
        <v>2</v>
      </c>
      <c r="P630" s="5" t="str">
        <f t="shared" si="58"/>
        <v>Low engagement</v>
      </c>
      <c r="Q630" t="b">
        <v>0</v>
      </c>
      <c r="R630" t="b">
        <v>0</v>
      </c>
      <c r="S630" t="b">
        <v>1</v>
      </c>
      <c r="T630" s="24" t="str">
        <f t="shared" si="59"/>
        <v>Link</v>
      </c>
    </row>
    <row r="631" spans="1:20" x14ac:dyDescent="0.2">
      <c r="A631" t="s">
        <v>259</v>
      </c>
      <c r="B631" t="s">
        <v>14</v>
      </c>
      <c r="C631" t="s">
        <v>15</v>
      </c>
      <c r="D631" t="s">
        <v>260</v>
      </c>
      <c r="E631" t="s">
        <v>261</v>
      </c>
      <c r="F6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1" s="27">
        <f t="shared" si="54"/>
        <v>40254</v>
      </c>
      <c r="H631" s="7" t="str">
        <f t="shared" si="55"/>
        <v>17:19:58</v>
      </c>
      <c r="I631" s="8" t="str">
        <f t="shared" si="56"/>
        <v>Afternoon</v>
      </c>
      <c r="L631">
        <v>2</v>
      </c>
      <c r="M631">
        <v>0</v>
      </c>
      <c r="N631">
        <v>2</v>
      </c>
      <c r="O631" s="4">
        <f t="shared" si="57"/>
        <v>4</v>
      </c>
      <c r="P631" s="5" t="str">
        <f t="shared" si="58"/>
        <v>Low engagement</v>
      </c>
      <c r="Q631" t="b">
        <v>0</v>
      </c>
      <c r="R631" t="b">
        <v>0</v>
      </c>
      <c r="S631" t="b">
        <v>1</v>
      </c>
      <c r="T631" s="24" t="str">
        <f t="shared" si="59"/>
        <v>Link</v>
      </c>
    </row>
    <row r="632" spans="1:20" x14ac:dyDescent="0.2">
      <c r="A632" t="s">
        <v>228</v>
      </c>
      <c r="B632" t="s">
        <v>14</v>
      </c>
      <c r="C632" t="s">
        <v>15</v>
      </c>
      <c r="D632" t="s">
        <v>229</v>
      </c>
      <c r="E632" t="s">
        <v>230</v>
      </c>
      <c r="F6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2" s="27">
        <f t="shared" si="54"/>
        <v>40262</v>
      </c>
      <c r="H632" s="7" t="str">
        <f t="shared" si="55"/>
        <v>20:25:48</v>
      </c>
      <c r="I632" s="8" t="str">
        <f t="shared" si="56"/>
        <v>Evening</v>
      </c>
      <c r="L632">
        <v>0</v>
      </c>
      <c r="M632">
        <v>0</v>
      </c>
      <c r="N632">
        <v>2</v>
      </c>
      <c r="O632" s="4">
        <f t="shared" si="57"/>
        <v>2</v>
      </c>
      <c r="P632" s="5" t="str">
        <f t="shared" si="58"/>
        <v>Low engagement</v>
      </c>
      <c r="Q632" t="b">
        <v>0</v>
      </c>
      <c r="R632" t="b">
        <v>0</v>
      </c>
      <c r="S632" t="b">
        <v>1</v>
      </c>
      <c r="T632" s="24" t="str">
        <f t="shared" si="59"/>
        <v>Link</v>
      </c>
    </row>
    <row r="633" spans="1:20" x14ac:dyDescent="0.2">
      <c r="A633" t="s">
        <v>178</v>
      </c>
      <c r="B633" t="s">
        <v>14</v>
      </c>
      <c r="C633" t="s">
        <v>15</v>
      </c>
      <c r="D633" t="s">
        <v>179</v>
      </c>
      <c r="E633" t="s">
        <v>180</v>
      </c>
      <c r="F6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3" s="27">
        <f t="shared" si="54"/>
        <v>40270</v>
      </c>
      <c r="H633" s="7" t="str">
        <f t="shared" si="55"/>
        <v>17:36:23</v>
      </c>
      <c r="I633" s="8" t="str">
        <f t="shared" si="56"/>
        <v>Afternoon</v>
      </c>
      <c r="L633">
        <v>0</v>
      </c>
      <c r="M633">
        <v>0</v>
      </c>
      <c r="N633">
        <v>2</v>
      </c>
      <c r="O633" s="4">
        <f t="shared" si="57"/>
        <v>2</v>
      </c>
      <c r="P633" s="5" t="str">
        <f t="shared" si="58"/>
        <v>Low engagement</v>
      </c>
      <c r="Q633" t="b">
        <v>0</v>
      </c>
      <c r="R633" t="b">
        <v>0</v>
      </c>
      <c r="S633" t="b">
        <v>1</v>
      </c>
      <c r="T633" s="24" t="str">
        <f t="shared" si="59"/>
        <v>Link</v>
      </c>
    </row>
    <row r="634" spans="1:20" x14ac:dyDescent="0.2">
      <c r="A634" t="s">
        <v>150</v>
      </c>
      <c r="B634" t="s">
        <v>14</v>
      </c>
      <c r="C634" t="s">
        <v>15</v>
      </c>
      <c r="D634" t="s">
        <v>151</v>
      </c>
      <c r="E634" t="s">
        <v>152</v>
      </c>
      <c r="F6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4" s="27">
        <f t="shared" si="54"/>
        <v>40281</v>
      </c>
      <c r="H634" s="7" t="str">
        <f t="shared" si="55"/>
        <v>14:59:15</v>
      </c>
      <c r="I634" s="8" t="str">
        <f t="shared" si="56"/>
        <v>Afternoon</v>
      </c>
      <c r="L634">
        <v>1</v>
      </c>
      <c r="M634">
        <v>0</v>
      </c>
      <c r="N634">
        <v>2</v>
      </c>
      <c r="O634" s="4">
        <f t="shared" si="57"/>
        <v>3</v>
      </c>
      <c r="P634" s="5" t="str">
        <f t="shared" si="58"/>
        <v>Low engagement</v>
      </c>
      <c r="Q634" t="b">
        <v>0</v>
      </c>
      <c r="R634" t="b">
        <v>0</v>
      </c>
      <c r="S634" t="b">
        <v>1</v>
      </c>
      <c r="T634" s="24" t="str">
        <f t="shared" si="59"/>
        <v>Link</v>
      </c>
    </row>
    <row r="635" spans="1:20" x14ac:dyDescent="0.2">
      <c r="A635" t="s">
        <v>147</v>
      </c>
      <c r="B635" t="s">
        <v>14</v>
      </c>
      <c r="C635" t="s">
        <v>15</v>
      </c>
      <c r="D635" t="s">
        <v>148</v>
      </c>
      <c r="E635" t="s">
        <v>149</v>
      </c>
      <c r="F63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5" s="27">
        <f t="shared" si="54"/>
        <v>40281</v>
      </c>
      <c r="H635" s="7" t="str">
        <f t="shared" si="55"/>
        <v>15:45:59</v>
      </c>
      <c r="I635" s="8" t="str">
        <f t="shared" si="56"/>
        <v>Afternoon</v>
      </c>
      <c r="L635">
        <v>0</v>
      </c>
      <c r="M635">
        <v>0</v>
      </c>
      <c r="N635">
        <v>2</v>
      </c>
      <c r="O635" s="4">
        <f t="shared" si="57"/>
        <v>2</v>
      </c>
      <c r="P635" s="5" t="str">
        <f t="shared" si="58"/>
        <v>Low engagement</v>
      </c>
      <c r="Q635" t="b">
        <v>0</v>
      </c>
      <c r="R635" t="b">
        <v>0</v>
      </c>
      <c r="S635" t="b">
        <v>1</v>
      </c>
      <c r="T635" s="24" t="str">
        <f t="shared" si="59"/>
        <v>Link</v>
      </c>
    </row>
    <row r="636" spans="1:20" x14ac:dyDescent="0.2">
      <c r="A636" t="s">
        <v>135</v>
      </c>
      <c r="B636" t="s">
        <v>14</v>
      </c>
      <c r="C636" t="s">
        <v>15</v>
      </c>
      <c r="D636" t="s">
        <v>136</v>
      </c>
      <c r="E636" t="s">
        <v>137</v>
      </c>
      <c r="F63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6" s="27">
        <f t="shared" si="54"/>
        <v>40281</v>
      </c>
      <c r="H636" s="7" t="str">
        <f t="shared" si="55"/>
        <v>17:53:45</v>
      </c>
      <c r="I636" s="8" t="str">
        <f t="shared" si="56"/>
        <v>Afternoon</v>
      </c>
      <c r="L636">
        <v>0</v>
      </c>
      <c r="M636">
        <v>0</v>
      </c>
      <c r="N636">
        <v>2</v>
      </c>
      <c r="O636" s="4">
        <f t="shared" si="57"/>
        <v>2</v>
      </c>
      <c r="P636" s="5" t="str">
        <f t="shared" si="58"/>
        <v>Low engagement</v>
      </c>
      <c r="Q636" t="b">
        <v>0</v>
      </c>
      <c r="R636" t="b">
        <v>0</v>
      </c>
      <c r="S636" t="b">
        <v>1</v>
      </c>
      <c r="T636" s="24" t="str">
        <f t="shared" si="59"/>
        <v>Link</v>
      </c>
    </row>
    <row r="637" spans="1:20" x14ac:dyDescent="0.2">
      <c r="A637" t="s">
        <v>129</v>
      </c>
      <c r="B637" t="s">
        <v>14</v>
      </c>
      <c r="C637" t="s">
        <v>15</v>
      </c>
      <c r="D637" t="s">
        <v>130</v>
      </c>
      <c r="E637" t="s">
        <v>131</v>
      </c>
      <c r="F63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7" s="27">
        <f t="shared" si="54"/>
        <v>40281</v>
      </c>
      <c r="H637" s="7" t="str">
        <f t="shared" si="55"/>
        <v>20:14:42</v>
      </c>
      <c r="I637" s="8" t="str">
        <f t="shared" si="56"/>
        <v>Evening</v>
      </c>
      <c r="L637">
        <v>0</v>
      </c>
      <c r="M637">
        <v>0</v>
      </c>
      <c r="N637">
        <v>2</v>
      </c>
      <c r="O637" s="4">
        <f t="shared" si="57"/>
        <v>2</v>
      </c>
      <c r="P637" s="5" t="str">
        <f t="shared" si="58"/>
        <v>Low engagement</v>
      </c>
      <c r="Q637" t="b">
        <v>0</v>
      </c>
      <c r="R637" t="b">
        <v>0</v>
      </c>
      <c r="S637" t="b">
        <v>1</v>
      </c>
      <c r="T637" s="24" t="str">
        <f t="shared" si="59"/>
        <v>Link</v>
      </c>
    </row>
    <row r="638" spans="1:20" x14ac:dyDescent="0.2">
      <c r="A638" t="s">
        <v>123</v>
      </c>
      <c r="B638" t="s">
        <v>14</v>
      </c>
      <c r="C638" t="s">
        <v>15</v>
      </c>
      <c r="D638" t="s">
        <v>124</v>
      </c>
      <c r="E638" t="s">
        <v>125</v>
      </c>
      <c r="F63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8" s="27">
        <f t="shared" si="54"/>
        <v>40281</v>
      </c>
      <c r="H638" s="7" t="str">
        <f t="shared" si="55"/>
        <v>20:37:22</v>
      </c>
      <c r="I638" s="8" t="str">
        <f t="shared" si="56"/>
        <v>Evening</v>
      </c>
      <c r="L638">
        <v>0</v>
      </c>
      <c r="M638">
        <v>0</v>
      </c>
      <c r="N638">
        <v>2</v>
      </c>
      <c r="O638" s="4">
        <f t="shared" si="57"/>
        <v>2</v>
      </c>
      <c r="P638" s="5" t="str">
        <f t="shared" si="58"/>
        <v>Low engagement</v>
      </c>
      <c r="Q638" t="b">
        <v>0</v>
      </c>
      <c r="R638" t="b">
        <v>0</v>
      </c>
      <c r="S638" t="b">
        <v>1</v>
      </c>
      <c r="T638" s="24" t="str">
        <f t="shared" si="59"/>
        <v>Link</v>
      </c>
    </row>
    <row r="639" spans="1:20" x14ac:dyDescent="0.2">
      <c r="A639" t="s">
        <v>120</v>
      </c>
      <c r="B639" t="s">
        <v>14</v>
      </c>
      <c r="C639" t="s">
        <v>15</v>
      </c>
      <c r="D639" t="s">
        <v>121</v>
      </c>
      <c r="E639" t="s">
        <v>122</v>
      </c>
      <c r="F63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39" s="27">
        <f t="shared" si="54"/>
        <v>40281</v>
      </c>
      <c r="H639" s="7" t="str">
        <f t="shared" si="55"/>
        <v>20:39:54</v>
      </c>
      <c r="I639" s="8" t="str">
        <f t="shared" si="56"/>
        <v>Evening</v>
      </c>
      <c r="L639">
        <v>2</v>
      </c>
      <c r="M639">
        <v>0</v>
      </c>
      <c r="N639">
        <v>2</v>
      </c>
      <c r="O639" s="4">
        <f t="shared" si="57"/>
        <v>4</v>
      </c>
      <c r="P639" s="5" t="str">
        <f t="shared" si="58"/>
        <v>Low engagement</v>
      </c>
      <c r="Q639" t="b">
        <v>0</v>
      </c>
      <c r="R639" t="b">
        <v>0</v>
      </c>
      <c r="S639" t="b">
        <v>1</v>
      </c>
      <c r="T639" s="24" t="str">
        <f t="shared" si="59"/>
        <v>Link</v>
      </c>
    </row>
    <row r="640" spans="1:20" x14ac:dyDescent="0.2">
      <c r="A640" t="s">
        <v>117</v>
      </c>
      <c r="B640" t="s">
        <v>14</v>
      </c>
      <c r="C640" t="s">
        <v>15</v>
      </c>
      <c r="D640" t="s">
        <v>118</v>
      </c>
      <c r="E640" t="s">
        <v>119</v>
      </c>
      <c r="F64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0" s="27">
        <f t="shared" si="54"/>
        <v>40281</v>
      </c>
      <c r="H640" s="7" t="str">
        <f t="shared" si="55"/>
        <v>20:59:52</v>
      </c>
      <c r="I640" s="8" t="str">
        <f t="shared" si="56"/>
        <v>Evening</v>
      </c>
      <c r="L640">
        <v>0</v>
      </c>
      <c r="M640">
        <v>0</v>
      </c>
      <c r="N640">
        <v>2</v>
      </c>
      <c r="O640" s="4">
        <f t="shared" si="57"/>
        <v>2</v>
      </c>
      <c r="P640" s="5" t="str">
        <f t="shared" si="58"/>
        <v>Low engagement</v>
      </c>
      <c r="Q640" t="b">
        <v>0</v>
      </c>
      <c r="R640" t="b">
        <v>0</v>
      </c>
      <c r="S640" t="b">
        <v>1</v>
      </c>
      <c r="T640" s="24" t="str">
        <f t="shared" si="59"/>
        <v>Link</v>
      </c>
    </row>
    <row r="641" spans="1:20" x14ac:dyDescent="0.2">
      <c r="A641" t="s">
        <v>101</v>
      </c>
      <c r="B641" t="s">
        <v>14</v>
      </c>
      <c r="C641" t="s">
        <v>15</v>
      </c>
      <c r="D641" t="s">
        <v>102</v>
      </c>
      <c r="E641" t="s">
        <v>103</v>
      </c>
      <c r="F64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1" s="27">
        <f t="shared" si="54"/>
        <v>40282</v>
      </c>
      <c r="H641" s="7" t="str">
        <f t="shared" si="55"/>
        <v>15:45:46</v>
      </c>
      <c r="I641" s="8" t="str">
        <f t="shared" si="56"/>
        <v>Afternoon</v>
      </c>
      <c r="L641">
        <v>3</v>
      </c>
      <c r="M641">
        <v>1</v>
      </c>
      <c r="N641">
        <v>2</v>
      </c>
      <c r="O641" s="4">
        <f t="shared" si="57"/>
        <v>6</v>
      </c>
      <c r="P641" s="5" t="str">
        <f t="shared" si="58"/>
        <v>Moderate engagement</v>
      </c>
      <c r="Q641" t="b">
        <v>0</v>
      </c>
      <c r="R641" t="b">
        <v>0</v>
      </c>
      <c r="S641" t="b">
        <v>1</v>
      </c>
      <c r="T641" s="24" t="str">
        <f t="shared" si="59"/>
        <v>Link</v>
      </c>
    </row>
    <row r="642" spans="1:20" x14ac:dyDescent="0.2">
      <c r="A642" t="s">
        <v>84</v>
      </c>
      <c r="B642" t="s">
        <v>14</v>
      </c>
      <c r="C642" t="s">
        <v>15</v>
      </c>
      <c r="D642" t="s">
        <v>85</v>
      </c>
      <c r="E642" t="s">
        <v>86</v>
      </c>
      <c r="F64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2" s="27">
        <f t="shared" ref="G642:G705" si="60">DATEVALUE((LEFT(E642,10)))</f>
        <v>40283</v>
      </c>
      <c r="H642" s="7" t="str">
        <f t="shared" ref="H642:H705" si="61">MID(E642,12,8)</f>
        <v>16:55:02</v>
      </c>
      <c r="I642" s="8" t="str">
        <f t="shared" ref="I642:I705" si="62">IF(HOUR(H642)&lt;7,"Early morning",
IF(HOUR(H642)&lt;11,"Morning",
IF(HOUR(H642)&lt;14,"Mid-day",
IF(HOUR(H642)&lt;18,"Afternoon","Evening"))))</f>
        <v>Afternoon</v>
      </c>
      <c r="L642">
        <v>0</v>
      </c>
      <c r="M642">
        <v>0</v>
      </c>
      <c r="N642">
        <v>2</v>
      </c>
      <c r="O642" s="4">
        <f t="shared" ref="O642:O705" si="63">L642+M642+N642</f>
        <v>2</v>
      </c>
      <c r="P642" s="5" t="str">
        <f t="shared" ref="P642:P705" si="64">IF(O642&lt;1,"No engagement", IF(O642&lt;5,"Low engagement", IF(O642&lt;10,"Moderate engagement", "High engagement")))</f>
        <v>Low engagement</v>
      </c>
      <c r="Q642" t="b">
        <v>0</v>
      </c>
      <c r="R642" t="b">
        <v>0</v>
      </c>
      <c r="S642" t="b">
        <v>1</v>
      </c>
      <c r="T642" s="24" t="str">
        <f t="shared" ref="T642:T705" si="65">IF(Q642=TRUE,"Photo",IF(R642=TRUE,"Video",IF(S642=TRUE,"Link",("Text only"))))</f>
        <v>Link</v>
      </c>
    </row>
    <row r="643" spans="1:20" x14ac:dyDescent="0.2">
      <c r="A643" t="s">
        <v>77</v>
      </c>
      <c r="B643" t="s">
        <v>14</v>
      </c>
      <c r="C643" t="s">
        <v>15</v>
      </c>
      <c r="D643" t="s">
        <v>78</v>
      </c>
      <c r="E643" t="s">
        <v>79</v>
      </c>
      <c r="F64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3" s="27">
        <f t="shared" si="60"/>
        <v>40284</v>
      </c>
      <c r="H643" s="7" t="str">
        <f t="shared" si="61"/>
        <v>15:34:14</v>
      </c>
      <c r="I643" s="8" t="str">
        <f t="shared" si="62"/>
        <v>Afternoon</v>
      </c>
      <c r="L643">
        <v>0</v>
      </c>
      <c r="M643">
        <v>0</v>
      </c>
      <c r="N643">
        <v>2</v>
      </c>
      <c r="O643" s="4">
        <f t="shared" si="63"/>
        <v>2</v>
      </c>
      <c r="P643" s="5" t="str">
        <f t="shared" si="64"/>
        <v>Low engagement</v>
      </c>
      <c r="Q643" t="b">
        <v>0</v>
      </c>
      <c r="R643" t="b">
        <v>0</v>
      </c>
      <c r="S643" t="b">
        <v>0</v>
      </c>
      <c r="T643" s="24" t="str">
        <f t="shared" si="65"/>
        <v>Text only</v>
      </c>
    </row>
    <row r="644" spans="1:20" x14ac:dyDescent="0.2">
      <c r="A644" t="s">
        <v>47</v>
      </c>
      <c r="B644" t="s">
        <v>14</v>
      </c>
      <c r="C644" t="s">
        <v>15</v>
      </c>
      <c r="D644" t="s">
        <v>48</v>
      </c>
      <c r="E644" t="s">
        <v>49</v>
      </c>
      <c r="F64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4" s="27">
        <f t="shared" si="60"/>
        <v>40290</v>
      </c>
      <c r="H644" s="7" t="str">
        <f t="shared" si="61"/>
        <v>15:35:44</v>
      </c>
      <c r="I644" s="8" t="str">
        <f t="shared" si="62"/>
        <v>Afternoon</v>
      </c>
      <c r="L644">
        <v>1</v>
      </c>
      <c r="M644">
        <v>0</v>
      </c>
      <c r="N644">
        <v>2</v>
      </c>
      <c r="O644" s="4">
        <f t="shared" si="63"/>
        <v>3</v>
      </c>
      <c r="P644" s="5" t="str">
        <f t="shared" si="64"/>
        <v>Low engagement</v>
      </c>
      <c r="Q644" t="b">
        <v>0</v>
      </c>
      <c r="R644" t="b">
        <v>0</v>
      </c>
      <c r="S644" t="b">
        <v>0</v>
      </c>
      <c r="T644" s="24" t="str">
        <f t="shared" si="65"/>
        <v>Text only</v>
      </c>
    </row>
    <row r="645" spans="1:20" x14ac:dyDescent="0.2">
      <c r="A645" t="s">
        <v>641</v>
      </c>
      <c r="B645" t="s">
        <v>14</v>
      </c>
      <c r="C645" t="s">
        <v>15</v>
      </c>
      <c r="D645" t="s">
        <v>642</v>
      </c>
      <c r="E645" t="s">
        <v>643</v>
      </c>
      <c r="F64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5" s="27">
        <f t="shared" si="60"/>
        <v>40219</v>
      </c>
      <c r="H645" s="7" t="str">
        <f t="shared" si="61"/>
        <v>01:39:23</v>
      </c>
      <c r="I645" s="8" t="str">
        <f t="shared" si="62"/>
        <v>Early morning</v>
      </c>
      <c r="L645">
        <v>0</v>
      </c>
      <c r="M645">
        <v>0</v>
      </c>
      <c r="N645">
        <v>1</v>
      </c>
      <c r="O645" s="4">
        <f t="shared" si="63"/>
        <v>1</v>
      </c>
      <c r="P645" s="5" t="str">
        <f t="shared" si="64"/>
        <v>Low engagement</v>
      </c>
      <c r="Q645" t="b">
        <v>0</v>
      </c>
      <c r="R645" t="b">
        <v>0</v>
      </c>
      <c r="S645" t="b">
        <v>0</v>
      </c>
      <c r="T645" s="24" t="str">
        <f t="shared" si="65"/>
        <v>Text only</v>
      </c>
    </row>
    <row r="646" spans="1:20" x14ac:dyDescent="0.2">
      <c r="A646" t="s">
        <v>631</v>
      </c>
      <c r="B646" t="s">
        <v>14</v>
      </c>
      <c r="C646" t="s">
        <v>15</v>
      </c>
      <c r="D646" t="s">
        <v>632</v>
      </c>
      <c r="E646" t="s">
        <v>633</v>
      </c>
      <c r="F64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6" s="27">
        <f t="shared" si="60"/>
        <v>40219</v>
      </c>
      <c r="H646" s="7" t="str">
        <f t="shared" si="61"/>
        <v>01:51:08</v>
      </c>
      <c r="I646" s="8" t="str">
        <f t="shared" si="62"/>
        <v>Early morning</v>
      </c>
      <c r="L646">
        <v>0</v>
      </c>
      <c r="M646">
        <v>0</v>
      </c>
      <c r="N646">
        <v>1</v>
      </c>
      <c r="O646" s="4">
        <f t="shared" si="63"/>
        <v>1</v>
      </c>
      <c r="P646" s="5" t="str">
        <f t="shared" si="64"/>
        <v>Low engagement</v>
      </c>
      <c r="Q646" t="b">
        <v>0</v>
      </c>
      <c r="R646" t="b">
        <v>0</v>
      </c>
      <c r="S646" t="b">
        <v>0</v>
      </c>
      <c r="T646" s="24" t="str">
        <f t="shared" si="65"/>
        <v>Text only</v>
      </c>
    </row>
    <row r="647" spans="1:20" x14ac:dyDescent="0.2">
      <c r="A647" t="s">
        <v>569</v>
      </c>
      <c r="B647" t="s">
        <v>14</v>
      </c>
      <c r="C647" t="s">
        <v>15</v>
      </c>
      <c r="D647" t="s">
        <v>570</v>
      </c>
      <c r="E647" t="s">
        <v>571</v>
      </c>
      <c r="F64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7" s="27">
        <f t="shared" si="60"/>
        <v>40226</v>
      </c>
      <c r="H647" s="7" t="str">
        <f t="shared" si="61"/>
        <v>21:15:54</v>
      </c>
      <c r="I647" s="8" t="str">
        <f t="shared" si="62"/>
        <v>Evening</v>
      </c>
      <c r="J647" t="s">
        <v>572</v>
      </c>
      <c r="L647">
        <v>0</v>
      </c>
      <c r="M647">
        <v>0</v>
      </c>
      <c r="N647">
        <v>1</v>
      </c>
      <c r="O647" s="4">
        <f t="shared" si="63"/>
        <v>1</v>
      </c>
      <c r="P647" s="5" t="str">
        <f t="shared" si="64"/>
        <v>Low engagement</v>
      </c>
      <c r="Q647" t="b">
        <v>0</v>
      </c>
      <c r="R647" t="b">
        <v>0</v>
      </c>
      <c r="S647" t="b">
        <v>0</v>
      </c>
      <c r="T647" s="24" t="str">
        <f t="shared" si="65"/>
        <v>Text only</v>
      </c>
    </row>
    <row r="648" spans="1:20" x14ac:dyDescent="0.2">
      <c r="A648" t="s">
        <v>527</v>
      </c>
      <c r="B648" t="s">
        <v>14</v>
      </c>
      <c r="C648" t="s">
        <v>15</v>
      </c>
      <c r="D648" t="s">
        <v>528</v>
      </c>
      <c r="E648" t="s">
        <v>529</v>
      </c>
      <c r="F64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8" s="27">
        <f t="shared" si="60"/>
        <v>40232</v>
      </c>
      <c r="H648" s="7" t="str">
        <f t="shared" si="61"/>
        <v>01:10:11</v>
      </c>
      <c r="I648" s="8" t="str">
        <f t="shared" si="62"/>
        <v>Early morning</v>
      </c>
      <c r="J648" t="s">
        <v>530</v>
      </c>
      <c r="L648">
        <v>0</v>
      </c>
      <c r="M648">
        <v>0</v>
      </c>
      <c r="N648">
        <v>1</v>
      </c>
      <c r="O648" s="4">
        <f t="shared" si="63"/>
        <v>1</v>
      </c>
      <c r="P648" s="5" t="str">
        <f t="shared" si="64"/>
        <v>Low engagement</v>
      </c>
      <c r="Q648" t="b">
        <v>0</v>
      </c>
      <c r="R648" t="b">
        <v>0</v>
      </c>
      <c r="S648" t="b">
        <v>0</v>
      </c>
      <c r="T648" s="24" t="str">
        <f t="shared" si="65"/>
        <v>Text only</v>
      </c>
    </row>
    <row r="649" spans="1:20" x14ac:dyDescent="0.2">
      <c r="A649" t="s">
        <v>521</v>
      </c>
      <c r="B649" t="s">
        <v>14</v>
      </c>
      <c r="C649" t="s">
        <v>15</v>
      </c>
      <c r="D649" t="s">
        <v>522</v>
      </c>
      <c r="E649" t="s">
        <v>523</v>
      </c>
      <c r="F64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49" s="27">
        <f t="shared" si="60"/>
        <v>40232</v>
      </c>
      <c r="H649" s="7" t="str">
        <f t="shared" si="61"/>
        <v>01:13:12</v>
      </c>
      <c r="I649" s="8" t="str">
        <f t="shared" si="62"/>
        <v>Early morning</v>
      </c>
      <c r="L649">
        <v>1</v>
      </c>
      <c r="M649">
        <v>0</v>
      </c>
      <c r="N649">
        <v>1</v>
      </c>
      <c r="O649" s="4">
        <f t="shared" si="63"/>
        <v>2</v>
      </c>
      <c r="P649" s="5" t="str">
        <f t="shared" si="64"/>
        <v>Low engagement</v>
      </c>
      <c r="Q649" t="b">
        <v>0</v>
      </c>
      <c r="R649" t="b">
        <v>0</v>
      </c>
      <c r="S649" t="b">
        <v>0</v>
      </c>
      <c r="T649" s="24" t="str">
        <f t="shared" si="65"/>
        <v>Text only</v>
      </c>
    </row>
    <row r="650" spans="1:20" x14ac:dyDescent="0.2">
      <c r="A650" t="s">
        <v>493</v>
      </c>
      <c r="B650" t="s">
        <v>14</v>
      </c>
      <c r="C650" t="s">
        <v>15</v>
      </c>
      <c r="D650" t="s">
        <v>494</v>
      </c>
      <c r="E650" t="s">
        <v>495</v>
      </c>
      <c r="F65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0" s="27">
        <f t="shared" si="60"/>
        <v>40232</v>
      </c>
      <c r="H650" s="7" t="str">
        <f t="shared" si="61"/>
        <v>01:39:21</v>
      </c>
      <c r="I650" s="8" t="str">
        <f t="shared" si="62"/>
        <v>Early morning</v>
      </c>
      <c r="L650">
        <v>0</v>
      </c>
      <c r="M650">
        <v>0</v>
      </c>
      <c r="N650">
        <v>1</v>
      </c>
      <c r="O650" s="4">
        <f t="shared" si="63"/>
        <v>1</v>
      </c>
      <c r="P650" s="5" t="str">
        <f t="shared" si="64"/>
        <v>Low engagement</v>
      </c>
      <c r="Q650" t="b">
        <v>0</v>
      </c>
      <c r="R650" t="b">
        <v>0</v>
      </c>
      <c r="S650" t="b">
        <v>0</v>
      </c>
      <c r="T650" s="24" t="str">
        <f t="shared" si="65"/>
        <v>Text only</v>
      </c>
    </row>
    <row r="651" spans="1:20" x14ac:dyDescent="0.2">
      <c r="A651" t="s">
        <v>470</v>
      </c>
      <c r="B651" t="s">
        <v>14</v>
      </c>
      <c r="C651" t="s">
        <v>15</v>
      </c>
      <c r="D651" t="s">
        <v>471</v>
      </c>
      <c r="E651" t="s">
        <v>472</v>
      </c>
      <c r="F65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1" s="27">
        <f t="shared" si="60"/>
        <v>40232</v>
      </c>
      <c r="H651" s="7" t="str">
        <f t="shared" si="61"/>
        <v>22:18:28</v>
      </c>
      <c r="I651" s="8" t="str">
        <f t="shared" si="62"/>
        <v>Evening</v>
      </c>
      <c r="J651" t="s">
        <v>241</v>
      </c>
      <c r="L651">
        <v>0</v>
      </c>
      <c r="M651">
        <v>0</v>
      </c>
      <c r="N651">
        <v>1</v>
      </c>
      <c r="O651" s="4">
        <f t="shared" si="63"/>
        <v>1</v>
      </c>
      <c r="P651" s="5" t="str">
        <f t="shared" si="64"/>
        <v>Low engagement</v>
      </c>
      <c r="Q651" t="b">
        <v>0</v>
      </c>
      <c r="R651" t="b">
        <v>0</v>
      </c>
      <c r="S651" t="b">
        <v>1</v>
      </c>
      <c r="T651" s="24" t="str">
        <f t="shared" si="65"/>
        <v>Link</v>
      </c>
    </row>
    <row r="652" spans="1:20" x14ac:dyDescent="0.2">
      <c r="A652" t="s">
        <v>422</v>
      </c>
      <c r="B652" t="s">
        <v>14</v>
      </c>
      <c r="C652" t="s">
        <v>15</v>
      </c>
      <c r="D652" t="s">
        <v>423</v>
      </c>
      <c r="E652" t="s">
        <v>424</v>
      </c>
      <c r="F65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2" s="27">
        <f t="shared" si="60"/>
        <v>40239</v>
      </c>
      <c r="H652" s="7" t="str">
        <f t="shared" si="61"/>
        <v>16:17:10</v>
      </c>
      <c r="I652" s="8" t="str">
        <f t="shared" si="62"/>
        <v>Afternoon</v>
      </c>
      <c r="L652">
        <v>0</v>
      </c>
      <c r="M652">
        <v>0</v>
      </c>
      <c r="N652">
        <v>1</v>
      </c>
      <c r="O652" s="4">
        <f t="shared" si="63"/>
        <v>1</v>
      </c>
      <c r="P652" s="5" t="str">
        <f t="shared" si="64"/>
        <v>Low engagement</v>
      </c>
      <c r="Q652" t="b">
        <v>0</v>
      </c>
      <c r="R652" t="b">
        <v>0</v>
      </c>
      <c r="S652" t="b">
        <v>1</v>
      </c>
      <c r="T652" s="24" t="str">
        <f t="shared" si="65"/>
        <v>Link</v>
      </c>
    </row>
    <row r="653" spans="1:20" x14ac:dyDescent="0.2">
      <c r="A653" t="s">
        <v>419</v>
      </c>
      <c r="B653" t="s">
        <v>14</v>
      </c>
      <c r="C653" t="s">
        <v>15</v>
      </c>
      <c r="D653" t="s">
        <v>420</v>
      </c>
      <c r="E653" t="s">
        <v>421</v>
      </c>
      <c r="F65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3" s="27">
        <f t="shared" si="60"/>
        <v>40239</v>
      </c>
      <c r="H653" s="7" t="str">
        <f t="shared" si="61"/>
        <v>16:18:05</v>
      </c>
      <c r="I653" s="8" t="str">
        <f t="shared" si="62"/>
        <v>Afternoon</v>
      </c>
      <c r="L653">
        <v>0</v>
      </c>
      <c r="M653">
        <v>0</v>
      </c>
      <c r="N653">
        <v>1</v>
      </c>
      <c r="O653" s="4">
        <f t="shared" si="63"/>
        <v>1</v>
      </c>
      <c r="P653" s="5" t="str">
        <f t="shared" si="64"/>
        <v>Low engagement</v>
      </c>
      <c r="Q653" t="b">
        <v>0</v>
      </c>
      <c r="R653" t="b">
        <v>0</v>
      </c>
      <c r="S653" t="b">
        <v>1</v>
      </c>
      <c r="T653" s="24" t="str">
        <f t="shared" si="65"/>
        <v>Link</v>
      </c>
    </row>
    <row r="654" spans="1:20" x14ac:dyDescent="0.2">
      <c r="A654" t="s">
        <v>359</v>
      </c>
      <c r="B654" t="s">
        <v>14</v>
      </c>
      <c r="C654" t="s">
        <v>15</v>
      </c>
      <c r="D654" t="s">
        <v>360</v>
      </c>
      <c r="E654" t="s">
        <v>361</v>
      </c>
      <c r="F65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4" s="27">
        <f t="shared" si="60"/>
        <v>40242</v>
      </c>
      <c r="H654" s="7" t="str">
        <f t="shared" si="61"/>
        <v>17:06:53</v>
      </c>
      <c r="I654" s="8" t="str">
        <f t="shared" si="62"/>
        <v>Afternoon</v>
      </c>
      <c r="L654">
        <v>0</v>
      </c>
      <c r="M654">
        <v>0</v>
      </c>
      <c r="N654">
        <v>1</v>
      </c>
      <c r="O654" s="4">
        <f t="shared" si="63"/>
        <v>1</v>
      </c>
      <c r="P654" s="5" t="str">
        <f t="shared" si="64"/>
        <v>Low engagement</v>
      </c>
      <c r="Q654" t="b">
        <v>0</v>
      </c>
      <c r="R654" t="b">
        <v>0</v>
      </c>
      <c r="S654" t="b">
        <v>0</v>
      </c>
      <c r="T654" s="24" t="str">
        <f t="shared" si="65"/>
        <v>Text only</v>
      </c>
    </row>
    <row r="655" spans="1:20" x14ac:dyDescent="0.2">
      <c r="A655" t="s">
        <v>289</v>
      </c>
      <c r="B655" t="s">
        <v>14</v>
      </c>
      <c r="C655" t="s">
        <v>15</v>
      </c>
      <c r="D655" t="s">
        <v>290</v>
      </c>
      <c r="E655" t="s">
        <v>291</v>
      </c>
      <c r="F65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5" s="27">
        <f t="shared" si="60"/>
        <v>40249</v>
      </c>
      <c r="H655" s="7" t="str">
        <f t="shared" si="61"/>
        <v>19:00:17</v>
      </c>
      <c r="I655" s="8" t="str">
        <f t="shared" si="62"/>
        <v>Evening</v>
      </c>
      <c r="L655">
        <v>0</v>
      </c>
      <c r="M655">
        <v>0</v>
      </c>
      <c r="N655">
        <v>1</v>
      </c>
      <c r="O655" s="4">
        <f t="shared" si="63"/>
        <v>1</v>
      </c>
      <c r="P655" s="5" t="str">
        <f t="shared" si="64"/>
        <v>Low engagement</v>
      </c>
      <c r="Q655" t="b">
        <v>0</v>
      </c>
      <c r="R655" t="b">
        <v>0</v>
      </c>
      <c r="S655" t="b">
        <v>1</v>
      </c>
      <c r="T655" s="24" t="str">
        <f t="shared" si="65"/>
        <v>Link</v>
      </c>
    </row>
    <row r="656" spans="1:20" x14ac:dyDescent="0.2">
      <c r="A656" t="s">
        <v>283</v>
      </c>
      <c r="B656" t="s">
        <v>14</v>
      </c>
      <c r="C656" t="s">
        <v>15</v>
      </c>
      <c r="D656" t="s">
        <v>284</v>
      </c>
      <c r="E656" t="s">
        <v>285</v>
      </c>
      <c r="F65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6" s="27">
        <f t="shared" si="60"/>
        <v>40249</v>
      </c>
      <c r="H656" s="7" t="str">
        <f t="shared" si="61"/>
        <v>22:29:48</v>
      </c>
      <c r="I656" s="8" t="str">
        <f t="shared" si="62"/>
        <v>Evening</v>
      </c>
      <c r="J656" t="s">
        <v>210</v>
      </c>
      <c r="L656">
        <v>0</v>
      </c>
      <c r="M656">
        <v>0</v>
      </c>
      <c r="N656">
        <v>1</v>
      </c>
      <c r="O656" s="4">
        <f t="shared" si="63"/>
        <v>1</v>
      </c>
      <c r="P656" s="5" t="str">
        <f t="shared" si="64"/>
        <v>Low engagement</v>
      </c>
      <c r="Q656" t="b">
        <v>0</v>
      </c>
      <c r="R656" t="b">
        <v>0</v>
      </c>
      <c r="S656" t="b">
        <v>0</v>
      </c>
      <c r="T656" s="24" t="str">
        <f t="shared" si="65"/>
        <v>Text only</v>
      </c>
    </row>
    <row r="657" spans="1:20" x14ac:dyDescent="0.2">
      <c r="A657" t="s">
        <v>249</v>
      </c>
      <c r="B657" t="s">
        <v>14</v>
      </c>
      <c r="C657" t="s">
        <v>15</v>
      </c>
      <c r="D657" t="s">
        <v>250</v>
      </c>
      <c r="E657" t="s">
        <v>251</v>
      </c>
      <c r="F65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7" s="27">
        <f t="shared" si="60"/>
        <v>40259</v>
      </c>
      <c r="H657" s="7" t="str">
        <f t="shared" si="61"/>
        <v>16:13:45</v>
      </c>
      <c r="I657" s="8" t="str">
        <f t="shared" si="62"/>
        <v>Afternoon</v>
      </c>
      <c r="J657" t="s">
        <v>252</v>
      </c>
      <c r="L657">
        <v>0</v>
      </c>
      <c r="M657">
        <v>0</v>
      </c>
      <c r="N657">
        <v>1</v>
      </c>
      <c r="O657" s="4">
        <f t="shared" si="63"/>
        <v>1</v>
      </c>
      <c r="P657" s="5" t="str">
        <f t="shared" si="64"/>
        <v>Low engagement</v>
      </c>
      <c r="Q657" t="b">
        <v>0</v>
      </c>
      <c r="R657" t="b">
        <v>0</v>
      </c>
      <c r="S657" t="b">
        <v>0</v>
      </c>
      <c r="T657" s="24" t="str">
        <f t="shared" si="65"/>
        <v>Text only</v>
      </c>
    </row>
    <row r="658" spans="1:20" x14ac:dyDescent="0.2">
      <c r="A658" t="s">
        <v>211</v>
      </c>
      <c r="B658" t="s">
        <v>14</v>
      </c>
      <c r="C658" t="s">
        <v>15</v>
      </c>
      <c r="D658" t="s">
        <v>212</v>
      </c>
      <c r="E658" t="s">
        <v>213</v>
      </c>
      <c r="F65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8" s="27">
        <f t="shared" si="60"/>
        <v>40266</v>
      </c>
      <c r="H658" s="7" t="str">
        <f t="shared" si="61"/>
        <v>17:50:31</v>
      </c>
      <c r="I658" s="8" t="str">
        <f t="shared" si="62"/>
        <v>Afternoon</v>
      </c>
      <c r="L658">
        <v>0</v>
      </c>
      <c r="M658">
        <v>0</v>
      </c>
      <c r="N658">
        <v>1</v>
      </c>
      <c r="O658" s="4">
        <f t="shared" si="63"/>
        <v>1</v>
      </c>
      <c r="P658" s="5" t="str">
        <f t="shared" si="64"/>
        <v>Low engagement</v>
      </c>
      <c r="Q658" t="b">
        <v>0</v>
      </c>
      <c r="R658" t="b">
        <v>0</v>
      </c>
      <c r="S658" t="b">
        <v>1</v>
      </c>
      <c r="T658" s="24" t="str">
        <f t="shared" si="65"/>
        <v>Link</v>
      </c>
    </row>
    <row r="659" spans="1:20" x14ac:dyDescent="0.2">
      <c r="A659" t="s">
        <v>175</v>
      </c>
      <c r="B659" t="s">
        <v>14</v>
      </c>
      <c r="C659" t="s">
        <v>15</v>
      </c>
      <c r="D659" t="s">
        <v>176</v>
      </c>
      <c r="E659" t="s">
        <v>177</v>
      </c>
      <c r="F65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59" s="27">
        <f t="shared" si="60"/>
        <v>40270</v>
      </c>
      <c r="H659" s="7" t="str">
        <f t="shared" si="61"/>
        <v>18:18:56</v>
      </c>
      <c r="I659" s="8" t="str">
        <f t="shared" si="62"/>
        <v>Evening</v>
      </c>
      <c r="L659">
        <v>0</v>
      </c>
      <c r="M659">
        <v>0</v>
      </c>
      <c r="N659">
        <v>1</v>
      </c>
      <c r="O659" s="4">
        <f t="shared" si="63"/>
        <v>1</v>
      </c>
      <c r="P659" s="5" t="str">
        <f t="shared" si="64"/>
        <v>Low engagement</v>
      </c>
      <c r="Q659" t="b">
        <v>0</v>
      </c>
      <c r="R659" t="b">
        <v>0</v>
      </c>
      <c r="S659" t="b">
        <v>1</v>
      </c>
      <c r="T659" s="24" t="str">
        <f t="shared" si="65"/>
        <v>Link</v>
      </c>
    </row>
    <row r="660" spans="1:20" x14ac:dyDescent="0.2">
      <c r="A660" t="s">
        <v>90</v>
      </c>
      <c r="B660" t="s">
        <v>14</v>
      </c>
      <c r="C660" t="s">
        <v>15</v>
      </c>
      <c r="D660" t="s">
        <v>91</v>
      </c>
      <c r="E660" t="s">
        <v>92</v>
      </c>
      <c r="F66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0" s="27">
        <f t="shared" si="60"/>
        <v>40282</v>
      </c>
      <c r="H660" s="7" t="str">
        <f t="shared" si="61"/>
        <v>20:08:04</v>
      </c>
      <c r="I660" s="8" t="str">
        <f t="shared" si="62"/>
        <v>Evening</v>
      </c>
      <c r="J660" t="s">
        <v>93</v>
      </c>
      <c r="L660">
        <v>0</v>
      </c>
      <c r="M660">
        <v>0</v>
      </c>
      <c r="N660">
        <v>1</v>
      </c>
      <c r="O660" s="4">
        <f t="shared" si="63"/>
        <v>1</v>
      </c>
      <c r="P660" s="5" t="str">
        <f t="shared" si="64"/>
        <v>Low engagement</v>
      </c>
      <c r="Q660" t="b">
        <v>0</v>
      </c>
      <c r="R660" t="b">
        <v>0</v>
      </c>
      <c r="S660" t="b">
        <v>0</v>
      </c>
      <c r="T660" s="24" t="str">
        <f t="shared" si="65"/>
        <v>Text only</v>
      </c>
    </row>
    <row r="661" spans="1:20" x14ac:dyDescent="0.2">
      <c r="A661" t="s">
        <v>650</v>
      </c>
      <c r="B661" t="s">
        <v>14</v>
      </c>
      <c r="C661" t="s">
        <v>15</v>
      </c>
      <c r="D661" t="s">
        <v>651</v>
      </c>
      <c r="E661" t="s">
        <v>652</v>
      </c>
      <c r="F66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1" s="27">
        <f t="shared" si="60"/>
        <v>40218</v>
      </c>
      <c r="H661" s="7" t="str">
        <f t="shared" si="61"/>
        <v>23:00:37</v>
      </c>
      <c r="I661" s="8" t="str">
        <f t="shared" si="62"/>
        <v>Evening</v>
      </c>
      <c r="J661" t="s">
        <v>210</v>
      </c>
      <c r="L661">
        <v>0</v>
      </c>
      <c r="M661">
        <v>0</v>
      </c>
      <c r="N661">
        <v>0</v>
      </c>
      <c r="O661" s="4">
        <f t="shared" si="63"/>
        <v>0</v>
      </c>
      <c r="P661" s="5" t="str">
        <f t="shared" si="64"/>
        <v>No engagement</v>
      </c>
      <c r="Q661" t="b">
        <v>0</v>
      </c>
      <c r="R661" t="b">
        <v>0</v>
      </c>
      <c r="S661" t="b">
        <v>0</v>
      </c>
      <c r="T661" s="24" t="str">
        <f t="shared" si="65"/>
        <v>Text only</v>
      </c>
    </row>
    <row r="662" spans="1:20" x14ac:dyDescent="0.2">
      <c r="A662" t="s">
        <v>647</v>
      </c>
      <c r="B662" t="s">
        <v>14</v>
      </c>
      <c r="C662" t="s">
        <v>15</v>
      </c>
      <c r="D662" t="s">
        <v>648</v>
      </c>
      <c r="E662" t="s">
        <v>649</v>
      </c>
      <c r="F66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2" s="27">
        <f t="shared" si="60"/>
        <v>40219</v>
      </c>
      <c r="H662" s="7" t="str">
        <f t="shared" si="61"/>
        <v>01:36:31</v>
      </c>
      <c r="I662" s="8" t="str">
        <f t="shared" si="62"/>
        <v>Early morning</v>
      </c>
      <c r="L662">
        <v>0</v>
      </c>
      <c r="M662">
        <v>0</v>
      </c>
      <c r="N662">
        <v>0</v>
      </c>
      <c r="O662" s="4">
        <f t="shared" si="63"/>
        <v>0</v>
      </c>
      <c r="P662" s="5" t="str">
        <f t="shared" si="64"/>
        <v>No engagement</v>
      </c>
      <c r="Q662" t="b">
        <v>0</v>
      </c>
      <c r="R662" t="b">
        <v>0</v>
      </c>
      <c r="S662" t="b">
        <v>0</v>
      </c>
      <c r="T662" s="24" t="str">
        <f t="shared" si="65"/>
        <v>Text only</v>
      </c>
    </row>
    <row r="663" spans="1:20" x14ac:dyDescent="0.2">
      <c r="A663" t="s">
        <v>644</v>
      </c>
      <c r="B663" t="s">
        <v>14</v>
      </c>
      <c r="C663" t="s">
        <v>15</v>
      </c>
      <c r="D663" t="s">
        <v>645</v>
      </c>
      <c r="E663" t="s">
        <v>646</v>
      </c>
      <c r="F66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3" s="27">
        <f t="shared" si="60"/>
        <v>40219</v>
      </c>
      <c r="H663" s="7" t="str">
        <f t="shared" si="61"/>
        <v>01:37:24</v>
      </c>
      <c r="I663" s="8" t="str">
        <f t="shared" si="62"/>
        <v>Early morning</v>
      </c>
      <c r="L663">
        <v>0</v>
      </c>
      <c r="M663">
        <v>0</v>
      </c>
      <c r="N663">
        <v>0</v>
      </c>
      <c r="O663" s="4">
        <f t="shared" si="63"/>
        <v>0</v>
      </c>
      <c r="P663" s="5" t="str">
        <f t="shared" si="64"/>
        <v>No engagement</v>
      </c>
      <c r="Q663" t="b">
        <v>0</v>
      </c>
      <c r="R663" t="b">
        <v>0</v>
      </c>
      <c r="S663" t="b">
        <v>1</v>
      </c>
      <c r="T663" s="24" t="str">
        <f t="shared" si="65"/>
        <v>Link</v>
      </c>
    </row>
    <row r="664" spans="1:20" x14ac:dyDescent="0.2">
      <c r="A664" t="s">
        <v>637</v>
      </c>
      <c r="B664" t="s">
        <v>14</v>
      </c>
      <c r="C664" t="s">
        <v>15</v>
      </c>
      <c r="D664" t="s">
        <v>638</v>
      </c>
      <c r="E664" t="s">
        <v>639</v>
      </c>
      <c r="F66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4" s="27">
        <f t="shared" si="60"/>
        <v>40219</v>
      </c>
      <c r="H664" s="7" t="str">
        <f t="shared" si="61"/>
        <v>01:42:16</v>
      </c>
      <c r="I664" s="8" t="str">
        <f t="shared" si="62"/>
        <v>Early morning</v>
      </c>
      <c r="J664" t="s">
        <v>640</v>
      </c>
      <c r="L664">
        <v>0</v>
      </c>
      <c r="M664">
        <v>0</v>
      </c>
      <c r="N664">
        <v>0</v>
      </c>
      <c r="O664" s="4">
        <f t="shared" si="63"/>
        <v>0</v>
      </c>
      <c r="P664" s="5" t="str">
        <f t="shared" si="64"/>
        <v>No engagement</v>
      </c>
      <c r="Q664" t="b">
        <v>0</v>
      </c>
      <c r="R664" t="b">
        <v>0</v>
      </c>
      <c r="S664" t="b">
        <v>1</v>
      </c>
      <c r="T664" s="24" t="str">
        <f t="shared" si="65"/>
        <v>Link</v>
      </c>
    </row>
    <row r="665" spans="1:20" x14ac:dyDescent="0.2">
      <c r="A665" t="s">
        <v>611</v>
      </c>
      <c r="B665" t="s">
        <v>14</v>
      </c>
      <c r="C665" t="s">
        <v>15</v>
      </c>
      <c r="D665" t="s">
        <v>612</v>
      </c>
      <c r="E665" t="s">
        <v>613</v>
      </c>
      <c r="F66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5" s="27">
        <f t="shared" si="60"/>
        <v>40220</v>
      </c>
      <c r="H665" s="7" t="str">
        <f t="shared" si="61"/>
        <v>21:04:13</v>
      </c>
      <c r="I665" s="8" t="str">
        <f t="shared" si="62"/>
        <v>Evening</v>
      </c>
      <c r="L665">
        <v>0</v>
      </c>
      <c r="M665">
        <v>0</v>
      </c>
      <c r="N665">
        <v>0</v>
      </c>
      <c r="O665" s="4">
        <f t="shared" si="63"/>
        <v>0</v>
      </c>
      <c r="P665" s="5" t="str">
        <f t="shared" si="64"/>
        <v>No engagement</v>
      </c>
      <c r="Q665" t="b">
        <v>0</v>
      </c>
      <c r="R665" t="b">
        <v>0</v>
      </c>
      <c r="S665" t="b">
        <v>0</v>
      </c>
      <c r="T665" s="24" t="str">
        <f t="shared" si="65"/>
        <v>Text only</v>
      </c>
    </row>
    <row r="666" spans="1:20" x14ac:dyDescent="0.2">
      <c r="A666" t="s">
        <v>608</v>
      </c>
      <c r="B666" t="s">
        <v>14</v>
      </c>
      <c r="C666" t="s">
        <v>15</v>
      </c>
      <c r="D666" t="s">
        <v>609</v>
      </c>
      <c r="E666" t="s">
        <v>610</v>
      </c>
      <c r="F66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6" s="27">
        <f t="shared" si="60"/>
        <v>40220</v>
      </c>
      <c r="H666" s="7" t="str">
        <f t="shared" si="61"/>
        <v>22:20:15</v>
      </c>
      <c r="I666" s="8" t="str">
        <f t="shared" si="62"/>
        <v>Evening</v>
      </c>
      <c r="L666">
        <v>0</v>
      </c>
      <c r="M666">
        <v>0</v>
      </c>
      <c r="N666">
        <v>0</v>
      </c>
      <c r="O666" s="4">
        <f t="shared" si="63"/>
        <v>0</v>
      </c>
      <c r="P666" s="5" t="str">
        <f t="shared" si="64"/>
        <v>No engagement</v>
      </c>
      <c r="Q666" t="b">
        <v>0</v>
      </c>
      <c r="R666" t="b">
        <v>0</v>
      </c>
      <c r="S666" t="b">
        <v>0</v>
      </c>
      <c r="T666" s="24" t="str">
        <f t="shared" si="65"/>
        <v>Text only</v>
      </c>
    </row>
    <row r="667" spans="1:20" x14ac:dyDescent="0.2">
      <c r="A667" t="s">
        <v>596</v>
      </c>
      <c r="B667" t="s">
        <v>14</v>
      </c>
      <c r="C667" t="s">
        <v>15</v>
      </c>
      <c r="D667" t="s">
        <v>597</v>
      </c>
      <c r="E667" t="s">
        <v>598</v>
      </c>
      <c r="F66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7" s="27">
        <f t="shared" si="60"/>
        <v>40221</v>
      </c>
      <c r="H667" s="7" t="str">
        <f t="shared" si="61"/>
        <v>20:48:28</v>
      </c>
      <c r="I667" s="8" t="str">
        <f t="shared" si="62"/>
        <v>Evening</v>
      </c>
      <c r="L667">
        <v>0</v>
      </c>
      <c r="M667">
        <v>0</v>
      </c>
      <c r="N667">
        <v>0</v>
      </c>
      <c r="O667" s="4">
        <f t="shared" si="63"/>
        <v>0</v>
      </c>
      <c r="P667" s="5" t="str">
        <f t="shared" si="64"/>
        <v>No engagement</v>
      </c>
      <c r="Q667" t="b">
        <v>0</v>
      </c>
      <c r="R667" t="b">
        <v>0</v>
      </c>
      <c r="S667" t="b">
        <v>0</v>
      </c>
      <c r="T667" s="24" t="str">
        <f t="shared" si="65"/>
        <v>Text only</v>
      </c>
    </row>
    <row r="668" spans="1:20" x14ac:dyDescent="0.2">
      <c r="A668" t="s">
        <v>573</v>
      </c>
      <c r="B668" t="s">
        <v>14</v>
      </c>
      <c r="C668" t="s">
        <v>15</v>
      </c>
      <c r="D668" t="s">
        <v>574</v>
      </c>
      <c r="E668" t="s">
        <v>575</v>
      </c>
      <c r="F66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8" s="27">
        <f t="shared" si="60"/>
        <v>40226</v>
      </c>
      <c r="H668" s="7" t="str">
        <f t="shared" si="61"/>
        <v>18:25:25</v>
      </c>
      <c r="I668" s="8" t="str">
        <f t="shared" si="62"/>
        <v>Evening</v>
      </c>
      <c r="J668" t="s">
        <v>552</v>
      </c>
      <c r="L668">
        <v>0</v>
      </c>
      <c r="M668">
        <v>0</v>
      </c>
      <c r="N668">
        <v>0</v>
      </c>
      <c r="O668" s="4">
        <f t="shared" si="63"/>
        <v>0</v>
      </c>
      <c r="P668" s="5" t="str">
        <f t="shared" si="64"/>
        <v>No engagement</v>
      </c>
      <c r="Q668" t="b">
        <v>0</v>
      </c>
      <c r="R668" t="b">
        <v>0</v>
      </c>
      <c r="S668" t="b">
        <v>0</v>
      </c>
      <c r="T668" s="24" t="str">
        <f t="shared" si="65"/>
        <v>Text only</v>
      </c>
    </row>
    <row r="669" spans="1:20" x14ac:dyDescent="0.2">
      <c r="A669" t="s">
        <v>566</v>
      </c>
      <c r="B669" t="s">
        <v>14</v>
      </c>
      <c r="C669" t="s">
        <v>15</v>
      </c>
      <c r="D669" t="s">
        <v>567</v>
      </c>
      <c r="E669" t="s">
        <v>568</v>
      </c>
      <c r="F66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69" s="27">
        <f t="shared" si="60"/>
        <v>40227</v>
      </c>
      <c r="H669" s="7" t="str">
        <f t="shared" si="61"/>
        <v>00:12:28</v>
      </c>
      <c r="I669" s="8" t="str">
        <f t="shared" si="62"/>
        <v>Early morning</v>
      </c>
      <c r="L669">
        <v>0</v>
      </c>
      <c r="M669">
        <v>0</v>
      </c>
      <c r="N669">
        <v>0</v>
      </c>
      <c r="O669" s="4">
        <f t="shared" si="63"/>
        <v>0</v>
      </c>
      <c r="P669" s="5" t="str">
        <f t="shared" si="64"/>
        <v>No engagement</v>
      </c>
      <c r="Q669" t="b">
        <v>0</v>
      </c>
      <c r="R669" t="b">
        <v>0</v>
      </c>
      <c r="S669" t="b">
        <v>0</v>
      </c>
      <c r="T669" s="24" t="str">
        <f t="shared" si="65"/>
        <v>Text only</v>
      </c>
    </row>
    <row r="670" spans="1:20" x14ac:dyDescent="0.2">
      <c r="A670" t="s">
        <v>563</v>
      </c>
      <c r="B670" t="s">
        <v>14</v>
      </c>
      <c r="C670" t="s">
        <v>15</v>
      </c>
      <c r="D670" t="s">
        <v>564</v>
      </c>
      <c r="E670" t="s">
        <v>565</v>
      </c>
      <c r="F67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0" s="27">
        <f t="shared" si="60"/>
        <v>40227</v>
      </c>
      <c r="H670" s="7" t="str">
        <f t="shared" si="61"/>
        <v>18:21:19</v>
      </c>
      <c r="I670" s="8" t="str">
        <f t="shared" si="62"/>
        <v>Evening</v>
      </c>
      <c r="J670" t="s">
        <v>443</v>
      </c>
      <c r="L670">
        <v>0</v>
      </c>
      <c r="M670">
        <v>0</v>
      </c>
      <c r="N670">
        <v>0</v>
      </c>
      <c r="O670" s="4">
        <f t="shared" si="63"/>
        <v>0</v>
      </c>
      <c r="P670" s="5" t="str">
        <f t="shared" si="64"/>
        <v>No engagement</v>
      </c>
      <c r="Q670" t="b">
        <v>0</v>
      </c>
      <c r="R670" t="b">
        <v>0</v>
      </c>
      <c r="S670" t="b">
        <v>0</v>
      </c>
      <c r="T670" s="24" t="str">
        <f t="shared" si="65"/>
        <v>Text only</v>
      </c>
    </row>
    <row r="671" spans="1:20" x14ac:dyDescent="0.2">
      <c r="A671" t="s">
        <v>556</v>
      </c>
      <c r="B671" t="s">
        <v>14</v>
      </c>
      <c r="C671" t="s">
        <v>15</v>
      </c>
      <c r="D671" t="s">
        <v>557</v>
      </c>
      <c r="E671" t="s">
        <v>558</v>
      </c>
      <c r="F67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1" s="27">
        <f t="shared" si="60"/>
        <v>40227</v>
      </c>
      <c r="H671" s="7" t="str">
        <f t="shared" si="61"/>
        <v>22:12:19</v>
      </c>
      <c r="I671" s="8" t="str">
        <f t="shared" si="62"/>
        <v>Evening</v>
      </c>
      <c r="J671" t="s">
        <v>559</v>
      </c>
      <c r="L671">
        <v>0</v>
      </c>
      <c r="M671">
        <v>0</v>
      </c>
      <c r="N671">
        <v>0</v>
      </c>
      <c r="O671" s="4">
        <f t="shared" si="63"/>
        <v>0</v>
      </c>
      <c r="P671" s="5" t="str">
        <f t="shared" si="64"/>
        <v>No engagement</v>
      </c>
      <c r="Q671" t="b">
        <v>0</v>
      </c>
      <c r="R671" t="b">
        <v>0</v>
      </c>
      <c r="S671" t="b">
        <v>0</v>
      </c>
      <c r="T671" s="24" t="str">
        <f t="shared" si="65"/>
        <v>Text only</v>
      </c>
    </row>
    <row r="672" spans="1:20" x14ac:dyDescent="0.2">
      <c r="A672" t="s">
        <v>540</v>
      </c>
      <c r="B672" t="s">
        <v>14</v>
      </c>
      <c r="C672" t="s">
        <v>15</v>
      </c>
      <c r="D672" t="s">
        <v>541</v>
      </c>
      <c r="E672" t="s">
        <v>542</v>
      </c>
      <c r="F67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2" s="27">
        <f t="shared" si="60"/>
        <v>40232</v>
      </c>
      <c r="H672" s="7" t="str">
        <f t="shared" si="61"/>
        <v>00:58:51</v>
      </c>
      <c r="I672" s="8" t="str">
        <f t="shared" si="62"/>
        <v>Early morning</v>
      </c>
      <c r="L672">
        <v>0</v>
      </c>
      <c r="M672">
        <v>0</v>
      </c>
      <c r="N672">
        <v>0</v>
      </c>
      <c r="O672" s="4">
        <f t="shared" si="63"/>
        <v>0</v>
      </c>
      <c r="P672" s="5" t="str">
        <f t="shared" si="64"/>
        <v>No engagement</v>
      </c>
      <c r="Q672" t="b">
        <v>0</v>
      </c>
      <c r="R672" t="b">
        <v>0</v>
      </c>
      <c r="S672" t="b">
        <v>0</v>
      </c>
      <c r="T672" s="24" t="str">
        <f t="shared" si="65"/>
        <v>Text only</v>
      </c>
    </row>
    <row r="673" spans="1:20" x14ac:dyDescent="0.2">
      <c r="A673" t="s">
        <v>534</v>
      </c>
      <c r="B673" t="s">
        <v>14</v>
      </c>
      <c r="C673" t="s">
        <v>15</v>
      </c>
      <c r="D673" t="s">
        <v>535</v>
      </c>
      <c r="E673" t="s">
        <v>536</v>
      </c>
      <c r="F67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3" s="27">
        <f t="shared" si="60"/>
        <v>40232</v>
      </c>
      <c r="H673" s="7" t="str">
        <f t="shared" si="61"/>
        <v>01:08:41</v>
      </c>
      <c r="I673" s="8" t="str">
        <f t="shared" si="62"/>
        <v>Early morning</v>
      </c>
      <c r="L673">
        <v>0</v>
      </c>
      <c r="M673">
        <v>0</v>
      </c>
      <c r="N673">
        <v>0</v>
      </c>
      <c r="O673" s="4">
        <f t="shared" si="63"/>
        <v>0</v>
      </c>
      <c r="P673" s="5" t="str">
        <f t="shared" si="64"/>
        <v>No engagement</v>
      </c>
      <c r="Q673" t="b">
        <v>0</v>
      </c>
      <c r="R673" t="b">
        <v>0</v>
      </c>
      <c r="S673" t="b">
        <v>0</v>
      </c>
      <c r="T673" s="24" t="str">
        <f t="shared" si="65"/>
        <v>Text only</v>
      </c>
    </row>
    <row r="674" spans="1:20" x14ac:dyDescent="0.2">
      <c r="A674" t="s">
        <v>531</v>
      </c>
      <c r="B674" t="s">
        <v>14</v>
      </c>
      <c r="C674" t="s">
        <v>15</v>
      </c>
      <c r="D674" t="s">
        <v>532</v>
      </c>
      <c r="E674" t="s">
        <v>533</v>
      </c>
      <c r="F67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4" s="27">
        <f t="shared" si="60"/>
        <v>40232</v>
      </c>
      <c r="H674" s="7" t="str">
        <f t="shared" si="61"/>
        <v>01:09:17</v>
      </c>
      <c r="I674" s="8" t="str">
        <f t="shared" si="62"/>
        <v>Early morning</v>
      </c>
      <c r="L674">
        <v>0</v>
      </c>
      <c r="M674">
        <v>0</v>
      </c>
      <c r="N674">
        <v>0</v>
      </c>
      <c r="O674" s="4">
        <f t="shared" si="63"/>
        <v>0</v>
      </c>
      <c r="P674" s="5" t="str">
        <f t="shared" si="64"/>
        <v>No engagement</v>
      </c>
      <c r="Q674" t="b">
        <v>0</v>
      </c>
      <c r="R674" t="b">
        <v>0</v>
      </c>
      <c r="S674" t="b">
        <v>0</v>
      </c>
      <c r="T674" s="24" t="str">
        <f t="shared" si="65"/>
        <v>Text only</v>
      </c>
    </row>
    <row r="675" spans="1:20" x14ac:dyDescent="0.2">
      <c r="A675" t="s">
        <v>524</v>
      </c>
      <c r="B675" t="s">
        <v>14</v>
      </c>
      <c r="C675" t="s">
        <v>15</v>
      </c>
      <c r="D675" t="s">
        <v>525</v>
      </c>
      <c r="E675" t="s">
        <v>526</v>
      </c>
      <c r="F67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5" s="27">
        <f t="shared" si="60"/>
        <v>40232</v>
      </c>
      <c r="H675" s="7" t="str">
        <f t="shared" si="61"/>
        <v>01:11:03</v>
      </c>
      <c r="I675" s="8" t="str">
        <f t="shared" si="62"/>
        <v>Early morning</v>
      </c>
      <c r="L675">
        <v>0</v>
      </c>
      <c r="M675">
        <v>0</v>
      </c>
      <c r="N675">
        <v>0</v>
      </c>
      <c r="O675" s="4">
        <f t="shared" si="63"/>
        <v>0</v>
      </c>
      <c r="P675" s="5" t="str">
        <f t="shared" si="64"/>
        <v>No engagement</v>
      </c>
      <c r="Q675" t="b">
        <v>0</v>
      </c>
      <c r="R675" t="b">
        <v>0</v>
      </c>
      <c r="S675" t="b">
        <v>0</v>
      </c>
      <c r="T675" s="24" t="str">
        <f t="shared" si="65"/>
        <v>Text only</v>
      </c>
    </row>
    <row r="676" spans="1:20" x14ac:dyDescent="0.2">
      <c r="A676" t="s">
        <v>518</v>
      </c>
      <c r="B676" t="s">
        <v>14</v>
      </c>
      <c r="C676" t="s">
        <v>15</v>
      </c>
      <c r="D676" t="s">
        <v>519</v>
      </c>
      <c r="E676" t="s">
        <v>520</v>
      </c>
      <c r="F67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6" s="27">
        <f t="shared" si="60"/>
        <v>40232</v>
      </c>
      <c r="H676" s="7" t="str">
        <f t="shared" si="61"/>
        <v>01:13:53</v>
      </c>
      <c r="I676" s="8" t="str">
        <f t="shared" si="62"/>
        <v>Early morning</v>
      </c>
      <c r="L676">
        <v>0</v>
      </c>
      <c r="M676">
        <v>0</v>
      </c>
      <c r="N676">
        <v>0</v>
      </c>
      <c r="O676" s="4">
        <f t="shared" si="63"/>
        <v>0</v>
      </c>
      <c r="P676" s="5" t="str">
        <f t="shared" si="64"/>
        <v>No engagement</v>
      </c>
      <c r="Q676" t="b">
        <v>0</v>
      </c>
      <c r="R676" t="b">
        <v>0</v>
      </c>
      <c r="S676" t="b">
        <v>0</v>
      </c>
      <c r="T676" s="24" t="str">
        <f t="shared" si="65"/>
        <v>Text only</v>
      </c>
    </row>
    <row r="677" spans="1:20" x14ac:dyDescent="0.2">
      <c r="A677" t="s">
        <v>515</v>
      </c>
      <c r="B677" t="s">
        <v>14</v>
      </c>
      <c r="C677" t="s">
        <v>15</v>
      </c>
      <c r="D677" t="s">
        <v>516</v>
      </c>
      <c r="E677" t="s">
        <v>517</v>
      </c>
      <c r="F67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7" s="27">
        <f t="shared" si="60"/>
        <v>40232</v>
      </c>
      <c r="H677" s="7" t="str">
        <f t="shared" si="61"/>
        <v>01:14:47</v>
      </c>
      <c r="I677" s="8" t="str">
        <f t="shared" si="62"/>
        <v>Early morning</v>
      </c>
      <c r="L677">
        <v>0</v>
      </c>
      <c r="M677">
        <v>0</v>
      </c>
      <c r="N677">
        <v>0</v>
      </c>
      <c r="O677" s="4">
        <f t="shared" si="63"/>
        <v>0</v>
      </c>
      <c r="P677" s="5" t="str">
        <f t="shared" si="64"/>
        <v>No engagement</v>
      </c>
      <c r="Q677" t="b">
        <v>0</v>
      </c>
      <c r="R677" t="b">
        <v>0</v>
      </c>
      <c r="S677" t="b">
        <v>0</v>
      </c>
      <c r="T677" s="24" t="str">
        <f t="shared" si="65"/>
        <v>Text only</v>
      </c>
    </row>
    <row r="678" spans="1:20" x14ac:dyDescent="0.2">
      <c r="A678" t="s">
        <v>512</v>
      </c>
      <c r="B678" t="s">
        <v>14</v>
      </c>
      <c r="C678" t="s">
        <v>15</v>
      </c>
      <c r="D678" t="s">
        <v>513</v>
      </c>
      <c r="E678" t="s">
        <v>514</v>
      </c>
      <c r="F67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8" s="27">
        <f t="shared" si="60"/>
        <v>40232</v>
      </c>
      <c r="H678" s="7" t="str">
        <f t="shared" si="61"/>
        <v>01:17:13</v>
      </c>
      <c r="I678" s="8" t="str">
        <f t="shared" si="62"/>
        <v>Early morning</v>
      </c>
      <c r="L678">
        <v>0</v>
      </c>
      <c r="M678">
        <v>0</v>
      </c>
      <c r="N678">
        <v>0</v>
      </c>
      <c r="O678" s="4">
        <f t="shared" si="63"/>
        <v>0</v>
      </c>
      <c r="P678" s="5" t="str">
        <f t="shared" si="64"/>
        <v>No engagement</v>
      </c>
      <c r="Q678" t="b">
        <v>0</v>
      </c>
      <c r="R678" t="b">
        <v>0</v>
      </c>
      <c r="S678" t="b">
        <v>0</v>
      </c>
      <c r="T678" s="24" t="str">
        <f t="shared" si="65"/>
        <v>Text only</v>
      </c>
    </row>
    <row r="679" spans="1:20" x14ac:dyDescent="0.2">
      <c r="A679" t="s">
        <v>509</v>
      </c>
      <c r="B679" t="s">
        <v>14</v>
      </c>
      <c r="C679" t="s">
        <v>15</v>
      </c>
      <c r="D679" t="s">
        <v>510</v>
      </c>
      <c r="E679" t="s">
        <v>511</v>
      </c>
      <c r="F67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79" s="27">
        <f t="shared" si="60"/>
        <v>40232</v>
      </c>
      <c r="H679" s="7" t="str">
        <f t="shared" si="61"/>
        <v>01:31:18</v>
      </c>
      <c r="I679" s="8" t="str">
        <f t="shared" si="62"/>
        <v>Early morning</v>
      </c>
      <c r="L679">
        <v>0</v>
      </c>
      <c r="M679">
        <v>0</v>
      </c>
      <c r="N679">
        <v>0</v>
      </c>
      <c r="O679" s="4">
        <f t="shared" si="63"/>
        <v>0</v>
      </c>
      <c r="P679" s="5" t="str">
        <f t="shared" si="64"/>
        <v>No engagement</v>
      </c>
      <c r="Q679" t="b">
        <v>0</v>
      </c>
      <c r="R679" t="b">
        <v>0</v>
      </c>
      <c r="S679" t="b">
        <v>0</v>
      </c>
      <c r="T679" s="24" t="str">
        <f t="shared" si="65"/>
        <v>Text only</v>
      </c>
    </row>
    <row r="680" spans="1:20" x14ac:dyDescent="0.2">
      <c r="A680" t="s">
        <v>506</v>
      </c>
      <c r="B680" t="s">
        <v>14</v>
      </c>
      <c r="C680" t="s">
        <v>15</v>
      </c>
      <c r="D680" t="s">
        <v>507</v>
      </c>
      <c r="E680" t="s">
        <v>508</v>
      </c>
      <c r="F68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0" s="27">
        <f t="shared" si="60"/>
        <v>40232</v>
      </c>
      <c r="H680" s="7" t="str">
        <f t="shared" si="61"/>
        <v>01:33:11</v>
      </c>
      <c r="I680" s="8" t="str">
        <f t="shared" si="62"/>
        <v>Early morning</v>
      </c>
      <c r="L680">
        <v>0</v>
      </c>
      <c r="M680">
        <v>0</v>
      </c>
      <c r="N680">
        <v>0</v>
      </c>
      <c r="O680" s="4">
        <f t="shared" si="63"/>
        <v>0</v>
      </c>
      <c r="P680" s="5" t="str">
        <f t="shared" si="64"/>
        <v>No engagement</v>
      </c>
      <c r="Q680" t="b">
        <v>0</v>
      </c>
      <c r="R680" t="b">
        <v>0</v>
      </c>
      <c r="S680" t="b">
        <v>0</v>
      </c>
      <c r="T680" s="24" t="str">
        <f t="shared" si="65"/>
        <v>Text only</v>
      </c>
    </row>
    <row r="681" spans="1:20" x14ac:dyDescent="0.2">
      <c r="A681" t="s">
        <v>503</v>
      </c>
      <c r="B681" t="s">
        <v>14</v>
      </c>
      <c r="C681" t="s">
        <v>15</v>
      </c>
      <c r="D681" t="s">
        <v>504</v>
      </c>
      <c r="E681" t="s">
        <v>505</v>
      </c>
      <c r="F68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1" s="27">
        <f t="shared" si="60"/>
        <v>40232</v>
      </c>
      <c r="H681" s="7" t="str">
        <f t="shared" si="61"/>
        <v>01:35:42</v>
      </c>
      <c r="I681" s="8" t="str">
        <f t="shared" si="62"/>
        <v>Early morning</v>
      </c>
      <c r="L681">
        <v>0</v>
      </c>
      <c r="M681">
        <v>0</v>
      </c>
      <c r="N681">
        <v>0</v>
      </c>
      <c r="O681" s="4">
        <f t="shared" si="63"/>
        <v>0</v>
      </c>
      <c r="P681" s="5" t="str">
        <f t="shared" si="64"/>
        <v>No engagement</v>
      </c>
      <c r="Q681" t="b">
        <v>0</v>
      </c>
      <c r="R681" t="b">
        <v>0</v>
      </c>
      <c r="S681" t="b">
        <v>0</v>
      </c>
      <c r="T681" s="24" t="str">
        <f t="shared" si="65"/>
        <v>Text only</v>
      </c>
    </row>
    <row r="682" spans="1:20" x14ac:dyDescent="0.2">
      <c r="A682" t="s">
        <v>500</v>
      </c>
      <c r="B682" t="s">
        <v>14</v>
      </c>
      <c r="C682" t="s">
        <v>15</v>
      </c>
      <c r="D682" t="s">
        <v>501</v>
      </c>
      <c r="E682" t="s">
        <v>502</v>
      </c>
      <c r="F68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2" s="27">
        <f t="shared" si="60"/>
        <v>40232</v>
      </c>
      <c r="H682" s="7" t="str">
        <f t="shared" si="61"/>
        <v>01:36:48</v>
      </c>
      <c r="I682" s="8" t="str">
        <f t="shared" si="62"/>
        <v>Early morning</v>
      </c>
      <c r="J682" t="s">
        <v>496</v>
      </c>
      <c r="L682">
        <v>0</v>
      </c>
      <c r="M682">
        <v>0</v>
      </c>
      <c r="N682">
        <v>0</v>
      </c>
      <c r="O682" s="4">
        <f t="shared" si="63"/>
        <v>0</v>
      </c>
      <c r="P682" s="5" t="str">
        <f t="shared" si="64"/>
        <v>No engagement</v>
      </c>
      <c r="Q682" t="b">
        <v>0</v>
      </c>
      <c r="R682" t="b">
        <v>0</v>
      </c>
      <c r="S682" t="b">
        <v>0</v>
      </c>
      <c r="T682" s="24" t="str">
        <f t="shared" si="65"/>
        <v>Text only</v>
      </c>
    </row>
    <row r="683" spans="1:20" x14ac:dyDescent="0.2">
      <c r="A683" t="s">
        <v>497</v>
      </c>
      <c r="B683" t="s">
        <v>14</v>
      </c>
      <c r="C683" t="s">
        <v>15</v>
      </c>
      <c r="D683" t="s">
        <v>498</v>
      </c>
      <c r="E683" t="s">
        <v>499</v>
      </c>
      <c r="F68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3" s="27">
        <f t="shared" si="60"/>
        <v>40232</v>
      </c>
      <c r="H683" s="7" t="str">
        <f t="shared" si="61"/>
        <v>01:37:46</v>
      </c>
      <c r="I683" s="8" t="str">
        <f t="shared" si="62"/>
        <v>Early morning</v>
      </c>
      <c r="L683">
        <v>0</v>
      </c>
      <c r="M683">
        <v>0</v>
      </c>
      <c r="N683">
        <v>0</v>
      </c>
      <c r="O683" s="4">
        <f t="shared" si="63"/>
        <v>0</v>
      </c>
      <c r="P683" s="5" t="str">
        <f t="shared" si="64"/>
        <v>No engagement</v>
      </c>
      <c r="Q683" t="b">
        <v>0</v>
      </c>
      <c r="R683" t="b">
        <v>0</v>
      </c>
      <c r="S683" t="b">
        <v>0</v>
      </c>
      <c r="T683" s="24" t="str">
        <f t="shared" si="65"/>
        <v>Text only</v>
      </c>
    </row>
    <row r="684" spans="1:20" x14ac:dyDescent="0.2">
      <c r="A684" t="s">
        <v>490</v>
      </c>
      <c r="B684" t="s">
        <v>14</v>
      </c>
      <c r="C684" t="s">
        <v>15</v>
      </c>
      <c r="D684" t="s">
        <v>491</v>
      </c>
      <c r="E684" t="s">
        <v>492</v>
      </c>
      <c r="F68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4" s="27">
        <f t="shared" si="60"/>
        <v>40232</v>
      </c>
      <c r="H684" s="7" t="str">
        <f t="shared" si="61"/>
        <v>01:40:30</v>
      </c>
      <c r="I684" s="8" t="str">
        <f t="shared" si="62"/>
        <v>Early morning</v>
      </c>
      <c r="L684">
        <v>0</v>
      </c>
      <c r="M684">
        <v>0</v>
      </c>
      <c r="N684">
        <v>0</v>
      </c>
      <c r="O684" s="4">
        <f t="shared" si="63"/>
        <v>0</v>
      </c>
      <c r="P684" s="5" t="str">
        <f t="shared" si="64"/>
        <v>No engagement</v>
      </c>
      <c r="Q684" t="b">
        <v>0</v>
      </c>
      <c r="R684" t="b">
        <v>0</v>
      </c>
      <c r="S684" t="b">
        <v>0</v>
      </c>
      <c r="T684" s="24" t="str">
        <f t="shared" si="65"/>
        <v>Text only</v>
      </c>
    </row>
    <row r="685" spans="1:20" x14ac:dyDescent="0.2">
      <c r="A685" t="s">
        <v>487</v>
      </c>
      <c r="B685" t="s">
        <v>14</v>
      </c>
      <c r="C685" t="s">
        <v>15</v>
      </c>
      <c r="D685" t="s">
        <v>488</v>
      </c>
      <c r="E685" t="s">
        <v>486</v>
      </c>
      <c r="F68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5" s="27">
        <f t="shared" si="60"/>
        <v>40232</v>
      </c>
      <c r="H685" s="7" t="str">
        <f t="shared" si="61"/>
        <v>01:41:38</v>
      </c>
      <c r="I685" s="8" t="str">
        <f t="shared" si="62"/>
        <v>Early morning</v>
      </c>
      <c r="J685" t="s">
        <v>489</v>
      </c>
      <c r="L685">
        <v>0</v>
      </c>
      <c r="M685">
        <v>0</v>
      </c>
      <c r="N685">
        <v>0</v>
      </c>
      <c r="O685" s="4">
        <f t="shared" si="63"/>
        <v>0</v>
      </c>
      <c r="P685" s="5" t="str">
        <f t="shared" si="64"/>
        <v>No engagement</v>
      </c>
      <c r="Q685" t="b">
        <v>0</v>
      </c>
      <c r="R685" t="b">
        <v>0</v>
      </c>
      <c r="S685" t="b">
        <v>0</v>
      </c>
      <c r="T685" s="24" t="str">
        <f t="shared" si="65"/>
        <v>Text only</v>
      </c>
    </row>
    <row r="686" spans="1:20" x14ac:dyDescent="0.2">
      <c r="A686" t="s">
        <v>454</v>
      </c>
      <c r="B686" t="s">
        <v>14</v>
      </c>
      <c r="C686" t="s">
        <v>15</v>
      </c>
      <c r="D686" t="s">
        <v>455</v>
      </c>
      <c r="E686" t="s">
        <v>456</v>
      </c>
      <c r="F68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6" s="27">
        <f t="shared" si="60"/>
        <v>40233</v>
      </c>
      <c r="H686" s="7" t="str">
        <f t="shared" si="61"/>
        <v>20:03:47</v>
      </c>
      <c r="I686" s="8" t="str">
        <f t="shared" si="62"/>
        <v>Evening</v>
      </c>
      <c r="J686" t="s">
        <v>457</v>
      </c>
      <c r="L686">
        <v>0</v>
      </c>
      <c r="M686">
        <v>0</v>
      </c>
      <c r="N686">
        <v>0</v>
      </c>
      <c r="O686" s="4">
        <f t="shared" si="63"/>
        <v>0</v>
      </c>
      <c r="P686" s="5" t="str">
        <f t="shared" si="64"/>
        <v>No engagement</v>
      </c>
      <c r="Q686" t="b">
        <v>0</v>
      </c>
      <c r="R686" t="b">
        <v>0</v>
      </c>
      <c r="S686" t="b">
        <v>1</v>
      </c>
      <c r="T686" s="24" t="str">
        <f t="shared" si="65"/>
        <v>Link</v>
      </c>
    </row>
    <row r="687" spans="1:20" x14ac:dyDescent="0.2">
      <c r="A687" t="s">
        <v>447</v>
      </c>
      <c r="B687" t="s">
        <v>14</v>
      </c>
      <c r="C687" t="s">
        <v>15</v>
      </c>
      <c r="D687" t="s">
        <v>448</v>
      </c>
      <c r="E687" t="s">
        <v>449</v>
      </c>
      <c r="F68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7" s="27">
        <f t="shared" si="60"/>
        <v>40234</v>
      </c>
      <c r="H687" s="7" t="str">
        <f t="shared" si="61"/>
        <v>19:28:14</v>
      </c>
      <c r="I687" s="8" t="str">
        <f t="shared" si="62"/>
        <v>Evening</v>
      </c>
      <c r="J687" t="s">
        <v>450</v>
      </c>
      <c r="L687">
        <v>1</v>
      </c>
      <c r="M687">
        <v>0</v>
      </c>
      <c r="N687">
        <v>0</v>
      </c>
      <c r="O687" s="4">
        <f t="shared" si="63"/>
        <v>1</v>
      </c>
      <c r="P687" s="5" t="str">
        <f t="shared" si="64"/>
        <v>Low engagement</v>
      </c>
      <c r="Q687" t="b">
        <v>0</v>
      </c>
      <c r="R687" t="b">
        <v>0</v>
      </c>
      <c r="S687" t="b">
        <v>0</v>
      </c>
      <c r="T687" s="24" t="str">
        <f t="shared" si="65"/>
        <v>Text only</v>
      </c>
    </row>
    <row r="688" spans="1:20" x14ac:dyDescent="0.2">
      <c r="A688" t="s">
        <v>404</v>
      </c>
      <c r="B688" t="s">
        <v>14</v>
      </c>
      <c r="C688" t="s">
        <v>15</v>
      </c>
      <c r="D688" t="s">
        <v>405</v>
      </c>
      <c r="E688" t="s">
        <v>406</v>
      </c>
      <c r="F68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8" s="27">
        <f t="shared" si="60"/>
        <v>40239</v>
      </c>
      <c r="H688" s="7" t="str">
        <f t="shared" si="61"/>
        <v>21:57:32</v>
      </c>
      <c r="I688" s="8" t="str">
        <f t="shared" si="62"/>
        <v>Evening</v>
      </c>
      <c r="J688" t="s">
        <v>400</v>
      </c>
      <c r="L688">
        <v>0</v>
      </c>
      <c r="M688">
        <v>0</v>
      </c>
      <c r="N688">
        <v>0</v>
      </c>
      <c r="O688" s="4">
        <f t="shared" si="63"/>
        <v>0</v>
      </c>
      <c r="P688" s="5" t="str">
        <f t="shared" si="64"/>
        <v>No engagement</v>
      </c>
      <c r="Q688" t="b">
        <v>0</v>
      </c>
      <c r="R688" t="b">
        <v>0</v>
      </c>
      <c r="S688" t="b">
        <v>0</v>
      </c>
      <c r="T688" s="24" t="str">
        <f t="shared" si="65"/>
        <v>Text only</v>
      </c>
    </row>
    <row r="689" spans="1:20" x14ac:dyDescent="0.2">
      <c r="A689" t="s">
        <v>401</v>
      </c>
      <c r="B689" t="s">
        <v>14</v>
      </c>
      <c r="C689" t="s">
        <v>15</v>
      </c>
      <c r="D689" t="s">
        <v>402</v>
      </c>
      <c r="E689" t="s">
        <v>403</v>
      </c>
      <c r="F68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89" s="27">
        <f t="shared" si="60"/>
        <v>40239</v>
      </c>
      <c r="H689" s="7" t="str">
        <f t="shared" si="61"/>
        <v>23:17:11</v>
      </c>
      <c r="I689" s="8" t="str">
        <f t="shared" si="62"/>
        <v>Evening</v>
      </c>
      <c r="L689">
        <v>0</v>
      </c>
      <c r="M689">
        <v>0</v>
      </c>
      <c r="N689">
        <v>0</v>
      </c>
      <c r="O689" s="4">
        <f t="shared" si="63"/>
        <v>0</v>
      </c>
      <c r="P689" s="5" t="str">
        <f t="shared" si="64"/>
        <v>No engagement</v>
      </c>
      <c r="Q689" t="b">
        <v>0</v>
      </c>
      <c r="R689" t="b">
        <v>0</v>
      </c>
      <c r="S689" t="b">
        <v>0</v>
      </c>
      <c r="T689" s="24" t="str">
        <f t="shared" si="65"/>
        <v>Text only</v>
      </c>
    </row>
    <row r="690" spans="1:20" x14ac:dyDescent="0.2">
      <c r="A690" t="s">
        <v>397</v>
      </c>
      <c r="B690" t="s">
        <v>14</v>
      </c>
      <c r="C690" t="s">
        <v>15</v>
      </c>
      <c r="D690" t="s">
        <v>398</v>
      </c>
      <c r="E690" t="s">
        <v>399</v>
      </c>
      <c r="F69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0" s="27">
        <f t="shared" si="60"/>
        <v>40239</v>
      </c>
      <c r="H690" s="7" t="str">
        <f t="shared" si="61"/>
        <v>23:21:17</v>
      </c>
      <c r="I690" s="8" t="str">
        <f t="shared" si="62"/>
        <v>Evening</v>
      </c>
      <c r="J690" t="s">
        <v>400</v>
      </c>
      <c r="L690">
        <v>0</v>
      </c>
      <c r="M690">
        <v>0</v>
      </c>
      <c r="N690">
        <v>0</v>
      </c>
      <c r="O690" s="4">
        <f t="shared" si="63"/>
        <v>0</v>
      </c>
      <c r="P690" s="5" t="str">
        <f t="shared" si="64"/>
        <v>No engagement</v>
      </c>
      <c r="Q690" t="b">
        <v>0</v>
      </c>
      <c r="R690" t="b">
        <v>0</v>
      </c>
      <c r="S690" t="b">
        <v>0</v>
      </c>
      <c r="T690" s="24" t="str">
        <f t="shared" si="65"/>
        <v>Text only</v>
      </c>
    </row>
    <row r="691" spans="1:20" x14ac:dyDescent="0.2">
      <c r="A691" t="s">
        <v>391</v>
      </c>
      <c r="B691" t="s">
        <v>14</v>
      </c>
      <c r="C691" t="s">
        <v>15</v>
      </c>
      <c r="D691" t="s">
        <v>392</v>
      </c>
      <c r="E691" t="s">
        <v>393</v>
      </c>
      <c r="F69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1" s="27">
        <f t="shared" si="60"/>
        <v>40241</v>
      </c>
      <c r="H691" s="7" t="str">
        <f t="shared" si="61"/>
        <v>05:06:05</v>
      </c>
      <c r="I691" s="8" t="str">
        <f t="shared" si="62"/>
        <v>Early morning</v>
      </c>
      <c r="J691" t="s">
        <v>386</v>
      </c>
      <c r="L691">
        <v>0</v>
      </c>
      <c r="M691">
        <v>0</v>
      </c>
      <c r="N691">
        <v>0</v>
      </c>
      <c r="O691" s="4">
        <f t="shared" si="63"/>
        <v>0</v>
      </c>
      <c r="P691" s="5" t="str">
        <f t="shared" si="64"/>
        <v>No engagement</v>
      </c>
      <c r="Q691" t="b">
        <v>0</v>
      </c>
      <c r="R691" t="b">
        <v>0</v>
      </c>
      <c r="S691" t="b">
        <v>0</v>
      </c>
      <c r="T691" s="24" t="str">
        <f t="shared" si="65"/>
        <v>Text only</v>
      </c>
    </row>
    <row r="692" spans="1:20" x14ac:dyDescent="0.2">
      <c r="A692" t="s">
        <v>387</v>
      </c>
      <c r="B692" t="s">
        <v>14</v>
      </c>
      <c r="C692" t="s">
        <v>15</v>
      </c>
      <c r="D692" t="s">
        <v>388</v>
      </c>
      <c r="E692" t="s">
        <v>389</v>
      </c>
      <c r="F69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2" s="27">
        <f t="shared" si="60"/>
        <v>40241</v>
      </c>
      <c r="H692" s="7" t="str">
        <f t="shared" si="61"/>
        <v>05:09:40</v>
      </c>
      <c r="I692" s="8" t="str">
        <f t="shared" si="62"/>
        <v>Early morning</v>
      </c>
      <c r="J692" t="s">
        <v>390</v>
      </c>
      <c r="L692">
        <v>0</v>
      </c>
      <c r="M692">
        <v>0</v>
      </c>
      <c r="N692">
        <v>0</v>
      </c>
      <c r="O692" s="4">
        <f t="shared" si="63"/>
        <v>0</v>
      </c>
      <c r="P692" s="5" t="str">
        <f t="shared" si="64"/>
        <v>No engagement</v>
      </c>
      <c r="Q692" t="b">
        <v>0</v>
      </c>
      <c r="R692" t="b">
        <v>0</v>
      </c>
      <c r="S692" t="b">
        <v>0</v>
      </c>
      <c r="T692" s="24" t="str">
        <f t="shared" si="65"/>
        <v>Text only</v>
      </c>
    </row>
    <row r="693" spans="1:20" x14ac:dyDescent="0.2">
      <c r="A693" t="s">
        <v>383</v>
      </c>
      <c r="B693" t="s">
        <v>14</v>
      </c>
      <c r="C693" t="s">
        <v>15</v>
      </c>
      <c r="D693" t="s">
        <v>384</v>
      </c>
      <c r="E693" t="s">
        <v>385</v>
      </c>
      <c r="F69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3" s="27">
        <f t="shared" si="60"/>
        <v>40241</v>
      </c>
      <c r="H693" s="7" t="str">
        <f t="shared" si="61"/>
        <v>18:50:58</v>
      </c>
      <c r="I693" s="8" t="str">
        <f t="shared" si="62"/>
        <v>Evening</v>
      </c>
      <c r="L693">
        <v>0</v>
      </c>
      <c r="M693">
        <v>0</v>
      </c>
      <c r="N693">
        <v>0</v>
      </c>
      <c r="O693" s="4">
        <f t="shared" si="63"/>
        <v>0</v>
      </c>
      <c r="P693" s="5" t="str">
        <f t="shared" si="64"/>
        <v>No engagement</v>
      </c>
      <c r="Q693" t="b">
        <v>0</v>
      </c>
      <c r="R693" t="b">
        <v>0</v>
      </c>
      <c r="S693" t="b">
        <v>0</v>
      </c>
      <c r="T693" s="24" t="str">
        <f t="shared" si="65"/>
        <v>Text only</v>
      </c>
    </row>
    <row r="694" spans="1:20" x14ac:dyDescent="0.2">
      <c r="A694" t="s">
        <v>380</v>
      </c>
      <c r="B694" t="s">
        <v>14</v>
      </c>
      <c r="C694" t="s">
        <v>15</v>
      </c>
      <c r="D694" t="s">
        <v>381</v>
      </c>
      <c r="E694" t="s">
        <v>382</v>
      </c>
      <c r="F69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4" s="27">
        <f t="shared" si="60"/>
        <v>40241</v>
      </c>
      <c r="H694" s="7" t="str">
        <f t="shared" si="61"/>
        <v>21:33:47</v>
      </c>
      <c r="I694" s="8" t="str">
        <f t="shared" si="62"/>
        <v>Evening</v>
      </c>
      <c r="L694">
        <v>0</v>
      </c>
      <c r="M694">
        <v>0</v>
      </c>
      <c r="N694">
        <v>0</v>
      </c>
      <c r="O694" s="4">
        <f t="shared" si="63"/>
        <v>0</v>
      </c>
      <c r="P694" s="5" t="str">
        <f t="shared" si="64"/>
        <v>No engagement</v>
      </c>
      <c r="Q694" t="b">
        <v>0</v>
      </c>
      <c r="R694" t="b">
        <v>0</v>
      </c>
      <c r="S694" t="b">
        <v>1</v>
      </c>
      <c r="T694" s="24" t="str">
        <f t="shared" si="65"/>
        <v>Link</v>
      </c>
    </row>
    <row r="695" spans="1:20" x14ac:dyDescent="0.2">
      <c r="A695" t="s">
        <v>376</v>
      </c>
      <c r="B695" t="s">
        <v>14</v>
      </c>
      <c r="C695" t="s">
        <v>15</v>
      </c>
      <c r="D695" t="s">
        <v>377</v>
      </c>
      <c r="E695" t="s">
        <v>378</v>
      </c>
      <c r="F69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5" s="27">
        <f t="shared" si="60"/>
        <v>40241</v>
      </c>
      <c r="H695" s="7" t="str">
        <f t="shared" si="61"/>
        <v>21:36:20</v>
      </c>
      <c r="I695" s="8" t="str">
        <f t="shared" si="62"/>
        <v>Evening</v>
      </c>
      <c r="J695" t="s">
        <v>379</v>
      </c>
      <c r="L695">
        <v>0</v>
      </c>
      <c r="M695">
        <v>0</v>
      </c>
      <c r="N695">
        <v>0</v>
      </c>
      <c r="O695" s="4">
        <f t="shared" si="63"/>
        <v>0</v>
      </c>
      <c r="P695" s="5" t="str">
        <f t="shared" si="64"/>
        <v>No engagement</v>
      </c>
      <c r="Q695" t="b">
        <v>0</v>
      </c>
      <c r="R695" t="b">
        <v>0</v>
      </c>
      <c r="S695" t="b">
        <v>0</v>
      </c>
      <c r="T695" s="24" t="str">
        <f t="shared" si="65"/>
        <v>Text only</v>
      </c>
    </row>
    <row r="696" spans="1:20" x14ac:dyDescent="0.2">
      <c r="A696" t="s">
        <v>372</v>
      </c>
      <c r="B696" t="s">
        <v>14</v>
      </c>
      <c r="C696" t="s">
        <v>15</v>
      </c>
      <c r="D696" t="s">
        <v>373</v>
      </c>
      <c r="E696" t="s">
        <v>374</v>
      </c>
      <c r="F69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6" s="27">
        <f t="shared" si="60"/>
        <v>40241</v>
      </c>
      <c r="H696" s="7" t="str">
        <f t="shared" si="61"/>
        <v>22:31:08</v>
      </c>
      <c r="I696" s="8" t="str">
        <f t="shared" si="62"/>
        <v>Evening</v>
      </c>
      <c r="J696" t="s">
        <v>375</v>
      </c>
      <c r="L696">
        <v>0</v>
      </c>
      <c r="M696">
        <v>0</v>
      </c>
      <c r="N696">
        <v>0</v>
      </c>
      <c r="O696" s="4">
        <f t="shared" si="63"/>
        <v>0</v>
      </c>
      <c r="P696" s="5" t="str">
        <f t="shared" si="64"/>
        <v>No engagement</v>
      </c>
      <c r="Q696" t="b">
        <v>0</v>
      </c>
      <c r="R696" t="b">
        <v>0</v>
      </c>
      <c r="S696" t="b">
        <v>0</v>
      </c>
      <c r="T696" s="24" t="str">
        <f t="shared" si="65"/>
        <v>Text only</v>
      </c>
    </row>
    <row r="697" spans="1:20" x14ac:dyDescent="0.2">
      <c r="A697" t="s">
        <v>365</v>
      </c>
      <c r="B697" t="s">
        <v>14</v>
      </c>
      <c r="C697" t="s">
        <v>15</v>
      </c>
      <c r="D697" t="s">
        <v>366</v>
      </c>
      <c r="E697" t="s">
        <v>367</v>
      </c>
      <c r="F69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7" s="27">
        <f t="shared" si="60"/>
        <v>40242</v>
      </c>
      <c r="H697" s="7" t="str">
        <f t="shared" si="61"/>
        <v>16:53:51</v>
      </c>
      <c r="I697" s="8" t="str">
        <f t="shared" si="62"/>
        <v>Afternoon</v>
      </c>
      <c r="J697" t="s">
        <v>368</v>
      </c>
      <c r="L697">
        <v>0</v>
      </c>
      <c r="M697">
        <v>0</v>
      </c>
      <c r="N697">
        <v>0</v>
      </c>
      <c r="O697" s="4">
        <f t="shared" si="63"/>
        <v>0</v>
      </c>
      <c r="P697" s="5" t="str">
        <f t="shared" si="64"/>
        <v>No engagement</v>
      </c>
      <c r="Q697" t="b">
        <v>0</v>
      </c>
      <c r="R697" t="b">
        <v>0</v>
      </c>
      <c r="S697" t="b">
        <v>0</v>
      </c>
      <c r="T697" s="24" t="str">
        <f t="shared" si="65"/>
        <v>Text only</v>
      </c>
    </row>
    <row r="698" spans="1:20" x14ac:dyDescent="0.2">
      <c r="A698" t="s">
        <v>362</v>
      </c>
      <c r="B698" t="s">
        <v>14</v>
      </c>
      <c r="C698" t="s">
        <v>15</v>
      </c>
      <c r="D698" t="s">
        <v>363</v>
      </c>
      <c r="E698" t="s">
        <v>364</v>
      </c>
      <c r="F69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8" s="27">
        <f t="shared" si="60"/>
        <v>40242</v>
      </c>
      <c r="H698" s="7" t="str">
        <f t="shared" si="61"/>
        <v>17:01:46</v>
      </c>
      <c r="I698" s="8" t="str">
        <f t="shared" si="62"/>
        <v>Afternoon</v>
      </c>
      <c r="J698" t="s">
        <v>355</v>
      </c>
      <c r="L698">
        <v>0</v>
      </c>
      <c r="M698">
        <v>0</v>
      </c>
      <c r="N698">
        <v>0</v>
      </c>
      <c r="O698" s="4">
        <f t="shared" si="63"/>
        <v>0</v>
      </c>
      <c r="P698" s="5" t="str">
        <f t="shared" si="64"/>
        <v>No engagement</v>
      </c>
      <c r="Q698" t="b">
        <v>0</v>
      </c>
      <c r="R698" t="b">
        <v>0</v>
      </c>
      <c r="S698" t="b">
        <v>1</v>
      </c>
      <c r="T698" s="24" t="str">
        <f t="shared" si="65"/>
        <v>Link</v>
      </c>
    </row>
    <row r="699" spans="1:20" x14ac:dyDescent="0.2">
      <c r="A699" t="s">
        <v>346</v>
      </c>
      <c r="B699" t="s">
        <v>14</v>
      </c>
      <c r="C699" t="s">
        <v>15</v>
      </c>
      <c r="D699" t="s">
        <v>347</v>
      </c>
      <c r="E699" t="s">
        <v>348</v>
      </c>
      <c r="F69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699" s="27">
        <f t="shared" si="60"/>
        <v>40245</v>
      </c>
      <c r="H699" s="7" t="str">
        <f t="shared" si="61"/>
        <v>19:17:32</v>
      </c>
      <c r="I699" s="8" t="str">
        <f t="shared" si="62"/>
        <v>Evening</v>
      </c>
      <c r="L699">
        <v>0</v>
      </c>
      <c r="M699">
        <v>0</v>
      </c>
      <c r="N699">
        <v>0</v>
      </c>
      <c r="O699" s="4">
        <f t="shared" si="63"/>
        <v>0</v>
      </c>
      <c r="P699" s="5" t="str">
        <f t="shared" si="64"/>
        <v>No engagement</v>
      </c>
      <c r="Q699" t="b">
        <v>0</v>
      </c>
      <c r="R699" t="b">
        <v>0</v>
      </c>
      <c r="S699" t="b">
        <v>1</v>
      </c>
      <c r="T699" s="24" t="str">
        <f t="shared" si="65"/>
        <v>Link</v>
      </c>
    </row>
    <row r="700" spans="1:20" x14ac:dyDescent="0.2">
      <c r="A700" t="s">
        <v>337</v>
      </c>
      <c r="B700" t="s">
        <v>14</v>
      </c>
      <c r="C700" t="s">
        <v>15</v>
      </c>
      <c r="D700" t="s">
        <v>338</v>
      </c>
      <c r="E700" t="s">
        <v>339</v>
      </c>
      <c r="F70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0" s="27">
        <f t="shared" si="60"/>
        <v>40246</v>
      </c>
      <c r="H700" s="7" t="str">
        <f t="shared" si="61"/>
        <v>17:03:01</v>
      </c>
      <c r="I700" s="8" t="str">
        <f t="shared" si="62"/>
        <v>Afternoon</v>
      </c>
      <c r="J700" t="s">
        <v>336</v>
      </c>
      <c r="L700">
        <v>0</v>
      </c>
      <c r="M700">
        <v>0</v>
      </c>
      <c r="N700">
        <v>0</v>
      </c>
      <c r="O700" s="4">
        <f t="shared" si="63"/>
        <v>0</v>
      </c>
      <c r="P700" s="5" t="str">
        <f t="shared" si="64"/>
        <v>No engagement</v>
      </c>
      <c r="Q700" t="b">
        <v>0</v>
      </c>
      <c r="R700" t="b">
        <v>0</v>
      </c>
      <c r="S700" t="b">
        <v>0</v>
      </c>
      <c r="T700" s="24" t="str">
        <f t="shared" si="65"/>
        <v>Text only</v>
      </c>
    </row>
    <row r="701" spans="1:20" x14ac:dyDescent="0.2">
      <c r="A701" t="s">
        <v>330</v>
      </c>
      <c r="B701" t="s">
        <v>14</v>
      </c>
      <c r="C701" t="s">
        <v>15</v>
      </c>
      <c r="D701" t="s">
        <v>331</v>
      </c>
      <c r="E701" t="s">
        <v>332</v>
      </c>
      <c r="F70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1" s="27">
        <f t="shared" si="60"/>
        <v>40247</v>
      </c>
      <c r="H701" s="7" t="str">
        <f t="shared" si="61"/>
        <v>00:47:42</v>
      </c>
      <c r="I701" s="8" t="str">
        <f t="shared" si="62"/>
        <v>Early morning</v>
      </c>
      <c r="L701">
        <v>0</v>
      </c>
      <c r="M701">
        <v>0</v>
      </c>
      <c r="N701">
        <v>0</v>
      </c>
      <c r="O701" s="4">
        <f t="shared" si="63"/>
        <v>0</v>
      </c>
      <c r="P701" s="5" t="str">
        <f t="shared" si="64"/>
        <v>No engagement</v>
      </c>
      <c r="Q701" t="b">
        <v>0</v>
      </c>
      <c r="R701" t="b">
        <v>0</v>
      </c>
      <c r="S701" t="b">
        <v>0</v>
      </c>
      <c r="T701" s="24" t="str">
        <f t="shared" si="65"/>
        <v>Text only</v>
      </c>
    </row>
    <row r="702" spans="1:20" x14ac:dyDescent="0.2">
      <c r="A702" t="s">
        <v>327</v>
      </c>
      <c r="B702" t="s">
        <v>14</v>
      </c>
      <c r="C702" t="s">
        <v>15</v>
      </c>
      <c r="D702" t="s">
        <v>328</v>
      </c>
      <c r="E702" t="s">
        <v>329</v>
      </c>
      <c r="F70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2" s="27">
        <f t="shared" si="60"/>
        <v>40247</v>
      </c>
      <c r="H702" s="7" t="str">
        <f t="shared" si="61"/>
        <v>18:00:18</v>
      </c>
      <c r="I702" s="8" t="str">
        <f t="shared" si="62"/>
        <v>Evening</v>
      </c>
      <c r="J702" t="s">
        <v>93</v>
      </c>
      <c r="L702">
        <v>0</v>
      </c>
      <c r="M702">
        <v>0</v>
      </c>
      <c r="N702">
        <v>0</v>
      </c>
      <c r="O702" s="4">
        <f t="shared" si="63"/>
        <v>0</v>
      </c>
      <c r="P702" s="5" t="str">
        <f t="shared" si="64"/>
        <v>No engagement</v>
      </c>
      <c r="Q702" t="b">
        <v>0</v>
      </c>
      <c r="R702" t="b">
        <v>0</v>
      </c>
      <c r="S702" t="b">
        <v>1</v>
      </c>
      <c r="T702" s="24" t="str">
        <f t="shared" si="65"/>
        <v>Link</v>
      </c>
    </row>
    <row r="703" spans="1:20" x14ac:dyDescent="0.2">
      <c r="A703" t="s">
        <v>318</v>
      </c>
      <c r="B703" t="s">
        <v>14</v>
      </c>
      <c r="C703" t="s">
        <v>15</v>
      </c>
      <c r="D703" t="s">
        <v>319</v>
      </c>
      <c r="E703" t="s">
        <v>320</v>
      </c>
      <c r="F70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3" s="27">
        <f t="shared" si="60"/>
        <v>40248</v>
      </c>
      <c r="H703" s="7" t="str">
        <f t="shared" si="61"/>
        <v>16:39:40</v>
      </c>
      <c r="I703" s="8" t="str">
        <f t="shared" si="62"/>
        <v>Afternoon</v>
      </c>
      <c r="L703">
        <v>0</v>
      </c>
      <c r="M703">
        <v>0</v>
      </c>
      <c r="N703">
        <v>0</v>
      </c>
      <c r="O703" s="4">
        <f t="shared" si="63"/>
        <v>0</v>
      </c>
      <c r="P703" s="5" t="str">
        <f t="shared" si="64"/>
        <v>No engagement</v>
      </c>
      <c r="Q703" t="b">
        <v>0</v>
      </c>
      <c r="R703" t="b">
        <v>0</v>
      </c>
      <c r="S703" t="b">
        <v>0</v>
      </c>
      <c r="T703" s="24" t="str">
        <f t="shared" si="65"/>
        <v>Text only</v>
      </c>
    </row>
    <row r="704" spans="1:20" x14ac:dyDescent="0.2">
      <c r="A704" t="s">
        <v>309</v>
      </c>
      <c r="B704" t="s">
        <v>14</v>
      </c>
      <c r="C704" t="s">
        <v>15</v>
      </c>
      <c r="D704" t="s">
        <v>310</v>
      </c>
      <c r="E704" t="s">
        <v>311</v>
      </c>
      <c r="F70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4" s="27">
        <f t="shared" si="60"/>
        <v>40249</v>
      </c>
      <c r="H704" s="7" t="str">
        <f t="shared" si="61"/>
        <v>16:21:06</v>
      </c>
      <c r="I704" s="8" t="str">
        <f t="shared" si="62"/>
        <v>Afternoon</v>
      </c>
      <c r="L704">
        <v>0</v>
      </c>
      <c r="M704">
        <v>0</v>
      </c>
      <c r="N704">
        <v>0</v>
      </c>
      <c r="O704" s="4">
        <f t="shared" si="63"/>
        <v>0</v>
      </c>
      <c r="P704" s="5" t="str">
        <f t="shared" si="64"/>
        <v>No engagement</v>
      </c>
      <c r="Q704" t="b">
        <v>0</v>
      </c>
      <c r="R704" t="b">
        <v>0</v>
      </c>
      <c r="S704" t="b">
        <v>0</v>
      </c>
      <c r="T704" s="24" t="str">
        <f t="shared" si="65"/>
        <v>Text only</v>
      </c>
    </row>
    <row r="705" spans="1:20" x14ac:dyDescent="0.2">
      <c r="A705" t="s">
        <v>306</v>
      </c>
      <c r="B705" t="s">
        <v>14</v>
      </c>
      <c r="C705" t="s">
        <v>15</v>
      </c>
      <c r="D705" t="s">
        <v>307</v>
      </c>
      <c r="E705" t="s">
        <v>308</v>
      </c>
      <c r="F70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5" s="27">
        <f t="shared" si="60"/>
        <v>40249</v>
      </c>
      <c r="H705" s="7" t="str">
        <f t="shared" si="61"/>
        <v>16:22:16</v>
      </c>
      <c r="I705" s="8" t="str">
        <f t="shared" si="62"/>
        <v>Afternoon</v>
      </c>
      <c r="J705" t="s">
        <v>293</v>
      </c>
      <c r="L705">
        <v>0</v>
      </c>
      <c r="M705">
        <v>0</v>
      </c>
      <c r="N705">
        <v>0</v>
      </c>
      <c r="O705" s="4">
        <f t="shared" si="63"/>
        <v>0</v>
      </c>
      <c r="P705" s="5" t="str">
        <f t="shared" si="64"/>
        <v>No engagement</v>
      </c>
      <c r="Q705" t="b">
        <v>0</v>
      </c>
      <c r="R705" t="b">
        <v>0</v>
      </c>
      <c r="S705" t="b">
        <v>0</v>
      </c>
      <c r="T705" s="24" t="str">
        <f t="shared" si="65"/>
        <v>Text only</v>
      </c>
    </row>
    <row r="706" spans="1:20" x14ac:dyDescent="0.2">
      <c r="A706" t="s">
        <v>302</v>
      </c>
      <c r="B706" t="s">
        <v>14</v>
      </c>
      <c r="C706" t="s">
        <v>15</v>
      </c>
      <c r="D706" t="s">
        <v>303</v>
      </c>
      <c r="E706" t="s">
        <v>304</v>
      </c>
      <c r="F70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6" s="27">
        <f t="shared" ref="G706:G734" si="66">DATEVALUE((LEFT(E706,10)))</f>
        <v>40249</v>
      </c>
      <c r="H706" s="7" t="str">
        <f t="shared" ref="H706:H734" si="67">MID(E706,12,8)</f>
        <v>16:29:23</v>
      </c>
      <c r="I706" s="8" t="str">
        <f t="shared" ref="I706:I769" si="68">IF(HOUR(H706)&lt;7,"Early morning",
IF(HOUR(H706)&lt;11,"Morning",
IF(HOUR(H706)&lt;14,"Mid-day",
IF(HOUR(H706)&lt;18,"Afternoon","Evening"))))</f>
        <v>Afternoon</v>
      </c>
      <c r="J706" t="s">
        <v>305</v>
      </c>
      <c r="L706">
        <v>0</v>
      </c>
      <c r="M706">
        <v>0</v>
      </c>
      <c r="N706">
        <v>0</v>
      </c>
      <c r="O706" s="4">
        <f t="shared" ref="O706:O769" si="69">L706+M706+N706</f>
        <v>0</v>
      </c>
      <c r="P706" s="5" t="str">
        <f t="shared" ref="P706:P769" si="70">IF(O706&lt;1,"No engagement", IF(O706&lt;5,"Low engagement", IF(O706&lt;10,"Moderate engagement", "High engagement")))</f>
        <v>No engagement</v>
      </c>
      <c r="Q706" t="b">
        <v>0</v>
      </c>
      <c r="R706" t="b">
        <v>0</v>
      </c>
      <c r="S706" t="b">
        <v>0</v>
      </c>
      <c r="T706" s="24" t="str">
        <f t="shared" ref="T706:T769" si="71">IF(Q706=TRUE,"Photo",IF(R706=TRUE,"Video",IF(S706=TRUE,"Link",("Text only"))))</f>
        <v>Text only</v>
      </c>
    </row>
    <row r="707" spans="1:20" x14ac:dyDescent="0.2">
      <c r="A707" t="s">
        <v>298</v>
      </c>
      <c r="B707" t="s">
        <v>14</v>
      </c>
      <c r="C707" t="s">
        <v>15</v>
      </c>
      <c r="D707" t="s">
        <v>299</v>
      </c>
      <c r="E707" t="s">
        <v>300</v>
      </c>
      <c r="F70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7" s="27">
        <f t="shared" si="66"/>
        <v>40249</v>
      </c>
      <c r="H707" s="7" t="str">
        <f t="shared" si="67"/>
        <v>16:34:11</v>
      </c>
      <c r="I707" s="8" t="str">
        <f t="shared" si="68"/>
        <v>Afternoon</v>
      </c>
      <c r="J707" t="s">
        <v>301</v>
      </c>
      <c r="L707">
        <v>0</v>
      </c>
      <c r="M707">
        <v>0</v>
      </c>
      <c r="N707">
        <v>0</v>
      </c>
      <c r="O707" s="4">
        <f t="shared" si="69"/>
        <v>0</v>
      </c>
      <c r="P707" s="5" t="str">
        <f t="shared" si="70"/>
        <v>No engagement</v>
      </c>
      <c r="Q707" t="b">
        <v>0</v>
      </c>
      <c r="R707" t="b">
        <v>0</v>
      </c>
      <c r="S707" t="b">
        <v>1</v>
      </c>
      <c r="T707" s="24" t="str">
        <f t="shared" si="71"/>
        <v>Link</v>
      </c>
    </row>
    <row r="708" spans="1:20" x14ac:dyDescent="0.2">
      <c r="A708" t="s">
        <v>294</v>
      </c>
      <c r="B708" t="s">
        <v>14</v>
      </c>
      <c r="C708" t="s">
        <v>15</v>
      </c>
      <c r="D708" t="s">
        <v>295</v>
      </c>
      <c r="E708" t="s">
        <v>296</v>
      </c>
      <c r="F70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8" s="27">
        <f t="shared" si="66"/>
        <v>40249</v>
      </c>
      <c r="H708" s="7" t="str">
        <f t="shared" si="67"/>
        <v>16:36:41</v>
      </c>
      <c r="I708" s="8" t="str">
        <f t="shared" si="68"/>
        <v>Afternoon</v>
      </c>
      <c r="J708" t="s">
        <v>297</v>
      </c>
      <c r="L708">
        <v>0</v>
      </c>
      <c r="M708">
        <v>0</v>
      </c>
      <c r="N708">
        <v>0</v>
      </c>
      <c r="O708" s="4">
        <f t="shared" si="69"/>
        <v>0</v>
      </c>
      <c r="P708" s="5" t="str">
        <f t="shared" si="70"/>
        <v>No engagement</v>
      </c>
      <c r="Q708" t="b">
        <v>0</v>
      </c>
      <c r="R708" t="b">
        <v>0</v>
      </c>
      <c r="S708" t="b">
        <v>1</v>
      </c>
      <c r="T708" s="24" t="str">
        <f t="shared" si="71"/>
        <v>Link</v>
      </c>
    </row>
    <row r="709" spans="1:20" x14ac:dyDescent="0.2">
      <c r="A709" t="s">
        <v>273</v>
      </c>
      <c r="B709" t="s">
        <v>14</v>
      </c>
      <c r="C709" t="s">
        <v>15</v>
      </c>
      <c r="D709" t="s">
        <v>274</v>
      </c>
      <c r="E709" t="s">
        <v>275</v>
      </c>
      <c r="F70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09" s="27">
        <f t="shared" si="66"/>
        <v>40252</v>
      </c>
      <c r="H709" s="7" t="str">
        <f t="shared" si="67"/>
        <v>17:21:20</v>
      </c>
      <c r="I709" s="8" t="str">
        <f t="shared" si="68"/>
        <v>Afternoon</v>
      </c>
      <c r="J709" t="s">
        <v>276</v>
      </c>
      <c r="L709">
        <v>0</v>
      </c>
      <c r="M709">
        <v>0</v>
      </c>
      <c r="N709">
        <v>0</v>
      </c>
      <c r="O709" s="4">
        <f t="shared" si="69"/>
        <v>0</v>
      </c>
      <c r="P709" s="5" t="str">
        <f t="shared" si="70"/>
        <v>No engagement</v>
      </c>
      <c r="Q709" t="b">
        <v>0</v>
      </c>
      <c r="R709" t="b">
        <v>0</v>
      </c>
      <c r="S709" t="b">
        <v>1</v>
      </c>
      <c r="T709" s="24" t="str">
        <f t="shared" si="71"/>
        <v>Link</v>
      </c>
    </row>
    <row r="710" spans="1:20" x14ac:dyDescent="0.2">
      <c r="A710" t="s">
        <v>265</v>
      </c>
      <c r="B710" t="s">
        <v>14</v>
      </c>
      <c r="C710" t="s">
        <v>15</v>
      </c>
      <c r="D710" t="s">
        <v>266</v>
      </c>
      <c r="E710" t="s">
        <v>267</v>
      </c>
      <c r="F71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0" s="27">
        <f t="shared" si="66"/>
        <v>40253</v>
      </c>
      <c r="H710" s="7" t="str">
        <f t="shared" si="67"/>
        <v>17:50:49</v>
      </c>
      <c r="I710" s="8" t="str">
        <f t="shared" si="68"/>
        <v>Afternoon</v>
      </c>
      <c r="L710">
        <v>0</v>
      </c>
      <c r="M710">
        <v>0</v>
      </c>
      <c r="N710">
        <v>0</v>
      </c>
      <c r="O710" s="4">
        <f t="shared" si="69"/>
        <v>0</v>
      </c>
      <c r="P710" s="5" t="str">
        <f t="shared" si="70"/>
        <v>No engagement</v>
      </c>
      <c r="Q710" t="b">
        <v>0</v>
      </c>
      <c r="R710" t="b">
        <v>0</v>
      </c>
      <c r="S710" t="b">
        <v>0</v>
      </c>
      <c r="T710" s="24" t="str">
        <f t="shared" si="71"/>
        <v>Text only</v>
      </c>
    </row>
    <row r="711" spans="1:20" x14ac:dyDescent="0.2">
      <c r="A711" t="s">
        <v>243</v>
      </c>
      <c r="B711" t="s">
        <v>14</v>
      </c>
      <c r="C711" t="s">
        <v>15</v>
      </c>
      <c r="D711" t="s">
        <v>244</v>
      </c>
      <c r="E711" t="s">
        <v>245</v>
      </c>
      <c r="F71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1" s="27">
        <f t="shared" si="66"/>
        <v>40260</v>
      </c>
      <c r="H711" s="7" t="str">
        <f t="shared" si="67"/>
        <v>15:42:32</v>
      </c>
      <c r="I711" s="8" t="str">
        <f t="shared" si="68"/>
        <v>Afternoon</v>
      </c>
      <c r="J711" t="s">
        <v>234</v>
      </c>
      <c r="L711">
        <v>0</v>
      </c>
      <c r="M711">
        <v>0</v>
      </c>
      <c r="N711">
        <v>0</v>
      </c>
      <c r="O711" s="4">
        <f t="shared" si="69"/>
        <v>0</v>
      </c>
      <c r="P711" s="5" t="str">
        <f t="shared" si="70"/>
        <v>No engagement</v>
      </c>
      <c r="Q711" t="b">
        <v>0</v>
      </c>
      <c r="R711" t="b">
        <v>0</v>
      </c>
      <c r="S711" t="b">
        <v>0</v>
      </c>
      <c r="T711" s="24" t="str">
        <f t="shared" si="71"/>
        <v>Text only</v>
      </c>
    </row>
    <row r="712" spans="1:20" x14ac:dyDescent="0.2">
      <c r="A712" t="s">
        <v>231</v>
      </c>
      <c r="B712" t="s">
        <v>14</v>
      </c>
      <c r="C712" t="s">
        <v>15</v>
      </c>
      <c r="D712" t="s">
        <v>232</v>
      </c>
      <c r="E712" t="s">
        <v>233</v>
      </c>
      <c r="F71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2" s="27">
        <f t="shared" si="66"/>
        <v>40261</v>
      </c>
      <c r="H712" s="7" t="str">
        <f t="shared" si="67"/>
        <v>18:43:01</v>
      </c>
      <c r="I712" s="8" t="str">
        <f t="shared" si="68"/>
        <v>Evening</v>
      </c>
      <c r="J712" t="s">
        <v>234</v>
      </c>
      <c r="L712">
        <v>0</v>
      </c>
      <c r="M712">
        <v>0</v>
      </c>
      <c r="N712">
        <v>0</v>
      </c>
      <c r="O712" s="4">
        <f t="shared" si="69"/>
        <v>0</v>
      </c>
      <c r="P712" s="5" t="str">
        <f t="shared" si="70"/>
        <v>No engagement</v>
      </c>
      <c r="Q712" t="b">
        <v>0</v>
      </c>
      <c r="R712" t="b">
        <v>0</v>
      </c>
      <c r="S712" t="b">
        <v>0</v>
      </c>
      <c r="T712" s="24" t="str">
        <f t="shared" si="71"/>
        <v>Text only</v>
      </c>
    </row>
    <row r="713" spans="1:20" x14ac:dyDescent="0.2">
      <c r="A713" t="s">
        <v>225</v>
      </c>
      <c r="B713" t="s">
        <v>14</v>
      </c>
      <c r="C713" t="s">
        <v>15</v>
      </c>
      <c r="D713" t="s">
        <v>226</v>
      </c>
      <c r="E713" t="s">
        <v>227</v>
      </c>
      <c r="F71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3" s="27">
        <f t="shared" si="66"/>
        <v>40262</v>
      </c>
      <c r="H713" s="7" t="str">
        <f t="shared" si="67"/>
        <v>22:29:46</v>
      </c>
      <c r="I713" s="8" t="str">
        <f t="shared" si="68"/>
        <v>Evening</v>
      </c>
      <c r="J713" t="s">
        <v>218</v>
      </c>
      <c r="L713">
        <v>0</v>
      </c>
      <c r="M713">
        <v>0</v>
      </c>
      <c r="N713">
        <v>0</v>
      </c>
      <c r="O713" s="4">
        <f t="shared" si="69"/>
        <v>0</v>
      </c>
      <c r="P713" s="5" t="str">
        <f t="shared" si="70"/>
        <v>No engagement</v>
      </c>
      <c r="Q713" t="b">
        <v>0</v>
      </c>
      <c r="R713" t="b">
        <v>0</v>
      </c>
      <c r="S713" t="b">
        <v>0</v>
      </c>
      <c r="T713" s="24" t="str">
        <f t="shared" si="71"/>
        <v>Text only</v>
      </c>
    </row>
    <row r="714" spans="1:20" x14ac:dyDescent="0.2">
      <c r="A714" t="s">
        <v>222</v>
      </c>
      <c r="B714" t="s">
        <v>14</v>
      </c>
      <c r="C714" t="s">
        <v>15</v>
      </c>
      <c r="D714" t="s">
        <v>223</v>
      </c>
      <c r="E714" t="s">
        <v>224</v>
      </c>
      <c r="F71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4" s="27">
        <f t="shared" si="66"/>
        <v>40263</v>
      </c>
      <c r="H714" s="7" t="str">
        <f t="shared" si="67"/>
        <v>15:45:05</v>
      </c>
      <c r="I714" s="8" t="str">
        <f t="shared" si="68"/>
        <v>Afternoon</v>
      </c>
      <c r="J714" t="s">
        <v>104</v>
      </c>
      <c r="L714">
        <v>0</v>
      </c>
      <c r="M714">
        <v>0</v>
      </c>
      <c r="N714">
        <v>0</v>
      </c>
      <c r="O714" s="4">
        <f t="shared" si="69"/>
        <v>0</v>
      </c>
      <c r="P714" s="5" t="str">
        <f t="shared" si="70"/>
        <v>No engagement</v>
      </c>
      <c r="Q714" t="b">
        <v>0</v>
      </c>
      <c r="R714" t="b">
        <v>0</v>
      </c>
      <c r="S714" t="b">
        <v>0</v>
      </c>
      <c r="T714" s="24" t="str">
        <f t="shared" si="71"/>
        <v>Text only</v>
      </c>
    </row>
    <row r="715" spans="1:20" x14ac:dyDescent="0.2">
      <c r="A715" t="s">
        <v>214</v>
      </c>
      <c r="B715" t="s">
        <v>14</v>
      </c>
      <c r="C715" t="s">
        <v>15</v>
      </c>
      <c r="D715" t="s">
        <v>215</v>
      </c>
      <c r="E715" t="s">
        <v>216</v>
      </c>
      <c r="F71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5" s="27">
        <f t="shared" si="66"/>
        <v>40263</v>
      </c>
      <c r="H715" s="7" t="str">
        <f t="shared" si="67"/>
        <v>22:38:32</v>
      </c>
      <c r="I715" s="8" t="str">
        <f t="shared" si="68"/>
        <v>Evening</v>
      </c>
      <c r="J715" t="s">
        <v>217</v>
      </c>
      <c r="L715">
        <v>0</v>
      </c>
      <c r="M715">
        <v>0</v>
      </c>
      <c r="N715">
        <v>0</v>
      </c>
      <c r="O715" s="4">
        <f t="shared" si="69"/>
        <v>0</v>
      </c>
      <c r="P715" s="5" t="str">
        <f t="shared" si="70"/>
        <v>No engagement</v>
      </c>
      <c r="Q715" t="b">
        <v>0</v>
      </c>
      <c r="R715" t="b">
        <v>0</v>
      </c>
      <c r="S715" t="b">
        <v>0</v>
      </c>
      <c r="T715" s="24" t="str">
        <f t="shared" si="71"/>
        <v>Text only</v>
      </c>
    </row>
    <row r="716" spans="1:20" x14ac:dyDescent="0.2">
      <c r="A716" t="s">
        <v>204</v>
      </c>
      <c r="B716" t="s">
        <v>14</v>
      </c>
      <c r="C716" t="s">
        <v>15</v>
      </c>
      <c r="D716" t="s">
        <v>205</v>
      </c>
      <c r="E716" t="s">
        <v>206</v>
      </c>
      <c r="F71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6" s="27">
        <f t="shared" si="66"/>
        <v>40267</v>
      </c>
      <c r="H716" s="7" t="str">
        <f t="shared" si="67"/>
        <v>20:00:48</v>
      </c>
      <c r="I716" s="8" t="str">
        <f t="shared" si="68"/>
        <v>Evening</v>
      </c>
      <c r="J716" t="s">
        <v>65</v>
      </c>
      <c r="L716">
        <v>0</v>
      </c>
      <c r="M716">
        <v>0</v>
      </c>
      <c r="N716">
        <v>0</v>
      </c>
      <c r="O716" s="4">
        <f t="shared" si="69"/>
        <v>0</v>
      </c>
      <c r="P716" s="5" t="str">
        <f t="shared" si="70"/>
        <v>No engagement</v>
      </c>
      <c r="Q716" t="b">
        <v>0</v>
      </c>
      <c r="R716" t="b">
        <v>0</v>
      </c>
      <c r="S716" t="b">
        <v>0</v>
      </c>
      <c r="T716" s="24" t="str">
        <f t="shared" si="71"/>
        <v>Text only</v>
      </c>
    </row>
    <row r="717" spans="1:20" x14ac:dyDescent="0.2">
      <c r="A717" t="s">
        <v>201</v>
      </c>
      <c r="B717" t="s">
        <v>14</v>
      </c>
      <c r="C717" t="s">
        <v>15</v>
      </c>
      <c r="D717" t="s">
        <v>202</v>
      </c>
      <c r="E717" t="s">
        <v>203</v>
      </c>
      <c r="F71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7" s="27">
        <f t="shared" si="66"/>
        <v>40268</v>
      </c>
      <c r="H717" s="7" t="str">
        <f t="shared" si="67"/>
        <v>15:19:09</v>
      </c>
      <c r="I717" s="8" t="str">
        <f t="shared" si="68"/>
        <v>Afternoon</v>
      </c>
      <c r="J717" t="s">
        <v>156</v>
      </c>
      <c r="L717">
        <v>0</v>
      </c>
      <c r="M717">
        <v>0</v>
      </c>
      <c r="N717">
        <v>0</v>
      </c>
      <c r="O717" s="4">
        <f t="shared" si="69"/>
        <v>0</v>
      </c>
      <c r="P717" s="5" t="str">
        <f t="shared" si="70"/>
        <v>No engagement</v>
      </c>
      <c r="Q717" t="b">
        <v>0</v>
      </c>
      <c r="R717" t="b">
        <v>0</v>
      </c>
      <c r="S717" t="b">
        <v>0</v>
      </c>
      <c r="T717" s="24" t="str">
        <f t="shared" si="71"/>
        <v>Text only</v>
      </c>
    </row>
    <row r="718" spans="1:20" x14ac:dyDescent="0.2">
      <c r="A718" t="s">
        <v>197</v>
      </c>
      <c r="B718" t="s">
        <v>14</v>
      </c>
      <c r="C718" t="s">
        <v>15</v>
      </c>
      <c r="D718" t="s">
        <v>198</v>
      </c>
      <c r="E718" t="s">
        <v>199</v>
      </c>
      <c r="F71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8" s="27">
        <f t="shared" si="66"/>
        <v>40268</v>
      </c>
      <c r="H718" s="7" t="str">
        <f t="shared" si="67"/>
        <v>16:47:16</v>
      </c>
      <c r="I718" s="8" t="str">
        <f t="shared" si="68"/>
        <v>Afternoon</v>
      </c>
      <c r="J718" t="s">
        <v>200</v>
      </c>
      <c r="L718">
        <v>0</v>
      </c>
      <c r="M718">
        <v>0</v>
      </c>
      <c r="N718">
        <v>0</v>
      </c>
      <c r="O718" s="4">
        <f t="shared" si="69"/>
        <v>0</v>
      </c>
      <c r="P718" s="5" t="str">
        <f t="shared" si="70"/>
        <v>No engagement</v>
      </c>
      <c r="Q718" t="b">
        <v>0</v>
      </c>
      <c r="R718" t="b">
        <v>0</v>
      </c>
      <c r="S718" t="b">
        <v>0</v>
      </c>
      <c r="T718" s="24" t="str">
        <f t="shared" si="71"/>
        <v>Text only</v>
      </c>
    </row>
    <row r="719" spans="1:20" x14ac:dyDescent="0.2">
      <c r="A719" t="s">
        <v>194</v>
      </c>
      <c r="B719" t="s">
        <v>14</v>
      </c>
      <c r="C719" t="s">
        <v>15</v>
      </c>
      <c r="D719" t="s">
        <v>195</v>
      </c>
      <c r="E719" t="s">
        <v>196</v>
      </c>
      <c r="F71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19" s="27">
        <f t="shared" si="66"/>
        <v>40268</v>
      </c>
      <c r="H719" s="7" t="str">
        <f t="shared" si="67"/>
        <v>18:30:33</v>
      </c>
      <c r="I719" s="8" t="str">
        <f t="shared" si="68"/>
        <v>Evening</v>
      </c>
      <c r="J719" t="s">
        <v>32</v>
      </c>
      <c r="L719">
        <v>0</v>
      </c>
      <c r="M719">
        <v>0</v>
      </c>
      <c r="N719">
        <v>0</v>
      </c>
      <c r="O719" s="4">
        <f t="shared" si="69"/>
        <v>0</v>
      </c>
      <c r="P719" s="5" t="str">
        <f t="shared" si="70"/>
        <v>No engagement</v>
      </c>
      <c r="Q719" t="b">
        <v>0</v>
      </c>
      <c r="R719" t="b">
        <v>0</v>
      </c>
      <c r="S719" t="b">
        <v>0</v>
      </c>
      <c r="T719" s="24" t="str">
        <f t="shared" si="71"/>
        <v>Text only</v>
      </c>
    </row>
    <row r="720" spans="1:20" x14ac:dyDescent="0.2">
      <c r="A720" t="s">
        <v>188</v>
      </c>
      <c r="B720" t="s">
        <v>14</v>
      </c>
      <c r="C720" t="s">
        <v>15</v>
      </c>
      <c r="D720" t="s">
        <v>189</v>
      </c>
      <c r="E720" t="s">
        <v>190</v>
      </c>
      <c r="F72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0" s="27">
        <f t="shared" si="66"/>
        <v>40269</v>
      </c>
      <c r="H720" s="7" t="str">
        <f t="shared" si="67"/>
        <v>23:52:20</v>
      </c>
      <c r="I720" s="8" t="str">
        <f t="shared" si="68"/>
        <v>Evening</v>
      </c>
      <c r="L720">
        <v>0</v>
      </c>
      <c r="M720">
        <v>0</v>
      </c>
      <c r="N720">
        <v>0</v>
      </c>
      <c r="O720" s="4">
        <f t="shared" si="69"/>
        <v>0</v>
      </c>
      <c r="P720" s="5" t="str">
        <f t="shared" si="70"/>
        <v>No engagement</v>
      </c>
      <c r="Q720" t="b">
        <v>0</v>
      </c>
      <c r="R720" t="b">
        <v>0</v>
      </c>
      <c r="S720" t="b">
        <v>0</v>
      </c>
      <c r="T720" s="24" t="str">
        <f t="shared" si="71"/>
        <v>Text only</v>
      </c>
    </row>
    <row r="721" spans="1:20" x14ac:dyDescent="0.2">
      <c r="A721" t="s">
        <v>185</v>
      </c>
      <c r="B721" t="s">
        <v>14</v>
      </c>
      <c r="C721" t="s">
        <v>15</v>
      </c>
      <c r="D721" t="s">
        <v>186</v>
      </c>
      <c r="E721" t="s">
        <v>187</v>
      </c>
      <c r="F72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1" s="27">
        <f t="shared" si="66"/>
        <v>40270</v>
      </c>
      <c r="H721" s="7" t="str">
        <f t="shared" si="67"/>
        <v>15:28:49</v>
      </c>
      <c r="I721" s="8" t="str">
        <f t="shared" si="68"/>
        <v>Afternoon</v>
      </c>
      <c r="J721" t="s">
        <v>181</v>
      </c>
      <c r="L721">
        <v>0</v>
      </c>
      <c r="M721">
        <v>0</v>
      </c>
      <c r="N721">
        <v>0</v>
      </c>
      <c r="O721" s="4">
        <f t="shared" si="69"/>
        <v>0</v>
      </c>
      <c r="P721" s="5" t="str">
        <f t="shared" si="70"/>
        <v>No engagement</v>
      </c>
      <c r="Q721" t="b">
        <v>0</v>
      </c>
      <c r="R721" t="b">
        <v>0</v>
      </c>
      <c r="S721" t="b">
        <v>0</v>
      </c>
      <c r="T721" s="24" t="str">
        <f t="shared" si="71"/>
        <v>Text only</v>
      </c>
    </row>
    <row r="722" spans="1:20" x14ac:dyDescent="0.2">
      <c r="A722" t="s">
        <v>182</v>
      </c>
      <c r="B722" t="s">
        <v>14</v>
      </c>
      <c r="C722" t="s">
        <v>15</v>
      </c>
      <c r="D722" t="s">
        <v>183</v>
      </c>
      <c r="E722" t="s">
        <v>184</v>
      </c>
      <c r="F72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2" s="27">
        <f t="shared" si="66"/>
        <v>40270</v>
      </c>
      <c r="H722" s="7" t="str">
        <f t="shared" si="67"/>
        <v>15:33:10</v>
      </c>
      <c r="I722" s="8" t="str">
        <f t="shared" si="68"/>
        <v>Afternoon</v>
      </c>
      <c r="L722">
        <v>0</v>
      </c>
      <c r="M722">
        <v>0</v>
      </c>
      <c r="N722">
        <v>0</v>
      </c>
      <c r="O722" s="4">
        <f t="shared" si="69"/>
        <v>0</v>
      </c>
      <c r="P722" s="5" t="str">
        <f t="shared" si="70"/>
        <v>No engagement</v>
      </c>
      <c r="Q722" t="b">
        <v>0</v>
      </c>
      <c r="R722" t="b">
        <v>0</v>
      </c>
      <c r="S722" t="b">
        <v>0</v>
      </c>
      <c r="T722" s="24" t="str">
        <f t="shared" si="71"/>
        <v>Text only</v>
      </c>
    </row>
    <row r="723" spans="1:20" x14ac:dyDescent="0.2">
      <c r="A723" t="s">
        <v>168</v>
      </c>
      <c r="B723" t="s">
        <v>14</v>
      </c>
      <c r="C723" t="s">
        <v>15</v>
      </c>
      <c r="D723" t="s">
        <v>169</v>
      </c>
      <c r="E723" t="s">
        <v>170</v>
      </c>
      <c r="F72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3" s="27">
        <f t="shared" si="66"/>
        <v>40274</v>
      </c>
      <c r="H723" s="7" t="str">
        <f t="shared" si="67"/>
        <v>15:23:22</v>
      </c>
      <c r="I723" s="8" t="str">
        <f t="shared" si="68"/>
        <v>Afternoon</v>
      </c>
      <c r="J723" t="s">
        <v>167</v>
      </c>
      <c r="L723">
        <v>1</v>
      </c>
      <c r="M723">
        <v>0</v>
      </c>
      <c r="N723">
        <v>0</v>
      </c>
      <c r="O723" s="4">
        <f t="shared" si="69"/>
        <v>1</v>
      </c>
      <c r="P723" s="5" t="str">
        <f t="shared" si="70"/>
        <v>Low engagement</v>
      </c>
      <c r="Q723" t="b">
        <v>0</v>
      </c>
      <c r="R723" t="b">
        <v>0</v>
      </c>
      <c r="S723" t="b">
        <v>1</v>
      </c>
      <c r="T723" s="24" t="str">
        <f t="shared" si="71"/>
        <v>Link</v>
      </c>
    </row>
    <row r="724" spans="1:20" x14ac:dyDescent="0.2">
      <c r="A724" t="s">
        <v>98</v>
      </c>
      <c r="B724" t="s">
        <v>14</v>
      </c>
      <c r="C724" t="s">
        <v>15</v>
      </c>
      <c r="D724" t="s">
        <v>99</v>
      </c>
      <c r="E724" t="s">
        <v>100</v>
      </c>
      <c r="F72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4" s="27">
        <f t="shared" si="66"/>
        <v>40282</v>
      </c>
      <c r="H724" s="7" t="str">
        <f t="shared" si="67"/>
        <v>17:53:07</v>
      </c>
      <c r="I724" s="8" t="str">
        <f t="shared" si="68"/>
        <v>Afternoon</v>
      </c>
      <c r="J724" t="s">
        <v>97</v>
      </c>
      <c r="L724">
        <v>0</v>
      </c>
      <c r="M724">
        <v>0</v>
      </c>
      <c r="N724">
        <v>0</v>
      </c>
      <c r="O724" s="4">
        <f t="shared" si="69"/>
        <v>0</v>
      </c>
      <c r="P724" s="5" t="str">
        <f t="shared" si="70"/>
        <v>No engagement</v>
      </c>
      <c r="Q724" t="b">
        <v>0</v>
      </c>
      <c r="R724" t="b">
        <v>0</v>
      </c>
      <c r="S724" t="b">
        <v>0</v>
      </c>
      <c r="T724" s="24" t="str">
        <f t="shared" si="71"/>
        <v>Text only</v>
      </c>
    </row>
    <row r="725" spans="1:20" x14ac:dyDescent="0.2">
      <c r="A725" t="s">
        <v>94</v>
      </c>
      <c r="B725" t="s">
        <v>14</v>
      </c>
      <c r="C725" t="s">
        <v>15</v>
      </c>
      <c r="D725" t="s">
        <v>95</v>
      </c>
      <c r="E725" t="s">
        <v>96</v>
      </c>
      <c r="F725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5" s="27">
        <f t="shared" si="66"/>
        <v>40282</v>
      </c>
      <c r="H725" s="7" t="str">
        <f t="shared" si="67"/>
        <v>17:55:20</v>
      </c>
      <c r="I725" s="8" t="str">
        <f t="shared" si="68"/>
        <v>Afternoon</v>
      </c>
      <c r="J725" t="s">
        <v>97</v>
      </c>
      <c r="L725">
        <v>0</v>
      </c>
      <c r="M725">
        <v>0</v>
      </c>
      <c r="N725">
        <v>0</v>
      </c>
      <c r="O725" s="4">
        <f t="shared" si="69"/>
        <v>0</v>
      </c>
      <c r="P725" s="5" t="str">
        <f t="shared" si="70"/>
        <v>No engagement</v>
      </c>
      <c r="Q725" t="b">
        <v>0</v>
      </c>
      <c r="R725" t="b">
        <v>0</v>
      </c>
      <c r="S725" t="b">
        <v>0</v>
      </c>
      <c r="T725" s="24" t="str">
        <f t="shared" si="71"/>
        <v>Text only</v>
      </c>
    </row>
    <row r="726" spans="1:20" x14ac:dyDescent="0.2">
      <c r="A726" t="s">
        <v>80</v>
      </c>
      <c r="B726" t="s">
        <v>14</v>
      </c>
      <c r="C726" t="s">
        <v>15</v>
      </c>
      <c r="D726" t="s">
        <v>81</v>
      </c>
      <c r="E726" t="s">
        <v>82</v>
      </c>
      <c r="F726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6" s="27">
        <f t="shared" si="66"/>
        <v>40283</v>
      </c>
      <c r="H726" s="7" t="str">
        <f t="shared" si="67"/>
        <v>17:51:37</v>
      </c>
      <c r="I726" s="8" t="str">
        <f t="shared" si="68"/>
        <v>Afternoon</v>
      </c>
      <c r="J726" t="s">
        <v>83</v>
      </c>
      <c r="L726">
        <v>0</v>
      </c>
      <c r="M726">
        <v>0</v>
      </c>
      <c r="N726">
        <v>0</v>
      </c>
      <c r="O726" s="4">
        <f t="shared" si="69"/>
        <v>0</v>
      </c>
      <c r="P726" s="5" t="str">
        <f t="shared" si="70"/>
        <v>No engagement</v>
      </c>
      <c r="Q726" t="b">
        <v>0</v>
      </c>
      <c r="R726" t="b">
        <v>0</v>
      </c>
      <c r="S726" t="b">
        <v>1</v>
      </c>
      <c r="T726" s="24" t="str">
        <f t="shared" si="71"/>
        <v>Link</v>
      </c>
    </row>
    <row r="727" spans="1:20" x14ac:dyDescent="0.2">
      <c r="A727" t="s">
        <v>73</v>
      </c>
      <c r="B727" t="s">
        <v>14</v>
      </c>
      <c r="C727" t="s">
        <v>15</v>
      </c>
      <c r="D727" t="s">
        <v>74</v>
      </c>
      <c r="E727" t="s">
        <v>75</v>
      </c>
      <c r="F727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7" s="27">
        <f t="shared" si="66"/>
        <v>40284</v>
      </c>
      <c r="H727" s="7" t="str">
        <f t="shared" si="67"/>
        <v>17:12:25</v>
      </c>
      <c r="I727" s="8" t="str">
        <f t="shared" si="68"/>
        <v>Afternoon</v>
      </c>
      <c r="J727" t="s">
        <v>76</v>
      </c>
      <c r="L727">
        <v>0</v>
      </c>
      <c r="M727">
        <v>0</v>
      </c>
      <c r="N727">
        <v>0</v>
      </c>
      <c r="O727" s="4">
        <f t="shared" si="69"/>
        <v>0</v>
      </c>
      <c r="P727" s="5" t="str">
        <f t="shared" si="70"/>
        <v>No engagement</v>
      </c>
      <c r="Q727" t="b">
        <v>0</v>
      </c>
      <c r="R727" t="b">
        <v>0</v>
      </c>
      <c r="S727" t="b">
        <v>0</v>
      </c>
      <c r="T727" s="24" t="str">
        <f t="shared" si="71"/>
        <v>Text only</v>
      </c>
    </row>
    <row r="728" spans="1:20" x14ac:dyDescent="0.2">
      <c r="A728" t="s">
        <v>69</v>
      </c>
      <c r="B728" t="s">
        <v>14</v>
      </c>
      <c r="C728" t="s">
        <v>15</v>
      </c>
      <c r="D728" t="s">
        <v>70</v>
      </c>
      <c r="E728" t="s">
        <v>71</v>
      </c>
      <c r="F728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8" s="27">
        <f t="shared" si="66"/>
        <v>40284</v>
      </c>
      <c r="H728" s="7" t="str">
        <f t="shared" si="67"/>
        <v>17:14:04</v>
      </c>
      <c r="I728" s="8" t="str">
        <f t="shared" si="68"/>
        <v>Afternoon</v>
      </c>
      <c r="J728" t="s">
        <v>72</v>
      </c>
      <c r="L728">
        <v>0</v>
      </c>
      <c r="M728">
        <v>0</v>
      </c>
      <c r="N728">
        <v>0</v>
      </c>
      <c r="O728" s="4">
        <f t="shared" si="69"/>
        <v>0</v>
      </c>
      <c r="P728" s="5" t="str">
        <f t="shared" si="70"/>
        <v>No engagement</v>
      </c>
      <c r="Q728" t="b">
        <v>0</v>
      </c>
      <c r="R728" t="b">
        <v>0</v>
      </c>
      <c r="S728" t="b">
        <v>0</v>
      </c>
      <c r="T728" s="24" t="str">
        <f t="shared" si="71"/>
        <v>Text only</v>
      </c>
    </row>
    <row r="729" spans="1:20" x14ac:dyDescent="0.2">
      <c r="A729" t="s">
        <v>50</v>
      </c>
      <c r="B729" t="s">
        <v>14</v>
      </c>
      <c r="C729" t="s">
        <v>15</v>
      </c>
      <c r="D729" t="s">
        <v>51</v>
      </c>
      <c r="E729" t="s">
        <v>52</v>
      </c>
      <c r="F729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29" s="27">
        <f t="shared" si="66"/>
        <v>40289</v>
      </c>
      <c r="H729" s="7" t="str">
        <f t="shared" si="67"/>
        <v>15:24:42</v>
      </c>
      <c r="I729" s="8" t="str">
        <f t="shared" si="68"/>
        <v>Afternoon</v>
      </c>
      <c r="J729" t="s">
        <v>53</v>
      </c>
      <c r="L729">
        <v>0</v>
      </c>
      <c r="M729">
        <v>0</v>
      </c>
      <c r="N729">
        <v>0</v>
      </c>
      <c r="O729" s="4">
        <f t="shared" si="69"/>
        <v>0</v>
      </c>
      <c r="P729" s="5" t="str">
        <f t="shared" si="70"/>
        <v>No engagement</v>
      </c>
      <c r="Q729" t="b">
        <v>0</v>
      </c>
      <c r="R729" t="b">
        <v>0</v>
      </c>
      <c r="S729" t="b">
        <v>0</v>
      </c>
      <c r="T729" s="24" t="str">
        <f t="shared" si="71"/>
        <v>Text only</v>
      </c>
    </row>
    <row r="730" spans="1:20" x14ac:dyDescent="0.2">
      <c r="A730" t="s">
        <v>38</v>
      </c>
      <c r="B730" t="s">
        <v>14</v>
      </c>
      <c r="C730" t="s">
        <v>15</v>
      </c>
      <c r="D730" t="s">
        <v>39</v>
      </c>
      <c r="E730" t="s">
        <v>40</v>
      </c>
      <c r="F730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30" s="27">
        <f t="shared" si="66"/>
        <v>40290</v>
      </c>
      <c r="H730" s="7" t="str">
        <f t="shared" si="67"/>
        <v>20:41:37</v>
      </c>
      <c r="I730" s="8" t="str">
        <f t="shared" si="68"/>
        <v>Evening</v>
      </c>
      <c r="J730" t="s">
        <v>37</v>
      </c>
      <c r="L730">
        <v>0</v>
      </c>
      <c r="M730">
        <v>0</v>
      </c>
      <c r="N730">
        <v>0</v>
      </c>
      <c r="O730" s="4">
        <f t="shared" si="69"/>
        <v>0</v>
      </c>
      <c r="P730" s="5" t="str">
        <f t="shared" si="70"/>
        <v>No engagement</v>
      </c>
      <c r="Q730" t="b">
        <v>0</v>
      </c>
      <c r="R730" t="b">
        <v>0</v>
      </c>
      <c r="S730" t="b">
        <v>0</v>
      </c>
      <c r="T730" s="24" t="str">
        <f t="shared" si="71"/>
        <v>Text only</v>
      </c>
    </row>
    <row r="731" spans="1:20" x14ac:dyDescent="0.2">
      <c r="A731" t="s">
        <v>34</v>
      </c>
      <c r="B731" t="s">
        <v>14</v>
      </c>
      <c r="C731" t="s">
        <v>15</v>
      </c>
      <c r="D731" t="s">
        <v>35</v>
      </c>
      <c r="E731" t="s">
        <v>36</v>
      </c>
      <c r="F731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31" s="27">
        <f t="shared" si="66"/>
        <v>40290</v>
      </c>
      <c r="H731" s="7" t="str">
        <f t="shared" si="67"/>
        <v>21:07:03</v>
      </c>
      <c r="I731" s="8" t="str">
        <f t="shared" si="68"/>
        <v>Evening</v>
      </c>
      <c r="J731" t="s">
        <v>33</v>
      </c>
      <c r="L731">
        <v>0</v>
      </c>
      <c r="M731">
        <v>0</v>
      </c>
      <c r="N731">
        <v>0</v>
      </c>
      <c r="O731" s="4">
        <f t="shared" si="69"/>
        <v>0</v>
      </c>
      <c r="P731" s="5" t="str">
        <f t="shared" si="70"/>
        <v>No engagement</v>
      </c>
      <c r="Q731" t="b">
        <v>0</v>
      </c>
      <c r="R731" t="b">
        <v>0</v>
      </c>
      <c r="S731" t="b">
        <v>0</v>
      </c>
      <c r="T731" s="24" t="str">
        <f t="shared" si="71"/>
        <v>Text only</v>
      </c>
    </row>
    <row r="732" spans="1:20" x14ac:dyDescent="0.2">
      <c r="A732" t="s">
        <v>28</v>
      </c>
      <c r="B732" t="s">
        <v>14</v>
      </c>
      <c r="C732" t="s">
        <v>15</v>
      </c>
      <c r="D732" t="s">
        <v>29</v>
      </c>
      <c r="E732" t="s">
        <v>30</v>
      </c>
      <c r="F732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32" s="27">
        <f t="shared" si="66"/>
        <v>40295</v>
      </c>
      <c r="H732" s="7" t="str">
        <f t="shared" si="67"/>
        <v>15:30:54</v>
      </c>
      <c r="I732" s="8" t="str">
        <f t="shared" si="68"/>
        <v>Afternoon</v>
      </c>
      <c r="J732" t="s">
        <v>31</v>
      </c>
      <c r="L732">
        <v>0</v>
      </c>
      <c r="M732">
        <v>0</v>
      </c>
      <c r="N732">
        <v>0</v>
      </c>
      <c r="O732" s="4">
        <f t="shared" si="69"/>
        <v>0</v>
      </c>
      <c r="P732" s="5" t="str">
        <f t="shared" si="70"/>
        <v>No engagement</v>
      </c>
      <c r="Q732" t="b">
        <v>0</v>
      </c>
      <c r="R732" t="b">
        <v>0</v>
      </c>
      <c r="S732" t="b">
        <v>0</v>
      </c>
      <c r="T732" s="24" t="str">
        <f t="shared" si="71"/>
        <v>Text only</v>
      </c>
    </row>
    <row r="733" spans="1:20" x14ac:dyDescent="0.2">
      <c r="A733" t="s">
        <v>25</v>
      </c>
      <c r="B733" t="s">
        <v>14</v>
      </c>
      <c r="C733" t="s">
        <v>15</v>
      </c>
      <c r="D733" t="s">
        <v>26</v>
      </c>
      <c r="E733" t="s">
        <v>27</v>
      </c>
      <c r="F733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33" s="27">
        <f t="shared" si="66"/>
        <v>40295</v>
      </c>
      <c r="H733" s="7" t="str">
        <f t="shared" si="67"/>
        <v>15:31:36</v>
      </c>
      <c r="I733" s="8" t="str">
        <f t="shared" si="68"/>
        <v>Afternoon</v>
      </c>
      <c r="L733">
        <v>0</v>
      </c>
      <c r="M733">
        <v>0</v>
      </c>
      <c r="N733">
        <v>0</v>
      </c>
      <c r="O733" s="4">
        <f t="shared" si="69"/>
        <v>0</v>
      </c>
      <c r="P733" s="5" t="str">
        <f t="shared" si="70"/>
        <v>No engagement</v>
      </c>
      <c r="Q733" t="b">
        <v>0</v>
      </c>
      <c r="R733" t="b">
        <v>0</v>
      </c>
      <c r="S733" t="b">
        <v>0</v>
      </c>
      <c r="T733" s="24" t="str">
        <f t="shared" si="71"/>
        <v>Text only</v>
      </c>
    </row>
    <row r="734" spans="1:20" x14ac:dyDescent="0.2">
      <c r="A734" t="s">
        <v>21</v>
      </c>
      <c r="B734" t="s">
        <v>14</v>
      </c>
      <c r="C734" t="s">
        <v>15</v>
      </c>
      <c r="D734" t="s">
        <v>22</v>
      </c>
      <c r="E734" t="s">
        <v>23</v>
      </c>
      <c r="F734" s="29" t="str">
        <f>IF(Table3[[#This Row],[Date posted]] &lt; DATE(2009,9,29),"Prior Recall",
IF(Table3[[#This Row],[Date posted]] &lt;= DATE(2009,11,24),"Recall 1",
IF(Table3[[#This Row],[Date posted]] &lt;= DATE(2010,1,20),"Recall 2",
IF(Table3[[#This Row],[Date posted]] &lt;= DATE(2010,2,7),"Recall 3","After Recall"))))</f>
        <v>After Recall</v>
      </c>
      <c r="G734" s="27">
        <f t="shared" si="66"/>
        <v>40295</v>
      </c>
      <c r="H734" s="7" t="str">
        <f t="shared" si="67"/>
        <v>15:34:50</v>
      </c>
      <c r="I734" s="8" t="str">
        <f t="shared" si="68"/>
        <v>Afternoon</v>
      </c>
      <c r="J734" t="s">
        <v>24</v>
      </c>
      <c r="L734">
        <v>0</v>
      </c>
      <c r="M734">
        <v>0</v>
      </c>
      <c r="N734">
        <v>0</v>
      </c>
      <c r="O734" s="4">
        <f t="shared" si="69"/>
        <v>0</v>
      </c>
      <c r="P734" s="5" t="str">
        <f t="shared" si="70"/>
        <v>No engagement</v>
      </c>
      <c r="Q734" t="b">
        <v>0</v>
      </c>
      <c r="R734" t="b">
        <v>0</v>
      </c>
      <c r="S734" t="b">
        <v>0</v>
      </c>
      <c r="T734" s="24" t="str">
        <f t="shared" si="71"/>
        <v>Text only</v>
      </c>
    </row>
  </sheetData>
  <sortState xmlns:xlrd2="http://schemas.microsoft.com/office/spreadsheetml/2017/richdata2" ref="A2:S734">
    <sortCondition ref="E1:E734"/>
  </sortState>
  <phoneticPr fontId="2" type="noConversion"/>
  <conditionalFormatting sqref="P1:P1048576">
    <cfRule type="containsText" dxfId="7" priority="1" operator="containsText" text="Low">
      <formula>NOT(ISERROR(SEARCH("Low",P1)))</formula>
    </cfRule>
    <cfRule type="containsText" dxfId="6" priority="2" operator="containsText" text="Moderate">
      <formula>NOT(ISERROR(SEARCH("Moderate",P1)))</formula>
    </cfRule>
    <cfRule type="containsText" dxfId="5" priority="3" operator="containsText" text="High">
      <formula>NOT(ISERROR(SEARCH("High",P1)))</formula>
    </cfRule>
    <cfRule type="containsText" dxfId="4" priority="4" operator="containsText" text="No">
      <formula>NOT(ISERROR(SEARCH("No",P1)))</formula>
    </cfRule>
  </conditionalFormatting>
  <hyperlinks>
    <hyperlink ref="A2" r:id="rId1" xr:uid="{CEB68D8F-B701-D64F-A065-9B1440C081BB}"/>
    <hyperlink ref="A539" r:id="rId2" xr:uid="{E765E537-01B6-8D42-94EC-8D97390691F9}"/>
  </hyperlinks>
  <pageMargins left="0.75" right="0.75" top="1" bottom="1" header="0.5" footer="0.5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0615-FFD4-154B-9765-7AD2894FA2C2}">
  <dimension ref="A4:I10"/>
  <sheetViews>
    <sheetView topLeftCell="A3" zoomScaleNormal="100" workbookViewId="0">
      <selection activeCell="F4" sqref="F4:I10"/>
    </sheetView>
  </sheetViews>
  <sheetFormatPr baseColWidth="10" defaultRowHeight="15" x14ac:dyDescent="0.2"/>
  <cols>
    <col min="1" max="1" width="12.1640625" bestFit="1" customWidth="1"/>
    <col min="2" max="2" width="18" bestFit="1" customWidth="1"/>
    <col min="3" max="3" width="19.1640625" bestFit="1" customWidth="1"/>
    <col min="4" max="4" width="21.6640625" bestFit="1" customWidth="1"/>
    <col min="5" max="5" width="18.5" bestFit="1" customWidth="1"/>
    <col min="9" max="9" width="21.1640625" customWidth="1"/>
  </cols>
  <sheetData>
    <row r="4" spans="1:9" x14ac:dyDescent="0.2">
      <c r="A4" s="25" t="s">
        <v>7293</v>
      </c>
      <c r="B4" t="s">
        <v>7295</v>
      </c>
      <c r="C4" t="s">
        <v>7298</v>
      </c>
      <c r="D4" t="s">
        <v>7299</v>
      </c>
      <c r="F4" s="25" t="s">
        <v>7293</v>
      </c>
      <c r="G4" s="25" t="s">
        <v>7295</v>
      </c>
      <c r="H4" t="s">
        <v>7298</v>
      </c>
      <c r="I4" t="s">
        <v>7299</v>
      </c>
    </row>
    <row r="5" spans="1:9" x14ac:dyDescent="0.2">
      <c r="A5" s="34" t="s">
        <v>7302</v>
      </c>
      <c r="B5" s="2">
        <v>0.52</v>
      </c>
      <c r="C5" s="2">
        <v>0.01</v>
      </c>
      <c r="D5" s="2">
        <v>3.33</v>
      </c>
      <c r="F5" s="34" t="s">
        <v>7302</v>
      </c>
      <c r="G5" s="2">
        <v>0.52</v>
      </c>
      <c r="H5" s="2">
        <v>0.01</v>
      </c>
      <c r="I5" s="2">
        <v>3.33</v>
      </c>
    </row>
    <row r="6" spans="1:9" x14ac:dyDescent="0.2">
      <c r="A6" s="34" t="s">
        <v>7304</v>
      </c>
      <c r="B6" s="2">
        <v>0.1891891891891892</v>
      </c>
      <c r="C6" s="2">
        <v>0</v>
      </c>
      <c r="D6" s="2">
        <v>0</v>
      </c>
      <c r="F6" s="34" t="s">
        <v>7304</v>
      </c>
      <c r="G6" s="2">
        <v>0.1891891891891892</v>
      </c>
      <c r="H6" s="2">
        <v>0</v>
      </c>
      <c r="I6" s="2">
        <v>0</v>
      </c>
    </row>
    <row r="7" spans="1:9" x14ac:dyDescent="0.2">
      <c r="A7" s="34" t="s">
        <v>7320</v>
      </c>
      <c r="B7" s="2">
        <v>0.13008130081300814</v>
      </c>
      <c r="C7" s="2">
        <v>1.6260162601626018E-2</v>
      </c>
      <c r="D7" s="2">
        <v>0.22764227642276422</v>
      </c>
      <c r="F7" s="34" t="s">
        <v>7320</v>
      </c>
      <c r="G7" s="2">
        <v>0.13008130081300814</v>
      </c>
      <c r="H7" s="2">
        <v>1.6260162601626018E-2</v>
      </c>
      <c r="I7" s="2">
        <v>0.22764227642276422</v>
      </c>
    </row>
    <row r="8" spans="1:9" x14ac:dyDescent="0.2">
      <c r="A8" s="34" t="s">
        <v>7321</v>
      </c>
      <c r="B8" s="2">
        <v>0.15873015873015872</v>
      </c>
      <c r="C8" s="2">
        <v>0</v>
      </c>
      <c r="D8" s="2">
        <v>2.0317460317460316</v>
      </c>
      <c r="F8" s="34" t="s">
        <v>7321</v>
      </c>
      <c r="G8" s="2">
        <v>0.15873015873015872</v>
      </c>
      <c r="H8" s="2">
        <v>0</v>
      </c>
      <c r="I8" s="2">
        <v>2.0317460317460316</v>
      </c>
    </row>
    <row r="9" spans="1:9" x14ac:dyDescent="0.2">
      <c r="A9" s="34" t="s">
        <v>7322</v>
      </c>
      <c r="B9" s="2">
        <v>0.625</v>
      </c>
      <c r="C9" s="2">
        <v>0</v>
      </c>
      <c r="D9" s="2">
        <v>5.0454545454545459</v>
      </c>
      <c r="F9" s="34" t="s">
        <v>7322</v>
      </c>
      <c r="G9" s="2">
        <v>0.625</v>
      </c>
      <c r="H9" s="2">
        <v>0</v>
      </c>
      <c r="I9" s="2">
        <v>5.0454545454545459</v>
      </c>
    </row>
    <row r="10" spans="1:9" x14ac:dyDescent="0.2">
      <c r="A10" s="26" t="s">
        <v>7294</v>
      </c>
      <c r="B10" s="2">
        <v>0.31923601637107774</v>
      </c>
      <c r="C10" s="2">
        <v>5.4570259208731242E-3</v>
      </c>
      <c r="D10" s="2">
        <v>1.7271487039563438</v>
      </c>
      <c r="F10" s="26" t="s">
        <v>7294</v>
      </c>
      <c r="G10" s="2">
        <v>0.31923601637107774</v>
      </c>
      <c r="H10" s="2">
        <v>5.4570259208731242E-3</v>
      </c>
      <c r="I10" s="2">
        <v>1.7271487039563438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B7F0-8E3F-3B4E-A319-E315605C5814}">
  <dimension ref="A1:D7"/>
  <sheetViews>
    <sheetView workbookViewId="0">
      <selection activeCell="F22" sqref="F22"/>
    </sheetView>
  </sheetViews>
  <sheetFormatPr baseColWidth="10" defaultRowHeight="15" x14ac:dyDescent="0.2"/>
  <cols>
    <col min="1" max="1" width="12" customWidth="1"/>
    <col min="2" max="2" width="22.33203125" customWidth="1"/>
    <col min="3" max="3" width="16" customWidth="1"/>
    <col min="4" max="4" width="25.83203125" customWidth="1"/>
  </cols>
  <sheetData>
    <row r="1" spans="1:4" x14ac:dyDescent="0.2">
      <c r="A1" s="35" t="s">
        <v>7293</v>
      </c>
      <c r="B1" s="36" t="s">
        <v>7295</v>
      </c>
      <c r="C1" s="36" t="s">
        <v>7298</v>
      </c>
      <c r="D1" s="36" t="s">
        <v>7299</v>
      </c>
    </row>
    <row r="2" spans="1:4" x14ac:dyDescent="0.2">
      <c r="A2" s="2" t="s">
        <v>7304</v>
      </c>
      <c r="B2" s="2">
        <v>0.1891891891891892</v>
      </c>
      <c r="C2" s="2">
        <v>0</v>
      </c>
      <c r="D2" s="2">
        <v>0</v>
      </c>
    </row>
    <row r="3" spans="1:4" x14ac:dyDescent="0.2">
      <c r="A3" s="2" t="s">
        <v>7320</v>
      </c>
      <c r="B3" s="2">
        <v>0.13008130081300814</v>
      </c>
      <c r="C3" s="2">
        <v>1.6260162601626018E-2</v>
      </c>
      <c r="D3" s="2">
        <v>0.22764227642276422</v>
      </c>
    </row>
    <row r="4" spans="1:4" x14ac:dyDescent="0.2">
      <c r="A4" s="2" t="s">
        <v>7321</v>
      </c>
      <c r="B4" s="2">
        <v>0.15873015873015872</v>
      </c>
      <c r="C4" s="2">
        <v>0</v>
      </c>
      <c r="D4" s="2">
        <v>2.0317460317460316</v>
      </c>
    </row>
    <row r="5" spans="1:4" x14ac:dyDescent="0.2">
      <c r="A5" s="2" t="s">
        <v>7322</v>
      </c>
      <c r="B5" s="2">
        <v>0.625</v>
      </c>
      <c r="C5" s="2">
        <v>0</v>
      </c>
      <c r="D5" s="2">
        <v>5.0454545454545459</v>
      </c>
    </row>
    <row r="6" spans="1:4" x14ac:dyDescent="0.2">
      <c r="A6" s="2" t="s">
        <v>7302</v>
      </c>
      <c r="B6" s="2">
        <v>0.52</v>
      </c>
      <c r="C6" s="2">
        <v>0.01</v>
      </c>
      <c r="D6" s="2">
        <v>3.33</v>
      </c>
    </row>
    <row r="7" spans="1:4" x14ac:dyDescent="0.2">
      <c r="A7" s="35" t="s">
        <v>7294</v>
      </c>
      <c r="B7" s="36">
        <v>0.31923601637107774</v>
      </c>
      <c r="C7" s="36">
        <v>5.4570259208731242E-3</v>
      </c>
      <c r="D7" s="36">
        <v>1.7271487039563438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4DF-3F7A-0C40-BB20-D63E94E953CE}">
  <dimension ref="A1:T1523"/>
  <sheetViews>
    <sheetView topLeftCell="D1" zoomScaleNormal="100" workbookViewId="0">
      <selection activeCell="H169" sqref="H169"/>
    </sheetView>
  </sheetViews>
  <sheetFormatPr baseColWidth="10" defaultRowHeight="15" x14ac:dyDescent="0.2"/>
  <cols>
    <col min="1" max="1" width="44.33203125" bestFit="1" customWidth="1"/>
    <col min="2" max="2" width="13.83203125" customWidth="1"/>
    <col min="3" max="3" width="11" customWidth="1"/>
    <col min="4" max="4" width="159.1640625" bestFit="1" customWidth="1"/>
    <col min="5" max="5" width="22.6640625" bestFit="1" customWidth="1"/>
    <col min="6" max="6" width="22" customWidth="1"/>
    <col min="7" max="7" width="13" style="6" bestFit="1" customWidth="1"/>
    <col min="8" max="8" width="13.1640625" style="7" bestFit="1" customWidth="1"/>
    <col min="9" max="9" width="17.83203125" style="8" bestFit="1" customWidth="1"/>
    <col min="10" max="10" width="17.5" bestFit="1" customWidth="1"/>
    <col min="11" max="11" width="14.5" bestFit="1" customWidth="1"/>
    <col min="12" max="12" width="11.6640625" customWidth="1"/>
    <col min="13" max="13" width="12.83203125" customWidth="1"/>
    <col min="14" max="14" width="15.33203125" bestFit="1" customWidth="1"/>
    <col min="15" max="15" width="17.5" style="4" bestFit="1" customWidth="1"/>
    <col min="16" max="16" width="18.1640625" style="5" bestFit="1" customWidth="1"/>
    <col min="20" max="20" width="12.5" style="16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7301</v>
      </c>
      <c r="G1" s="17" t="s">
        <v>2361</v>
      </c>
      <c r="H1" s="18" t="s">
        <v>2360</v>
      </c>
      <c r="I1" s="19" t="s">
        <v>7291</v>
      </c>
      <c r="J1" s="22" t="s">
        <v>5</v>
      </c>
      <c r="K1" s="22" t="s">
        <v>6</v>
      </c>
      <c r="L1" s="22" t="s">
        <v>7</v>
      </c>
      <c r="M1" s="22" t="s">
        <v>8</v>
      </c>
      <c r="N1" s="22" t="s">
        <v>9</v>
      </c>
      <c r="O1" s="20" t="s">
        <v>7290</v>
      </c>
      <c r="P1" s="21" t="s">
        <v>2363</v>
      </c>
      <c r="Q1" s="22" t="s">
        <v>10</v>
      </c>
      <c r="R1" s="22" t="s">
        <v>11</v>
      </c>
      <c r="S1" s="22" t="s">
        <v>12</v>
      </c>
      <c r="T1" s="23" t="s">
        <v>7292</v>
      </c>
    </row>
    <row r="2" spans="1:20" hidden="1" x14ac:dyDescent="0.2">
      <c r="A2" t="s">
        <v>4492</v>
      </c>
      <c r="B2" t="s">
        <v>2365</v>
      </c>
      <c r="C2" t="s">
        <v>2366</v>
      </c>
      <c r="D2" t="s">
        <v>7315</v>
      </c>
      <c r="E2" t="s">
        <v>4493</v>
      </c>
      <c r="F2" t="str">
        <f>IF(Table2[[#This Row],[Date posted]]&lt; DATE(2015,9,18),"Before Crisis","During Crisis")</f>
        <v>During Crisis</v>
      </c>
      <c r="G2" s="27">
        <f t="shared" ref="G2:G65" si="0">DATEVALUE(LEFT(E2,10))</f>
        <v>42271</v>
      </c>
      <c r="H2" s="7" t="str">
        <f t="shared" ref="H2:H65" si="1">MID(E2,12,8)</f>
        <v>23:27:41</v>
      </c>
      <c r="I2" s="8" t="str">
        <f t="shared" ref="I2:I65" si="2">IF(HOUR(H2)&lt;7,"Early morning",
IF(HOUR(H2)&lt;11,"Morning",
IF(HOUR(H2)&lt;14,"Mid-day",
IF(HOUR(H2)&lt;18,"Afternoon","Evening"))))</f>
        <v>Evening</v>
      </c>
      <c r="J2" t="s">
        <v>2370</v>
      </c>
      <c r="K2" t="s">
        <v>2370</v>
      </c>
      <c r="L2">
        <v>641</v>
      </c>
      <c r="M2">
        <v>304</v>
      </c>
      <c r="N2">
        <v>486</v>
      </c>
      <c r="O2" s="4">
        <f t="shared" ref="O2:O65" si="3">L2+M2+N2</f>
        <v>1431</v>
      </c>
      <c r="P2" s="5" t="str">
        <f t="shared" ref="P2:P65" si="4">IF(O2&lt;1,"No engagement", IF(O2&lt;5,"Low engagement", IF(O2&lt;10,"Moderate engagement", "High engagement")))</f>
        <v>High engagement</v>
      </c>
      <c r="Q2" t="b">
        <v>1</v>
      </c>
      <c r="R2" t="b">
        <v>0</v>
      </c>
      <c r="S2" t="b">
        <v>0</v>
      </c>
      <c r="T2" s="24" t="str">
        <f t="shared" ref="T2:T65" si="5">IF(Q2=TRUE,"Photo",
    IF(R2=TRUE,"Video",
        IF(S2=TRUE,"Link","Text only")))</f>
        <v>Photo</v>
      </c>
    </row>
    <row r="3" spans="1:20" hidden="1" x14ac:dyDescent="0.2">
      <c r="A3" t="s">
        <v>4434</v>
      </c>
      <c r="B3" t="s">
        <v>2365</v>
      </c>
      <c r="C3" t="s">
        <v>2366</v>
      </c>
      <c r="D3" t="s">
        <v>7316</v>
      </c>
      <c r="E3" t="s">
        <v>4435</v>
      </c>
      <c r="F3" t="str">
        <f>IF(Table2[[#This Row],[Date posted]]&lt; DATE(2015,9,18),"Before Crisis","During Crisis")</f>
        <v>During Crisis</v>
      </c>
      <c r="G3" s="27">
        <f t="shared" si="0"/>
        <v>42274</v>
      </c>
      <c r="H3" s="7" t="str">
        <f t="shared" si="1"/>
        <v>16:00:07</v>
      </c>
      <c r="I3" s="8" t="str">
        <f t="shared" si="2"/>
        <v>Afternoon</v>
      </c>
      <c r="J3" t="s">
        <v>2370</v>
      </c>
      <c r="K3" t="s">
        <v>2370</v>
      </c>
      <c r="L3">
        <v>455</v>
      </c>
      <c r="M3">
        <v>139</v>
      </c>
      <c r="N3">
        <v>429</v>
      </c>
      <c r="O3" s="4">
        <f t="shared" si="3"/>
        <v>1023</v>
      </c>
      <c r="P3" s="5" t="str">
        <f t="shared" si="4"/>
        <v>High engagement</v>
      </c>
      <c r="Q3" t="b">
        <v>1</v>
      </c>
      <c r="R3" t="b">
        <v>0</v>
      </c>
      <c r="S3" t="b">
        <v>1</v>
      </c>
      <c r="T3" s="24" t="str">
        <f t="shared" si="5"/>
        <v>Photo</v>
      </c>
    </row>
    <row r="4" spans="1:20" hidden="1" x14ac:dyDescent="0.2">
      <c r="A4" s="31" t="s">
        <v>6702</v>
      </c>
      <c r="B4" t="s">
        <v>2365</v>
      </c>
      <c r="C4" t="s">
        <v>2366</v>
      </c>
      <c r="D4" t="s">
        <v>7307</v>
      </c>
      <c r="E4" t="s">
        <v>6703</v>
      </c>
      <c r="F4" t="str">
        <f>IF(Table2[[#This Row],[Date posted]]&lt; DATE(2015,9,18),"Before Crisis","During Crisis")</f>
        <v>Before Crisis</v>
      </c>
      <c r="G4" s="27">
        <f t="shared" si="0"/>
        <v>42191</v>
      </c>
      <c r="H4" s="7" t="str">
        <f t="shared" si="1"/>
        <v>14:41:49</v>
      </c>
      <c r="I4" s="8" t="str">
        <f t="shared" si="2"/>
        <v>Afternoon</v>
      </c>
      <c r="J4" t="s">
        <v>2370</v>
      </c>
      <c r="K4" t="s">
        <v>2370</v>
      </c>
      <c r="L4">
        <v>626</v>
      </c>
      <c r="M4">
        <v>42</v>
      </c>
      <c r="N4">
        <v>181</v>
      </c>
      <c r="O4" s="4">
        <f t="shared" si="3"/>
        <v>849</v>
      </c>
      <c r="P4" s="5" t="str">
        <f t="shared" si="4"/>
        <v>High engagement</v>
      </c>
      <c r="Q4" t="b">
        <v>1</v>
      </c>
      <c r="R4" t="b">
        <v>1</v>
      </c>
      <c r="S4" t="b">
        <v>1</v>
      </c>
      <c r="T4" s="24" t="str">
        <f t="shared" si="5"/>
        <v>Photo</v>
      </c>
    </row>
    <row r="5" spans="1:20" hidden="1" x14ac:dyDescent="0.2">
      <c r="A5" t="s">
        <v>3544</v>
      </c>
      <c r="B5" t="s">
        <v>2365</v>
      </c>
      <c r="C5" t="s">
        <v>2366</v>
      </c>
      <c r="D5" t="s">
        <v>7317</v>
      </c>
      <c r="E5" t="s">
        <v>3545</v>
      </c>
      <c r="F5" t="str">
        <f>IF(Table2[[#This Row],[Date posted]]&lt; DATE(2015,9,18),"Before Crisis","During Crisis")</f>
        <v>During Crisis</v>
      </c>
      <c r="G5" s="27">
        <f t="shared" si="0"/>
        <v>42305</v>
      </c>
      <c r="H5" s="7" t="str">
        <f t="shared" si="1"/>
        <v>19:23:53</v>
      </c>
      <c r="I5" s="8" t="str">
        <f t="shared" si="2"/>
        <v>Evening</v>
      </c>
      <c r="J5" t="s">
        <v>2370</v>
      </c>
      <c r="K5" t="s">
        <v>2370</v>
      </c>
      <c r="L5">
        <v>168</v>
      </c>
      <c r="M5">
        <v>39</v>
      </c>
      <c r="N5">
        <v>136</v>
      </c>
      <c r="O5" s="4">
        <f t="shared" si="3"/>
        <v>343</v>
      </c>
      <c r="P5" s="5" t="str">
        <f t="shared" si="4"/>
        <v>High engagement</v>
      </c>
      <c r="Q5" t="b">
        <v>1</v>
      </c>
      <c r="R5" t="b">
        <v>0</v>
      </c>
      <c r="S5" t="b">
        <v>1</v>
      </c>
      <c r="T5" s="24" t="str">
        <f t="shared" si="5"/>
        <v>Photo</v>
      </c>
    </row>
    <row r="6" spans="1:20" hidden="1" x14ac:dyDescent="0.2">
      <c r="A6" t="s">
        <v>3899</v>
      </c>
      <c r="B6" t="s">
        <v>2365</v>
      </c>
      <c r="C6" t="s">
        <v>2366</v>
      </c>
      <c r="D6" t="s">
        <v>7318</v>
      </c>
      <c r="E6" t="s">
        <v>3900</v>
      </c>
      <c r="F6" t="str">
        <f>IF(Table2[[#This Row],[Date posted]]&lt; DATE(2015,9,18),"Before Crisis","During Crisis")</f>
        <v>During Crisis</v>
      </c>
      <c r="G6" s="27">
        <f t="shared" si="0"/>
        <v>42293</v>
      </c>
      <c r="H6" s="7" t="str">
        <f t="shared" si="1"/>
        <v>19:00:09</v>
      </c>
      <c r="I6" s="8" t="str">
        <f t="shared" si="2"/>
        <v>Evening</v>
      </c>
      <c r="J6" t="s">
        <v>2370</v>
      </c>
      <c r="K6" t="s">
        <v>2370</v>
      </c>
      <c r="L6">
        <v>107</v>
      </c>
      <c r="M6">
        <v>40</v>
      </c>
      <c r="N6">
        <v>109</v>
      </c>
      <c r="O6" s="4">
        <f t="shared" si="3"/>
        <v>256</v>
      </c>
      <c r="P6" s="5" t="str">
        <f t="shared" si="4"/>
        <v>High engagement</v>
      </c>
      <c r="Q6" t="b">
        <v>1</v>
      </c>
      <c r="R6" t="b">
        <v>0</v>
      </c>
      <c r="S6" t="b">
        <v>1</v>
      </c>
      <c r="T6" s="24" t="str">
        <f t="shared" si="5"/>
        <v>Photo</v>
      </c>
    </row>
    <row r="7" spans="1:20" hidden="1" x14ac:dyDescent="0.2">
      <c r="A7" t="s">
        <v>6263</v>
      </c>
      <c r="B7" t="s">
        <v>2365</v>
      </c>
      <c r="C7" t="s">
        <v>2366</v>
      </c>
      <c r="D7" t="s">
        <v>7310</v>
      </c>
      <c r="E7" t="s">
        <v>6264</v>
      </c>
      <c r="F7" t="str">
        <f>IF(Table2[[#This Row],[Date posted]]&lt; DATE(2015,9,18),"Before Crisis","During Crisis")</f>
        <v>Before Crisis</v>
      </c>
      <c r="G7" s="27">
        <f t="shared" si="0"/>
        <v>42203</v>
      </c>
      <c r="H7" s="7" t="str">
        <f t="shared" si="1"/>
        <v>20:26:09</v>
      </c>
      <c r="I7" s="8" t="str">
        <f t="shared" si="2"/>
        <v>Evening</v>
      </c>
      <c r="J7" t="s">
        <v>2370</v>
      </c>
      <c r="K7" t="s">
        <v>2370</v>
      </c>
      <c r="L7">
        <v>161</v>
      </c>
      <c r="M7">
        <v>11</v>
      </c>
      <c r="N7">
        <v>95</v>
      </c>
      <c r="O7" s="4">
        <f t="shared" si="3"/>
        <v>267</v>
      </c>
      <c r="P7" s="5" t="str">
        <f t="shared" si="4"/>
        <v>High engagement</v>
      </c>
      <c r="Q7" t="b">
        <v>1</v>
      </c>
      <c r="R7" t="b">
        <v>0</v>
      </c>
      <c r="S7" t="b">
        <v>0</v>
      </c>
      <c r="T7" s="24" t="str">
        <f t="shared" si="5"/>
        <v>Photo</v>
      </c>
    </row>
    <row r="8" spans="1:20" hidden="1" x14ac:dyDescent="0.2">
      <c r="A8" t="s">
        <v>6700</v>
      </c>
      <c r="B8" t="s">
        <v>2365</v>
      </c>
      <c r="C8" t="s">
        <v>2366</v>
      </c>
      <c r="D8" t="s">
        <v>7308</v>
      </c>
      <c r="E8" t="s">
        <v>6701</v>
      </c>
      <c r="F8" t="str">
        <f>IF(Table2[[#This Row],[Date posted]]&lt; DATE(2015,9,18),"Before Crisis","During Crisis")</f>
        <v>Before Crisis</v>
      </c>
      <c r="G8" s="27">
        <f t="shared" si="0"/>
        <v>42191</v>
      </c>
      <c r="H8" s="7" t="str">
        <f t="shared" si="1"/>
        <v>14:44:40</v>
      </c>
      <c r="I8" s="8" t="str">
        <f t="shared" si="2"/>
        <v>Afternoon</v>
      </c>
      <c r="J8" t="s">
        <v>2370</v>
      </c>
      <c r="K8" t="s">
        <v>2370</v>
      </c>
      <c r="L8">
        <v>306</v>
      </c>
      <c r="M8">
        <v>21</v>
      </c>
      <c r="N8">
        <v>88</v>
      </c>
      <c r="O8" s="4">
        <f t="shared" si="3"/>
        <v>415</v>
      </c>
      <c r="P8" s="5" t="str">
        <f t="shared" si="4"/>
        <v>High engagement</v>
      </c>
      <c r="Q8" t="b">
        <v>1</v>
      </c>
      <c r="R8" t="b">
        <v>1</v>
      </c>
      <c r="S8" t="b">
        <v>1</v>
      </c>
      <c r="T8" s="24" t="str">
        <f t="shared" si="5"/>
        <v>Photo</v>
      </c>
    </row>
    <row r="9" spans="1:20" hidden="1" x14ac:dyDescent="0.2">
      <c r="A9" t="s">
        <v>6229</v>
      </c>
      <c r="B9" t="s">
        <v>2365</v>
      </c>
      <c r="C9" t="s">
        <v>2366</v>
      </c>
      <c r="D9" t="s">
        <v>7311</v>
      </c>
      <c r="E9" t="s">
        <v>6230</v>
      </c>
      <c r="F9" t="str">
        <f>IF(Table2[[#This Row],[Date posted]]&lt; DATE(2015,9,18),"Before Crisis","During Crisis")</f>
        <v>Before Crisis</v>
      </c>
      <c r="G9" s="27">
        <f t="shared" si="0"/>
        <v>42204</v>
      </c>
      <c r="H9" s="7" t="str">
        <f t="shared" si="1"/>
        <v>22:31:13</v>
      </c>
      <c r="I9" s="8" t="str">
        <f t="shared" si="2"/>
        <v>Evening</v>
      </c>
      <c r="J9" t="s">
        <v>2370</v>
      </c>
      <c r="K9" t="s">
        <v>2370</v>
      </c>
      <c r="L9">
        <v>108</v>
      </c>
      <c r="M9">
        <v>5</v>
      </c>
      <c r="N9">
        <v>85</v>
      </c>
      <c r="O9" s="4">
        <f t="shared" si="3"/>
        <v>198</v>
      </c>
      <c r="P9" s="5" t="str">
        <f t="shared" si="4"/>
        <v>High engagement</v>
      </c>
      <c r="Q9" t="b">
        <v>1</v>
      </c>
      <c r="R9" t="b">
        <v>1</v>
      </c>
      <c r="S9" t="b">
        <v>0</v>
      </c>
      <c r="T9" s="24" t="str">
        <f t="shared" si="5"/>
        <v>Photo</v>
      </c>
    </row>
    <row r="10" spans="1:20" hidden="1" x14ac:dyDescent="0.2">
      <c r="A10" t="s">
        <v>6698</v>
      </c>
      <c r="B10" t="s">
        <v>2365</v>
      </c>
      <c r="C10" t="s">
        <v>2366</v>
      </c>
      <c r="D10" t="s">
        <v>7309</v>
      </c>
      <c r="E10" t="s">
        <v>6699</v>
      </c>
      <c r="F10" t="str">
        <f>IF(Table2[[#This Row],[Date posted]]&lt; DATE(2015,9,18),"Before Crisis","During Crisis")</f>
        <v>Before Crisis</v>
      </c>
      <c r="G10" s="27">
        <f t="shared" si="0"/>
        <v>42191</v>
      </c>
      <c r="H10" s="7" t="str">
        <f t="shared" si="1"/>
        <v>14:49:28</v>
      </c>
      <c r="I10" s="8" t="str">
        <f t="shared" si="2"/>
        <v>Afternoon</v>
      </c>
      <c r="J10" t="s">
        <v>2370</v>
      </c>
      <c r="K10" t="s">
        <v>2370</v>
      </c>
      <c r="L10">
        <v>223</v>
      </c>
      <c r="M10">
        <v>24</v>
      </c>
      <c r="N10">
        <v>81</v>
      </c>
      <c r="O10" s="4">
        <f t="shared" si="3"/>
        <v>328</v>
      </c>
      <c r="P10" s="5" t="str">
        <f t="shared" si="4"/>
        <v>High engagement</v>
      </c>
      <c r="Q10" t="b">
        <v>1</v>
      </c>
      <c r="R10" t="b">
        <v>1</v>
      </c>
      <c r="S10" t="b">
        <v>1</v>
      </c>
      <c r="T10" s="24" t="str">
        <f t="shared" si="5"/>
        <v>Photo</v>
      </c>
    </row>
    <row r="11" spans="1:20" hidden="1" x14ac:dyDescent="0.2">
      <c r="A11" t="s">
        <v>7023</v>
      </c>
      <c r="B11" t="s">
        <v>2365</v>
      </c>
      <c r="C11" t="s">
        <v>2366</v>
      </c>
      <c r="D11" t="s">
        <v>7024</v>
      </c>
      <c r="E11" t="s">
        <v>7025</v>
      </c>
      <c r="F11" t="str">
        <f>IF(Table2[[#This Row],[Date posted]]&lt; DATE(2015,9,18),"Before Crisis","During Crisis")</f>
        <v>Before Crisis</v>
      </c>
      <c r="G11" s="27">
        <f t="shared" si="0"/>
        <v>42183</v>
      </c>
      <c r="H11" s="7" t="str">
        <f t="shared" si="1"/>
        <v>18:29:01</v>
      </c>
      <c r="I11" s="8" t="str">
        <f t="shared" si="2"/>
        <v>Evening</v>
      </c>
      <c r="J11" t="s">
        <v>2370</v>
      </c>
      <c r="K11" t="s">
        <v>2370</v>
      </c>
      <c r="L11">
        <v>195</v>
      </c>
      <c r="M11">
        <v>28</v>
      </c>
      <c r="N11">
        <v>79</v>
      </c>
      <c r="O11" s="4">
        <f t="shared" si="3"/>
        <v>302</v>
      </c>
      <c r="P11" s="5" t="str">
        <f t="shared" si="4"/>
        <v>High engagement</v>
      </c>
      <c r="Q11" t="b">
        <v>1</v>
      </c>
      <c r="R11" t="b">
        <v>0</v>
      </c>
      <c r="S11" t="b">
        <v>0</v>
      </c>
      <c r="T11" s="24" t="str">
        <f t="shared" si="5"/>
        <v>Photo</v>
      </c>
    </row>
    <row r="12" spans="1:20" hidden="1" x14ac:dyDescent="0.2">
      <c r="A12" t="s">
        <v>6975</v>
      </c>
      <c r="B12" t="s">
        <v>2365</v>
      </c>
      <c r="C12" t="s">
        <v>2366</v>
      </c>
      <c r="D12" t="s">
        <v>6976</v>
      </c>
      <c r="E12" t="s">
        <v>6977</v>
      </c>
      <c r="F12" t="str">
        <f>IF(Table2[[#This Row],[Date posted]]&lt; DATE(2015,9,18),"Before Crisis","During Crisis")</f>
        <v>Before Crisis</v>
      </c>
      <c r="G12" s="27">
        <f t="shared" si="0"/>
        <v>42184</v>
      </c>
      <c r="H12" s="7" t="str">
        <f t="shared" si="1"/>
        <v>19:57:54</v>
      </c>
      <c r="I12" s="8" t="str">
        <f t="shared" si="2"/>
        <v>Evening</v>
      </c>
      <c r="J12" t="s">
        <v>2370</v>
      </c>
      <c r="K12" t="s">
        <v>2370</v>
      </c>
      <c r="L12">
        <v>182</v>
      </c>
      <c r="M12">
        <v>4</v>
      </c>
      <c r="N12">
        <v>75</v>
      </c>
      <c r="O12" s="4">
        <f t="shared" si="3"/>
        <v>261</v>
      </c>
      <c r="P12" s="5" t="str">
        <f t="shared" si="4"/>
        <v>High engagement</v>
      </c>
      <c r="Q12" t="b">
        <v>0</v>
      </c>
      <c r="R12" t="b">
        <v>1</v>
      </c>
      <c r="S12" t="b">
        <v>0</v>
      </c>
      <c r="T12" s="24" t="str">
        <f t="shared" si="5"/>
        <v>Video</v>
      </c>
    </row>
    <row r="13" spans="1:20" hidden="1" x14ac:dyDescent="0.2">
      <c r="A13" t="s">
        <v>7007</v>
      </c>
      <c r="B13" t="s">
        <v>2365</v>
      </c>
      <c r="C13" t="s">
        <v>2366</v>
      </c>
      <c r="D13" t="s">
        <v>7008</v>
      </c>
      <c r="E13" t="s">
        <v>7009</v>
      </c>
      <c r="F13" t="str">
        <f>IF(Table2[[#This Row],[Date posted]]&lt; DATE(2015,9,18),"Before Crisis","During Crisis")</f>
        <v>Before Crisis</v>
      </c>
      <c r="G13" s="27">
        <f t="shared" si="0"/>
        <v>42183</v>
      </c>
      <c r="H13" s="7" t="str">
        <f t="shared" si="1"/>
        <v>22:21:00</v>
      </c>
      <c r="I13" s="8" t="str">
        <f t="shared" si="2"/>
        <v>Evening</v>
      </c>
      <c r="J13" t="s">
        <v>2370</v>
      </c>
      <c r="K13" t="s">
        <v>2370</v>
      </c>
      <c r="L13">
        <v>136</v>
      </c>
      <c r="M13">
        <v>11</v>
      </c>
      <c r="N13">
        <v>74</v>
      </c>
      <c r="O13" s="4">
        <f t="shared" si="3"/>
        <v>221</v>
      </c>
      <c r="P13" s="5" t="str">
        <f t="shared" si="4"/>
        <v>High engagement</v>
      </c>
      <c r="Q13" t="b">
        <v>1</v>
      </c>
      <c r="R13" t="b">
        <v>0</v>
      </c>
      <c r="S13" t="b">
        <v>0</v>
      </c>
      <c r="T13" s="24" t="str">
        <f t="shared" si="5"/>
        <v>Photo</v>
      </c>
    </row>
    <row r="14" spans="1:20" hidden="1" x14ac:dyDescent="0.2">
      <c r="A14" t="s">
        <v>6234</v>
      </c>
      <c r="B14" t="s">
        <v>2365</v>
      </c>
      <c r="C14" t="s">
        <v>2366</v>
      </c>
      <c r="D14" t="s">
        <v>7312</v>
      </c>
      <c r="E14" t="s">
        <v>6235</v>
      </c>
      <c r="F14" t="str">
        <f>IF(Table2[[#This Row],[Date posted]]&lt; DATE(2015,9,18),"Before Crisis","During Crisis")</f>
        <v>Before Crisis</v>
      </c>
      <c r="G14" s="27">
        <f t="shared" si="0"/>
        <v>42204</v>
      </c>
      <c r="H14" s="7" t="str">
        <f t="shared" si="1"/>
        <v>19:52:48</v>
      </c>
      <c r="I14" s="8" t="str">
        <f t="shared" si="2"/>
        <v>Evening</v>
      </c>
      <c r="J14" t="s">
        <v>2370</v>
      </c>
      <c r="K14" t="s">
        <v>2370</v>
      </c>
      <c r="L14">
        <v>101</v>
      </c>
      <c r="M14">
        <v>4</v>
      </c>
      <c r="N14">
        <v>74</v>
      </c>
      <c r="O14" s="4">
        <f t="shared" si="3"/>
        <v>179</v>
      </c>
      <c r="P14" s="5" t="str">
        <f t="shared" si="4"/>
        <v>High engagement</v>
      </c>
      <c r="Q14" t="b">
        <v>1</v>
      </c>
      <c r="R14" t="b">
        <v>0</v>
      </c>
      <c r="S14" t="b">
        <v>0</v>
      </c>
      <c r="T14" s="24" t="str">
        <f t="shared" si="5"/>
        <v>Photo</v>
      </c>
    </row>
    <row r="15" spans="1:20" hidden="1" x14ac:dyDescent="0.2">
      <c r="A15" t="s">
        <v>7004</v>
      </c>
      <c r="B15" t="s">
        <v>2365</v>
      </c>
      <c r="C15" t="s">
        <v>2366</v>
      </c>
      <c r="D15" t="s">
        <v>7005</v>
      </c>
      <c r="E15" t="s">
        <v>7006</v>
      </c>
      <c r="F15" t="str">
        <f>IF(Table2[[#This Row],[Date posted]]&lt; DATE(2015,9,18),"Before Crisis","During Crisis")</f>
        <v>Before Crisis</v>
      </c>
      <c r="G15" s="27">
        <f t="shared" si="0"/>
        <v>42183</v>
      </c>
      <c r="H15" s="7" t="str">
        <f t="shared" si="1"/>
        <v>22:28:32</v>
      </c>
      <c r="I15" s="8" t="str">
        <f t="shared" si="2"/>
        <v>Evening</v>
      </c>
      <c r="J15" t="s">
        <v>2370</v>
      </c>
      <c r="K15" t="s">
        <v>2370</v>
      </c>
      <c r="L15">
        <v>118</v>
      </c>
      <c r="M15">
        <v>8</v>
      </c>
      <c r="N15">
        <v>66</v>
      </c>
      <c r="O15" s="4">
        <f t="shared" si="3"/>
        <v>192</v>
      </c>
      <c r="P15" s="5" t="str">
        <f t="shared" si="4"/>
        <v>High engagement</v>
      </c>
      <c r="Q15" t="b">
        <v>1</v>
      </c>
      <c r="R15" t="b">
        <v>0</v>
      </c>
      <c r="S15" t="b">
        <v>0</v>
      </c>
      <c r="T15" s="24" t="str">
        <f t="shared" si="5"/>
        <v>Photo</v>
      </c>
    </row>
    <row r="16" spans="1:20" hidden="1" x14ac:dyDescent="0.2">
      <c r="A16" t="s">
        <v>3174</v>
      </c>
      <c r="B16" t="s">
        <v>2365</v>
      </c>
      <c r="C16" t="s">
        <v>2366</v>
      </c>
      <c r="D16" t="s">
        <v>7319</v>
      </c>
      <c r="E16" t="s">
        <v>3175</v>
      </c>
      <c r="F16" t="str">
        <f>IF(Table2[[#This Row],[Date posted]]&lt; DATE(2015,9,18),"Before Crisis","During Crisis")</f>
        <v>During Crisis</v>
      </c>
      <c r="G16" s="27">
        <f t="shared" si="0"/>
        <v>42325</v>
      </c>
      <c r="H16" s="7" t="str">
        <f t="shared" si="1"/>
        <v>17:10:05</v>
      </c>
      <c r="I16" s="8" t="str">
        <f t="shared" si="2"/>
        <v>Afternoon</v>
      </c>
      <c r="J16" t="s">
        <v>2370</v>
      </c>
      <c r="K16" t="s">
        <v>2370</v>
      </c>
      <c r="L16">
        <v>73</v>
      </c>
      <c r="M16">
        <v>44</v>
      </c>
      <c r="N16">
        <v>66</v>
      </c>
      <c r="O16" s="4">
        <f t="shared" si="3"/>
        <v>183</v>
      </c>
      <c r="P16" s="5" t="str">
        <f t="shared" si="4"/>
        <v>High engagement</v>
      </c>
      <c r="Q16" t="b">
        <v>1</v>
      </c>
      <c r="R16" t="b">
        <v>0</v>
      </c>
      <c r="S16" t="b">
        <v>1</v>
      </c>
      <c r="T16" s="24" t="str">
        <f t="shared" si="5"/>
        <v>Photo</v>
      </c>
    </row>
    <row r="17" spans="1:20" hidden="1" x14ac:dyDescent="0.2">
      <c r="A17" t="s">
        <v>4759</v>
      </c>
      <c r="B17" t="s">
        <v>2365</v>
      </c>
      <c r="C17" t="s">
        <v>2366</v>
      </c>
      <c r="D17" t="s">
        <v>4760</v>
      </c>
      <c r="E17" t="s">
        <v>4761</v>
      </c>
      <c r="F17" t="str">
        <f>IF(Table2[[#This Row],[Date posted]]&lt; DATE(2015,9,18),"Before Crisis","During Crisis")</f>
        <v>Before Crisis</v>
      </c>
      <c r="G17" s="27">
        <f t="shared" si="0"/>
        <v>42264</v>
      </c>
      <c r="H17" s="7" t="str">
        <f t="shared" si="1"/>
        <v>16:45:41</v>
      </c>
      <c r="I17" s="8" t="str">
        <f t="shared" si="2"/>
        <v>Afternoon</v>
      </c>
      <c r="J17" t="s">
        <v>2370</v>
      </c>
      <c r="K17" t="s">
        <v>2370</v>
      </c>
      <c r="L17">
        <v>92</v>
      </c>
      <c r="M17">
        <v>10</v>
      </c>
      <c r="N17">
        <v>65</v>
      </c>
      <c r="O17" s="4">
        <f t="shared" si="3"/>
        <v>167</v>
      </c>
      <c r="P17" s="5" t="str">
        <f t="shared" si="4"/>
        <v>High engagement</v>
      </c>
      <c r="Q17" t="b">
        <v>1</v>
      </c>
      <c r="R17" t="b">
        <v>0</v>
      </c>
      <c r="S17" t="b">
        <v>0</v>
      </c>
      <c r="T17" s="24" t="str">
        <f t="shared" si="5"/>
        <v>Photo</v>
      </c>
    </row>
    <row r="18" spans="1:20" hidden="1" x14ac:dyDescent="0.2">
      <c r="A18" t="s">
        <v>6327</v>
      </c>
      <c r="B18" t="s">
        <v>2365</v>
      </c>
      <c r="C18" t="s">
        <v>2366</v>
      </c>
      <c r="D18" t="s">
        <v>7313</v>
      </c>
      <c r="E18" t="s">
        <v>6328</v>
      </c>
      <c r="F18" t="str">
        <f>IF(Table2[[#This Row],[Date posted]]&lt; DATE(2015,9,18),"Before Crisis","During Crisis")</f>
        <v>Before Crisis</v>
      </c>
      <c r="G18" s="27">
        <f t="shared" si="0"/>
        <v>42202</v>
      </c>
      <c r="H18" s="7" t="str">
        <f t="shared" si="1"/>
        <v>12:47:04</v>
      </c>
      <c r="I18" s="8" t="str">
        <f t="shared" si="2"/>
        <v>Mid-day</v>
      </c>
      <c r="J18" t="s">
        <v>2370</v>
      </c>
      <c r="K18" t="s">
        <v>2370</v>
      </c>
      <c r="L18">
        <v>138</v>
      </c>
      <c r="M18">
        <v>2</v>
      </c>
      <c r="N18">
        <v>64</v>
      </c>
      <c r="O18" s="4">
        <f t="shared" si="3"/>
        <v>204</v>
      </c>
      <c r="P18" s="5" t="str">
        <f t="shared" si="4"/>
        <v>High engagement</v>
      </c>
      <c r="Q18" t="b">
        <v>1</v>
      </c>
      <c r="R18" t="b">
        <v>0</v>
      </c>
      <c r="S18" t="b">
        <v>1</v>
      </c>
      <c r="T18" s="24" t="str">
        <f t="shared" si="5"/>
        <v>Photo</v>
      </c>
    </row>
    <row r="19" spans="1:20" hidden="1" x14ac:dyDescent="0.2">
      <c r="A19" t="s">
        <v>7014</v>
      </c>
      <c r="B19" t="s">
        <v>2365</v>
      </c>
      <c r="C19" t="s">
        <v>2366</v>
      </c>
      <c r="D19" t="s">
        <v>7015</v>
      </c>
      <c r="E19" t="s">
        <v>7016</v>
      </c>
      <c r="F19" t="str">
        <f>IF(Table2[[#This Row],[Date posted]]&lt; DATE(2015,9,18),"Before Crisis","During Crisis")</f>
        <v>Before Crisis</v>
      </c>
      <c r="G19" s="27">
        <f t="shared" si="0"/>
        <v>42183</v>
      </c>
      <c r="H19" s="7" t="str">
        <f t="shared" si="1"/>
        <v>21:47:54</v>
      </c>
      <c r="I19" s="8" t="str">
        <f t="shared" si="2"/>
        <v>Evening</v>
      </c>
      <c r="J19" t="s">
        <v>2370</v>
      </c>
      <c r="K19" t="s">
        <v>2370</v>
      </c>
      <c r="L19">
        <v>104</v>
      </c>
      <c r="M19">
        <v>4</v>
      </c>
      <c r="N19">
        <v>51</v>
      </c>
      <c r="O19" s="4">
        <f t="shared" si="3"/>
        <v>159</v>
      </c>
      <c r="P19" s="5" t="str">
        <f t="shared" si="4"/>
        <v>High engagement</v>
      </c>
      <c r="Q19" t="b">
        <v>1</v>
      </c>
      <c r="R19" t="b">
        <v>0</v>
      </c>
      <c r="S19" t="b">
        <v>0</v>
      </c>
      <c r="T19" s="24" t="str">
        <f t="shared" si="5"/>
        <v>Photo</v>
      </c>
    </row>
    <row r="20" spans="1:20" hidden="1" x14ac:dyDescent="0.2">
      <c r="A20" t="s">
        <v>6573</v>
      </c>
      <c r="B20" t="s">
        <v>2365</v>
      </c>
      <c r="C20" t="s">
        <v>2366</v>
      </c>
      <c r="D20" t="s">
        <v>7314</v>
      </c>
      <c r="E20" t="s">
        <v>6574</v>
      </c>
      <c r="F20" t="str">
        <f>IF(Table2[[#This Row],[Date posted]]&lt; DATE(2015,9,18),"Before Crisis","During Crisis")</f>
        <v>Before Crisis</v>
      </c>
      <c r="G20" s="27">
        <f t="shared" si="0"/>
        <v>42193</v>
      </c>
      <c r="H20" s="7" t="str">
        <f t="shared" si="1"/>
        <v>17:58:54</v>
      </c>
      <c r="I20" s="8" t="str">
        <f t="shared" si="2"/>
        <v>Afternoon</v>
      </c>
      <c r="J20" t="s">
        <v>2370</v>
      </c>
      <c r="K20" t="s">
        <v>2370</v>
      </c>
      <c r="L20">
        <v>61</v>
      </c>
      <c r="M20">
        <v>2</v>
      </c>
      <c r="N20">
        <v>51</v>
      </c>
      <c r="O20" s="4">
        <f t="shared" si="3"/>
        <v>114</v>
      </c>
      <c r="P20" s="5" t="str">
        <f t="shared" si="4"/>
        <v>High engagement</v>
      </c>
      <c r="Q20" t="b">
        <v>1</v>
      </c>
      <c r="R20" t="b">
        <v>0</v>
      </c>
      <c r="S20" t="b">
        <v>1</v>
      </c>
      <c r="T20" s="24" t="str">
        <f t="shared" si="5"/>
        <v>Photo</v>
      </c>
    </row>
    <row r="21" spans="1:20" hidden="1" x14ac:dyDescent="0.2">
      <c r="A21" t="s">
        <v>7153</v>
      </c>
      <c r="B21" t="s">
        <v>2365</v>
      </c>
      <c r="C21" t="s">
        <v>2366</v>
      </c>
      <c r="D21" t="s">
        <v>7154</v>
      </c>
      <c r="E21" t="s">
        <v>7155</v>
      </c>
      <c r="F21" t="str">
        <f>IF(Table2[[#This Row],[Date posted]]&lt; DATE(2015,9,18),"Before Crisis","During Crisis")</f>
        <v>Before Crisis</v>
      </c>
      <c r="G21" s="27">
        <f t="shared" si="0"/>
        <v>42176</v>
      </c>
      <c r="H21" s="7" t="str">
        <f t="shared" si="1"/>
        <v>19:55:14</v>
      </c>
      <c r="I21" s="8" t="str">
        <f t="shared" si="2"/>
        <v>Evening</v>
      </c>
      <c r="J21" t="s">
        <v>2370</v>
      </c>
      <c r="K21" t="s">
        <v>2370</v>
      </c>
      <c r="L21">
        <v>114</v>
      </c>
      <c r="M21">
        <v>1</v>
      </c>
      <c r="N21">
        <v>50</v>
      </c>
      <c r="O21" s="4">
        <f t="shared" si="3"/>
        <v>165</v>
      </c>
      <c r="P21" s="5" t="str">
        <f t="shared" si="4"/>
        <v>High engagement</v>
      </c>
      <c r="Q21" t="b">
        <v>1</v>
      </c>
      <c r="R21" t="b">
        <v>0</v>
      </c>
      <c r="S21" t="b">
        <v>0</v>
      </c>
      <c r="T21" s="24" t="str">
        <f t="shared" si="5"/>
        <v>Photo</v>
      </c>
    </row>
    <row r="22" spans="1:20" hidden="1" x14ac:dyDescent="0.2">
      <c r="A22" t="s">
        <v>7051</v>
      </c>
      <c r="B22" t="s">
        <v>2365</v>
      </c>
      <c r="C22" t="s">
        <v>2366</v>
      </c>
      <c r="D22" t="s">
        <v>7052</v>
      </c>
      <c r="E22" t="s">
        <v>7053</v>
      </c>
      <c r="F22" t="str">
        <f>IF(Table2[[#This Row],[Date posted]]&lt; DATE(2015,9,18),"Before Crisis","During Crisis")</f>
        <v>Before Crisis</v>
      </c>
      <c r="G22" s="27">
        <f t="shared" si="0"/>
        <v>42180</v>
      </c>
      <c r="H22" s="7" t="str">
        <f t="shared" si="1"/>
        <v>13:31:52</v>
      </c>
      <c r="I22" s="8" t="str">
        <f t="shared" si="2"/>
        <v>Mid-day</v>
      </c>
      <c r="J22" t="s">
        <v>2370</v>
      </c>
      <c r="K22" t="s">
        <v>2370</v>
      </c>
      <c r="L22">
        <v>101</v>
      </c>
      <c r="M22">
        <v>2</v>
      </c>
      <c r="N22">
        <v>50</v>
      </c>
      <c r="O22" s="4">
        <f t="shared" si="3"/>
        <v>153</v>
      </c>
      <c r="P22" s="5" t="str">
        <f t="shared" si="4"/>
        <v>High engagement</v>
      </c>
      <c r="Q22" t="b">
        <v>0</v>
      </c>
      <c r="R22" t="b">
        <v>1</v>
      </c>
      <c r="S22" t="b">
        <v>0</v>
      </c>
      <c r="T22" s="24" t="str">
        <f t="shared" si="5"/>
        <v>Video</v>
      </c>
    </row>
    <row r="23" spans="1:20" hidden="1" x14ac:dyDescent="0.2">
      <c r="A23" t="s">
        <v>5974</v>
      </c>
      <c r="B23" t="s">
        <v>2365</v>
      </c>
      <c r="C23" t="s">
        <v>2366</v>
      </c>
      <c r="D23" t="s">
        <v>5975</v>
      </c>
      <c r="E23" t="s">
        <v>5976</v>
      </c>
      <c r="F23" t="str">
        <f>IF(Table2[[#This Row],[Date posted]]&lt; DATE(2015,9,18),"Before Crisis","During Crisis")</f>
        <v>Before Crisis</v>
      </c>
      <c r="G23" s="27">
        <f t="shared" si="0"/>
        <v>42211</v>
      </c>
      <c r="H23" s="7" t="str">
        <f t="shared" si="1"/>
        <v>22:03:59</v>
      </c>
      <c r="I23" s="8" t="str">
        <f t="shared" si="2"/>
        <v>Evening</v>
      </c>
      <c r="J23" t="s">
        <v>2370</v>
      </c>
      <c r="K23" t="s">
        <v>2370</v>
      </c>
      <c r="L23">
        <v>119</v>
      </c>
      <c r="M23">
        <v>2</v>
      </c>
      <c r="N23">
        <v>49</v>
      </c>
      <c r="O23" s="4">
        <f t="shared" si="3"/>
        <v>170</v>
      </c>
      <c r="P23" s="5" t="str">
        <f t="shared" si="4"/>
        <v>High engagement</v>
      </c>
      <c r="Q23" t="b">
        <v>1</v>
      </c>
      <c r="R23" t="b">
        <v>0</v>
      </c>
      <c r="S23" t="b">
        <v>0</v>
      </c>
      <c r="T23" s="24" t="str">
        <f t="shared" si="5"/>
        <v>Photo</v>
      </c>
    </row>
    <row r="24" spans="1:20" x14ac:dyDescent="0.2">
      <c r="A24" t="s">
        <v>7026</v>
      </c>
      <c r="B24" t="s">
        <v>2365</v>
      </c>
      <c r="C24" t="s">
        <v>2366</v>
      </c>
      <c r="D24" t="s">
        <v>7027</v>
      </c>
      <c r="E24" t="s">
        <v>7028</v>
      </c>
      <c r="F24" t="str">
        <f>IF(Table2[[#This Row],[Date posted]]&lt; DATE(2015,9,18),"Before Crisis","During Crisis")</f>
        <v>Before Crisis</v>
      </c>
      <c r="G24" s="27">
        <f t="shared" si="0"/>
        <v>42183</v>
      </c>
      <c r="H24" s="7" t="str">
        <f t="shared" si="1"/>
        <v>04:43:23</v>
      </c>
      <c r="I24" s="8" t="str">
        <f t="shared" si="2"/>
        <v>Early morning</v>
      </c>
      <c r="J24" t="s">
        <v>2370</v>
      </c>
      <c r="K24" t="s">
        <v>2370</v>
      </c>
      <c r="L24">
        <v>132</v>
      </c>
      <c r="M24">
        <v>2</v>
      </c>
      <c r="N24">
        <v>47</v>
      </c>
      <c r="O24" s="4">
        <f t="shared" si="3"/>
        <v>181</v>
      </c>
      <c r="P24" s="5" t="str">
        <f t="shared" si="4"/>
        <v>High engagement</v>
      </c>
      <c r="Q24" t="b">
        <v>1</v>
      </c>
      <c r="R24" t="b">
        <v>0</v>
      </c>
      <c r="S24" t="b">
        <v>0</v>
      </c>
      <c r="T24" s="24" t="str">
        <f t="shared" si="5"/>
        <v>Photo</v>
      </c>
    </row>
    <row r="25" spans="1:20" hidden="1" x14ac:dyDescent="0.2">
      <c r="A25" t="s">
        <v>6078</v>
      </c>
      <c r="B25" t="s">
        <v>2365</v>
      </c>
      <c r="C25" t="s">
        <v>2366</v>
      </c>
      <c r="D25" t="s">
        <v>6079</v>
      </c>
      <c r="E25" t="s">
        <v>6080</v>
      </c>
      <c r="F25" t="str">
        <f>IF(Table2[[#This Row],[Date posted]]&lt; DATE(2015,9,18),"Before Crisis","During Crisis")</f>
        <v>Before Crisis</v>
      </c>
      <c r="G25" s="27">
        <f t="shared" si="0"/>
        <v>42209</v>
      </c>
      <c r="H25" s="7" t="str">
        <f t="shared" si="1"/>
        <v>15:55:32</v>
      </c>
      <c r="I25" s="8" t="str">
        <f t="shared" si="2"/>
        <v>Afternoon</v>
      </c>
      <c r="J25" t="s">
        <v>2370</v>
      </c>
      <c r="K25" t="s">
        <v>2370</v>
      </c>
      <c r="L25">
        <v>80</v>
      </c>
      <c r="M25">
        <v>2</v>
      </c>
      <c r="N25">
        <v>46</v>
      </c>
      <c r="O25" s="4">
        <f t="shared" si="3"/>
        <v>128</v>
      </c>
      <c r="P25" s="5" t="str">
        <f t="shared" si="4"/>
        <v>High engagement</v>
      </c>
      <c r="Q25" t="b">
        <v>1</v>
      </c>
      <c r="R25" t="b">
        <v>0</v>
      </c>
      <c r="S25" t="b">
        <v>0</v>
      </c>
      <c r="T25" s="24" t="str">
        <f t="shared" si="5"/>
        <v>Photo</v>
      </c>
    </row>
    <row r="26" spans="1:20" hidden="1" x14ac:dyDescent="0.2">
      <c r="A26" t="s">
        <v>5703</v>
      </c>
      <c r="B26" t="s">
        <v>2365</v>
      </c>
      <c r="C26" t="s">
        <v>2366</v>
      </c>
      <c r="D26" t="s">
        <v>5704</v>
      </c>
      <c r="E26" t="s">
        <v>5705</v>
      </c>
      <c r="F26" t="str">
        <f>IF(Table2[[#This Row],[Date posted]]&lt; DATE(2015,9,18),"Before Crisis","During Crisis")</f>
        <v>Before Crisis</v>
      </c>
      <c r="G26" s="27">
        <f t="shared" si="0"/>
        <v>42225</v>
      </c>
      <c r="H26" s="7" t="str">
        <f t="shared" si="1"/>
        <v>23:18:23</v>
      </c>
      <c r="I26" s="8" t="str">
        <f t="shared" si="2"/>
        <v>Evening</v>
      </c>
      <c r="J26" t="s">
        <v>2370</v>
      </c>
      <c r="K26" t="s">
        <v>2370</v>
      </c>
      <c r="L26">
        <v>75</v>
      </c>
      <c r="M26">
        <v>8</v>
      </c>
      <c r="N26">
        <v>46</v>
      </c>
      <c r="O26" s="4">
        <f t="shared" si="3"/>
        <v>129</v>
      </c>
      <c r="P26" s="5" t="str">
        <f t="shared" si="4"/>
        <v>High engagement</v>
      </c>
      <c r="Q26" t="b">
        <v>1</v>
      </c>
      <c r="R26" t="b">
        <v>0</v>
      </c>
      <c r="S26" t="b">
        <v>0</v>
      </c>
      <c r="T26" s="24" t="str">
        <f t="shared" si="5"/>
        <v>Photo</v>
      </c>
    </row>
    <row r="27" spans="1:20" hidden="1" x14ac:dyDescent="0.2">
      <c r="A27" t="s">
        <v>7020</v>
      </c>
      <c r="B27" t="s">
        <v>2365</v>
      </c>
      <c r="C27" t="s">
        <v>2366</v>
      </c>
      <c r="D27" t="s">
        <v>7021</v>
      </c>
      <c r="E27" t="s">
        <v>7022</v>
      </c>
      <c r="F27" t="str">
        <f>IF(Table2[[#This Row],[Date posted]]&lt; DATE(2015,9,18),"Before Crisis","During Crisis")</f>
        <v>Before Crisis</v>
      </c>
      <c r="G27" s="27">
        <f t="shared" si="0"/>
        <v>42183</v>
      </c>
      <c r="H27" s="7" t="str">
        <f t="shared" si="1"/>
        <v>18:56:49</v>
      </c>
      <c r="I27" s="8" t="str">
        <f t="shared" si="2"/>
        <v>Evening</v>
      </c>
      <c r="J27" t="s">
        <v>2370</v>
      </c>
      <c r="K27" t="s">
        <v>2370</v>
      </c>
      <c r="L27">
        <v>114</v>
      </c>
      <c r="M27">
        <v>3</v>
      </c>
      <c r="N27">
        <v>45</v>
      </c>
      <c r="O27" s="4">
        <f t="shared" si="3"/>
        <v>162</v>
      </c>
      <c r="P27" s="5" t="str">
        <f t="shared" si="4"/>
        <v>High engagement</v>
      </c>
      <c r="Q27" t="b">
        <v>1</v>
      </c>
      <c r="R27" t="b">
        <v>0</v>
      </c>
      <c r="S27" t="b">
        <v>0</v>
      </c>
      <c r="T27" s="24" t="str">
        <f t="shared" si="5"/>
        <v>Photo</v>
      </c>
    </row>
    <row r="28" spans="1:20" hidden="1" x14ac:dyDescent="0.2">
      <c r="A28" t="s">
        <v>6283</v>
      </c>
      <c r="B28" t="s">
        <v>2365</v>
      </c>
      <c r="C28" t="s">
        <v>2366</v>
      </c>
      <c r="D28" t="s">
        <v>6284</v>
      </c>
      <c r="E28" t="s">
        <v>6285</v>
      </c>
      <c r="F28" t="str">
        <f>IF(Table2[[#This Row],[Date posted]]&lt; DATE(2015,9,18),"Before Crisis","During Crisis")</f>
        <v>Before Crisis</v>
      </c>
      <c r="G28" s="27">
        <f t="shared" si="0"/>
        <v>42203</v>
      </c>
      <c r="H28" s="7" t="str">
        <f t="shared" si="1"/>
        <v>13:18:37</v>
      </c>
      <c r="I28" s="8" t="str">
        <f t="shared" si="2"/>
        <v>Mid-day</v>
      </c>
      <c r="J28" t="s">
        <v>2370</v>
      </c>
      <c r="K28" t="s">
        <v>2370</v>
      </c>
      <c r="L28">
        <v>94</v>
      </c>
      <c r="M28">
        <v>3</v>
      </c>
      <c r="N28">
        <v>43</v>
      </c>
      <c r="O28" s="4">
        <f t="shared" si="3"/>
        <v>140</v>
      </c>
      <c r="P28" s="5" t="str">
        <f t="shared" si="4"/>
        <v>High engagement</v>
      </c>
      <c r="Q28" t="b">
        <v>1</v>
      </c>
      <c r="R28" t="b">
        <v>0</v>
      </c>
      <c r="S28" t="b">
        <v>0</v>
      </c>
      <c r="T28" s="24" t="str">
        <f t="shared" si="5"/>
        <v>Photo</v>
      </c>
    </row>
    <row r="29" spans="1:20" hidden="1" x14ac:dyDescent="0.2">
      <c r="A29" t="s">
        <v>6236</v>
      </c>
      <c r="B29" t="s">
        <v>2365</v>
      </c>
      <c r="C29" t="s">
        <v>2366</v>
      </c>
      <c r="D29" t="s">
        <v>6237</v>
      </c>
      <c r="E29" t="s">
        <v>6238</v>
      </c>
      <c r="F29" t="str">
        <f>IF(Table2[[#This Row],[Date posted]]&lt; DATE(2015,9,18),"Before Crisis","During Crisis")</f>
        <v>Before Crisis</v>
      </c>
      <c r="G29" s="27">
        <f t="shared" si="0"/>
        <v>42204</v>
      </c>
      <c r="H29" s="7" t="str">
        <f t="shared" si="1"/>
        <v>19:20:31</v>
      </c>
      <c r="I29" s="8" t="str">
        <f t="shared" si="2"/>
        <v>Evening</v>
      </c>
      <c r="J29" t="s">
        <v>2370</v>
      </c>
      <c r="K29" t="s">
        <v>2370</v>
      </c>
      <c r="L29">
        <v>72</v>
      </c>
      <c r="M29">
        <v>4</v>
      </c>
      <c r="N29">
        <v>43</v>
      </c>
      <c r="O29" s="4">
        <f t="shared" si="3"/>
        <v>119</v>
      </c>
      <c r="P29" s="5" t="str">
        <f t="shared" si="4"/>
        <v>High engagement</v>
      </c>
      <c r="Q29" t="b">
        <v>1</v>
      </c>
      <c r="R29" t="b">
        <v>0</v>
      </c>
      <c r="S29" t="b">
        <v>0</v>
      </c>
      <c r="T29" s="24" t="str">
        <f t="shared" si="5"/>
        <v>Photo</v>
      </c>
    </row>
    <row r="30" spans="1:20" hidden="1" x14ac:dyDescent="0.2">
      <c r="A30" t="s">
        <v>5715</v>
      </c>
      <c r="B30" t="s">
        <v>2365</v>
      </c>
      <c r="C30" t="s">
        <v>2366</v>
      </c>
      <c r="D30" t="s">
        <v>5716</v>
      </c>
      <c r="E30" t="s">
        <v>5717</v>
      </c>
      <c r="F30" t="str">
        <f>IF(Table2[[#This Row],[Date posted]]&lt; DATE(2015,9,18),"Before Crisis","During Crisis")</f>
        <v>Before Crisis</v>
      </c>
      <c r="G30" s="27">
        <f t="shared" si="0"/>
        <v>42224</v>
      </c>
      <c r="H30" s="7" t="str">
        <f t="shared" si="1"/>
        <v>23:13:32</v>
      </c>
      <c r="I30" s="8" t="str">
        <f t="shared" si="2"/>
        <v>Evening</v>
      </c>
      <c r="J30" t="s">
        <v>2370</v>
      </c>
      <c r="K30" t="s">
        <v>2370</v>
      </c>
      <c r="L30">
        <v>91</v>
      </c>
      <c r="M30">
        <v>1</v>
      </c>
      <c r="N30">
        <v>42</v>
      </c>
      <c r="O30" s="4">
        <f t="shared" si="3"/>
        <v>134</v>
      </c>
      <c r="P30" s="5" t="str">
        <f t="shared" si="4"/>
        <v>High engagement</v>
      </c>
      <c r="Q30" t="b">
        <v>1</v>
      </c>
      <c r="R30" t="b">
        <v>0</v>
      </c>
      <c r="S30" t="b">
        <v>0</v>
      </c>
      <c r="T30" s="24" t="str">
        <f t="shared" si="5"/>
        <v>Photo</v>
      </c>
    </row>
    <row r="31" spans="1:20" hidden="1" x14ac:dyDescent="0.2">
      <c r="A31" t="s">
        <v>4748</v>
      </c>
      <c r="B31" t="s">
        <v>2365</v>
      </c>
      <c r="C31" t="s">
        <v>2366</v>
      </c>
      <c r="D31" t="s">
        <v>4749</v>
      </c>
      <c r="E31" t="s">
        <v>4750</v>
      </c>
      <c r="F31" t="str">
        <f>IF(Table2[[#This Row],[Date posted]]&lt; DATE(2015,9,18),"Before Crisis","During Crisis")</f>
        <v>Before Crisis</v>
      </c>
      <c r="G31" s="27">
        <f t="shared" si="0"/>
        <v>42264</v>
      </c>
      <c r="H31" s="7" t="str">
        <f t="shared" si="1"/>
        <v>21:19:50</v>
      </c>
      <c r="I31" s="8" t="str">
        <f t="shared" si="2"/>
        <v>Evening</v>
      </c>
      <c r="J31" t="s">
        <v>2370</v>
      </c>
      <c r="K31" t="s">
        <v>2370</v>
      </c>
      <c r="L31">
        <v>45</v>
      </c>
      <c r="M31">
        <v>12</v>
      </c>
      <c r="N31">
        <v>40</v>
      </c>
      <c r="O31" s="4">
        <f t="shared" si="3"/>
        <v>97</v>
      </c>
      <c r="P31" s="5" t="str">
        <f t="shared" si="4"/>
        <v>High engagement</v>
      </c>
      <c r="Q31" t="b">
        <v>0</v>
      </c>
      <c r="R31" t="b">
        <v>1</v>
      </c>
      <c r="S31" t="b">
        <v>0</v>
      </c>
      <c r="T31" s="24" t="str">
        <f t="shared" si="5"/>
        <v>Video</v>
      </c>
    </row>
    <row r="32" spans="1:20" hidden="1" x14ac:dyDescent="0.2">
      <c r="A32" t="s">
        <v>6257</v>
      </c>
      <c r="B32" t="s">
        <v>2365</v>
      </c>
      <c r="C32" t="s">
        <v>2366</v>
      </c>
      <c r="D32" t="s">
        <v>6258</v>
      </c>
      <c r="E32" t="s">
        <v>6259</v>
      </c>
      <c r="F32" t="str">
        <f>IF(Table2[[#This Row],[Date posted]]&lt; DATE(2015,9,18),"Before Crisis","During Crisis")</f>
        <v>Before Crisis</v>
      </c>
      <c r="G32" s="27">
        <f t="shared" si="0"/>
        <v>42203</v>
      </c>
      <c r="H32" s="7" t="str">
        <f t="shared" si="1"/>
        <v>21:44:42</v>
      </c>
      <c r="I32" s="8" t="str">
        <f t="shared" si="2"/>
        <v>Evening</v>
      </c>
      <c r="J32" t="s">
        <v>2370</v>
      </c>
      <c r="K32" t="s">
        <v>2370</v>
      </c>
      <c r="L32">
        <v>68</v>
      </c>
      <c r="M32">
        <v>2</v>
      </c>
      <c r="N32">
        <v>38</v>
      </c>
      <c r="O32" s="4">
        <f t="shared" si="3"/>
        <v>108</v>
      </c>
      <c r="P32" s="5" t="str">
        <f t="shared" si="4"/>
        <v>High engagement</v>
      </c>
      <c r="Q32" t="b">
        <v>1</v>
      </c>
      <c r="R32" t="b">
        <v>0</v>
      </c>
      <c r="S32" t="b">
        <v>0</v>
      </c>
      <c r="T32" s="24" t="str">
        <f t="shared" si="5"/>
        <v>Photo</v>
      </c>
    </row>
    <row r="33" spans="1:20" hidden="1" x14ac:dyDescent="0.2">
      <c r="A33" t="s">
        <v>5852</v>
      </c>
      <c r="B33" t="s">
        <v>2365</v>
      </c>
      <c r="C33" t="s">
        <v>2366</v>
      </c>
      <c r="D33" t="s">
        <v>5853</v>
      </c>
      <c r="E33" t="s">
        <v>5854</v>
      </c>
      <c r="F33" t="str">
        <f>IF(Table2[[#This Row],[Date posted]]&lt; DATE(2015,9,18),"Before Crisis","During Crisis")</f>
        <v>Before Crisis</v>
      </c>
      <c r="G33" s="27">
        <f t="shared" si="0"/>
        <v>42217</v>
      </c>
      <c r="H33" s="7" t="str">
        <f t="shared" si="1"/>
        <v>15:33:50</v>
      </c>
      <c r="I33" s="8" t="str">
        <f t="shared" si="2"/>
        <v>Afternoon</v>
      </c>
      <c r="J33" t="s">
        <v>2370</v>
      </c>
      <c r="K33" t="s">
        <v>2370</v>
      </c>
      <c r="L33">
        <v>82</v>
      </c>
      <c r="M33">
        <v>4</v>
      </c>
      <c r="N33">
        <v>37</v>
      </c>
      <c r="O33" s="4">
        <f t="shared" si="3"/>
        <v>123</v>
      </c>
      <c r="P33" s="5" t="str">
        <f t="shared" si="4"/>
        <v>High engagement</v>
      </c>
      <c r="Q33" t="b">
        <v>1</v>
      </c>
      <c r="R33" t="b">
        <v>0</v>
      </c>
      <c r="S33" t="b">
        <v>0</v>
      </c>
      <c r="T33" s="24" t="str">
        <f t="shared" si="5"/>
        <v>Photo</v>
      </c>
    </row>
    <row r="34" spans="1:20" hidden="1" x14ac:dyDescent="0.2">
      <c r="A34" t="s">
        <v>5834</v>
      </c>
      <c r="B34" t="s">
        <v>2365</v>
      </c>
      <c r="C34" t="s">
        <v>2366</v>
      </c>
      <c r="D34" t="s">
        <v>5835</v>
      </c>
      <c r="E34" t="s">
        <v>5836</v>
      </c>
      <c r="F34" t="str">
        <f>IF(Table2[[#This Row],[Date posted]]&lt; DATE(2015,9,18),"Before Crisis","During Crisis")</f>
        <v>Before Crisis</v>
      </c>
      <c r="G34" s="27">
        <f t="shared" si="0"/>
        <v>42218</v>
      </c>
      <c r="H34" s="7" t="str">
        <f t="shared" si="1"/>
        <v>17:09:45</v>
      </c>
      <c r="I34" s="8" t="str">
        <f t="shared" si="2"/>
        <v>Afternoon</v>
      </c>
      <c r="J34" t="s">
        <v>2370</v>
      </c>
      <c r="K34" t="s">
        <v>2370</v>
      </c>
      <c r="L34">
        <v>97</v>
      </c>
      <c r="M34">
        <v>1</v>
      </c>
      <c r="N34">
        <v>37</v>
      </c>
      <c r="O34" s="4">
        <f t="shared" si="3"/>
        <v>135</v>
      </c>
      <c r="P34" s="5" t="str">
        <f t="shared" si="4"/>
        <v>High engagement</v>
      </c>
      <c r="Q34" t="b">
        <v>1</v>
      </c>
      <c r="R34" t="b">
        <v>0</v>
      </c>
      <c r="S34" t="b">
        <v>0</v>
      </c>
      <c r="T34" s="24" t="str">
        <f t="shared" si="5"/>
        <v>Photo</v>
      </c>
    </row>
    <row r="35" spans="1:20" hidden="1" x14ac:dyDescent="0.2">
      <c r="A35" t="s">
        <v>5855</v>
      </c>
      <c r="B35" t="s">
        <v>2365</v>
      </c>
      <c r="C35" t="s">
        <v>2366</v>
      </c>
      <c r="D35" t="s">
        <v>5856</v>
      </c>
      <c r="E35" t="s">
        <v>5857</v>
      </c>
      <c r="F35" t="str">
        <f>IF(Table2[[#This Row],[Date posted]]&lt; DATE(2015,9,18),"Before Crisis","During Crisis")</f>
        <v>Before Crisis</v>
      </c>
      <c r="G35" s="27">
        <f t="shared" si="0"/>
        <v>42216</v>
      </c>
      <c r="H35" s="7" t="str">
        <f t="shared" si="1"/>
        <v>23:05:59</v>
      </c>
      <c r="I35" s="8" t="str">
        <f t="shared" si="2"/>
        <v>Evening</v>
      </c>
      <c r="J35" t="s">
        <v>2370</v>
      </c>
      <c r="K35" t="s">
        <v>2370</v>
      </c>
      <c r="L35">
        <v>65</v>
      </c>
      <c r="M35">
        <v>1</v>
      </c>
      <c r="N35">
        <v>36</v>
      </c>
      <c r="O35" s="4">
        <f t="shared" si="3"/>
        <v>102</v>
      </c>
      <c r="P35" s="5" t="str">
        <f t="shared" si="4"/>
        <v>High engagement</v>
      </c>
      <c r="Q35" t="b">
        <v>1</v>
      </c>
      <c r="R35" t="b">
        <v>0</v>
      </c>
      <c r="S35" t="b">
        <v>0</v>
      </c>
      <c r="T35" s="24" t="str">
        <f t="shared" si="5"/>
        <v>Photo</v>
      </c>
    </row>
    <row r="36" spans="1:20" hidden="1" x14ac:dyDescent="0.2">
      <c r="A36" t="s">
        <v>5837</v>
      </c>
      <c r="B36" t="s">
        <v>2365</v>
      </c>
      <c r="C36" t="s">
        <v>2366</v>
      </c>
      <c r="D36" t="s">
        <v>5838</v>
      </c>
      <c r="E36" t="s">
        <v>5839</v>
      </c>
      <c r="F36" t="str">
        <f>IF(Table2[[#This Row],[Date posted]]&lt; DATE(2015,9,18),"Before Crisis","During Crisis")</f>
        <v>Before Crisis</v>
      </c>
      <c r="G36" s="27">
        <f t="shared" si="0"/>
        <v>42218</v>
      </c>
      <c r="H36" s="7" t="str">
        <f t="shared" si="1"/>
        <v>15:17:29</v>
      </c>
      <c r="I36" s="8" t="str">
        <f t="shared" si="2"/>
        <v>Afternoon</v>
      </c>
      <c r="J36" t="s">
        <v>2370</v>
      </c>
      <c r="K36" t="s">
        <v>2370</v>
      </c>
      <c r="L36">
        <v>52</v>
      </c>
      <c r="M36">
        <v>1</v>
      </c>
      <c r="N36">
        <v>36</v>
      </c>
      <c r="O36" s="4">
        <f t="shared" si="3"/>
        <v>89</v>
      </c>
      <c r="P36" s="5" t="str">
        <f t="shared" si="4"/>
        <v>High engagement</v>
      </c>
      <c r="Q36" t="b">
        <v>1</v>
      </c>
      <c r="R36" t="b">
        <v>0</v>
      </c>
      <c r="S36" t="b">
        <v>0</v>
      </c>
      <c r="T36" s="24" t="str">
        <f t="shared" si="5"/>
        <v>Photo</v>
      </c>
    </row>
    <row r="37" spans="1:20" hidden="1" x14ac:dyDescent="0.2">
      <c r="A37" t="s">
        <v>6916</v>
      </c>
      <c r="B37" t="s">
        <v>2365</v>
      </c>
      <c r="C37" t="s">
        <v>2366</v>
      </c>
      <c r="D37" t="s">
        <v>6917</v>
      </c>
      <c r="E37" t="s">
        <v>6918</v>
      </c>
      <c r="F37" t="str">
        <f>IF(Table2[[#This Row],[Date posted]]&lt; DATE(2015,9,18),"Before Crisis","During Crisis")</f>
        <v>Before Crisis</v>
      </c>
      <c r="G37" s="27">
        <f t="shared" si="0"/>
        <v>42185</v>
      </c>
      <c r="H37" s="7" t="str">
        <f t="shared" si="1"/>
        <v>23:06:50</v>
      </c>
      <c r="I37" s="8" t="str">
        <f t="shared" si="2"/>
        <v>Evening</v>
      </c>
      <c r="J37" t="s">
        <v>2370</v>
      </c>
      <c r="K37" t="s">
        <v>2370</v>
      </c>
      <c r="L37">
        <v>62</v>
      </c>
      <c r="M37">
        <v>4</v>
      </c>
      <c r="N37">
        <v>35</v>
      </c>
      <c r="O37" s="4">
        <f t="shared" si="3"/>
        <v>101</v>
      </c>
      <c r="P37" s="5" t="str">
        <f t="shared" si="4"/>
        <v>High engagement</v>
      </c>
      <c r="Q37" t="b">
        <v>0</v>
      </c>
      <c r="R37" t="b">
        <v>1</v>
      </c>
      <c r="S37" t="b">
        <v>0</v>
      </c>
      <c r="T37" s="24" t="str">
        <f t="shared" si="5"/>
        <v>Video</v>
      </c>
    </row>
    <row r="38" spans="1:20" hidden="1" x14ac:dyDescent="0.2">
      <c r="A38" t="s">
        <v>5984</v>
      </c>
      <c r="B38" t="s">
        <v>2365</v>
      </c>
      <c r="C38" t="s">
        <v>2366</v>
      </c>
      <c r="D38" t="s">
        <v>5985</v>
      </c>
      <c r="E38" t="s">
        <v>5986</v>
      </c>
      <c r="F38" t="str">
        <f>IF(Table2[[#This Row],[Date posted]]&lt; DATE(2015,9,18),"Before Crisis","During Crisis")</f>
        <v>Before Crisis</v>
      </c>
      <c r="G38" s="27">
        <f t="shared" si="0"/>
        <v>42211</v>
      </c>
      <c r="H38" s="7" t="str">
        <f t="shared" si="1"/>
        <v>18:10:53</v>
      </c>
      <c r="I38" s="8" t="str">
        <f t="shared" si="2"/>
        <v>Evening</v>
      </c>
      <c r="J38" t="s">
        <v>2370</v>
      </c>
      <c r="K38" t="s">
        <v>2370</v>
      </c>
      <c r="L38">
        <v>60</v>
      </c>
      <c r="M38">
        <v>3</v>
      </c>
      <c r="N38">
        <v>35</v>
      </c>
      <c r="O38" s="4">
        <f t="shared" si="3"/>
        <v>98</v>
      </c>
      <c r="P38" s="5" t="str">
        <f t="shared" si="4"/>
        <v>High engagement</v>
      </c>
      <c r="Q38" t="b">
        <v>1</v>
      </c>
      <c r="R38" t="b">
        <v>0</v>
      </c>
      <c r="S38" t="b">
        <v>0</v>
      </c>
      <c r="T38" s="24" t="str">
        <f t="shared" si="5"/>
        <v>Photo</v>
      </c>
    </row>
    <row r="39" spans="1:20" x14ac:dyDescent="0.2">
      <c r="A39" t="s">
        <v>5825</v>
      </c>
      <c r="B39" t="s">
        <v>2365</v>
      </c>
      <c r="C39" t="s">
        <v>2366</v>
      </c>
      <c r="D39" t="s">
        <v>5826</v>
      </c>
      <c r="E39" t="s">
        <v>5827</v>
      </c>
      <c r="F39" t="str">
        <f>IF(Table2[[#This Row],[Date posted]]&lt; DATE(2015,9,18),"Before Crisis","During Crisis")</f>
        <v>Before Crisis</v>
      </c>
      <c r="G39" s="27">
        <f t="shared" si="0"/>
        <v>42219</v>
      </c>
      <c r="H39" s="7" t="str">
        <f t="shared" si="1"/>
        <v>00:02:55</v>
      </c>
      <c r="I39" s="8" t="str">
        <f t="shared" si="2"/>
        <v>Early morning</v>
      </c>
      <c r="J39" t="s">
        <v>2370</v>
      </c>
      <c r="K39" t="s">
        <v>2370</v>
      </c>
      <c r="L39">
        <v>71</v>
      </c>
      <c r="M39">
        <v>6</v>
      </c>
      <c r="N39">
        <v>35</v>
      </c>
      <c r="O39" s="4">
        <f t="shared" si="3"/>
        <v>112</v>
      </c>
      <c r="P39" s="5" t="str">
        <f t="shared" si="4"/>
        <v>High engagement</v>
      </c>
      <c r="Q39" t="b">
        <v>1</v>
      </c>
      <c r="R39" t="b">
        <v>0</v>
      </c>
      <c r="S39" t="b">
        <v>0</v>
      </c>
      <c r="T39" s="24" t="str">
        <f t="shared" si="5"/>
        <v>Photo</v>
      </c>
    </row>
    <row r="40" spans="1:20" hidden="1" x14ac:dyDescent="0.2">
      <c r="A40" t="s">
        <v>5706</v>
      </c>
      <c r="B40" t="s">
        <v>2365</v>
      </c>
      <c r="C40" t="s">
        <v>2366</v>
      </c>
      <c r="D40" t="s">
        <v>5707</v>
      </c>
      <c r="E40" t="s">
        <v>5708</v>
      </c>
      <c r="F40" t="str">
        <f>IF(Table2[[#This Row],[Date posted]]&lt; DATE(2015,9,18),"Before Crisis","During Crisis")</f>
        <v>Before Crisis</v>
      </c>
      <c r="G40" s="27">
        <f t="shared" si="0"/>
        <v>42225</v>
      </c>
      <c r="H40" s="7" t="str">
        <f t="shared" si="1"/>
        <v>21:56:40</v>
      </c>
      <c r="I40" s="8" t="str">
        <f t="shared" si="2"/>
        <v>Evening</v>
      </c>
      <c r="J40" t="s">
        <v>2370</v>
      </c>
      <c r="K40" t="s">
        <v>2370</v>
      </c>
      <c r="L40">
        <v>94</v>
      </c>
      <c r="M40">
        <v>3</v>
      </c>
      <c r="N40">
        <v>35</v>
      </c>
      <c r="O40" s="4">
        <f t="shared" si="3"/>
        <v>132</v>
      </c>
      <c r="P40" s="5" t="str">
        <f t="shared" si="4"/>
        <v>High engagement</v>
      </c>
      <c r="Q40" t="b">
        <v>1</v>
      </c>
      <c r="R40" t="b">
        <v>0</v>
      </c>
      <c r="S40" t="b">
        <v>0</v>
      </c>
      <c r="T40" s="24" t="str">
        <f t="shared" si="5"/>
        <v>Photo</v>
      </c>
    </row>
    <row r="41" spans="1:20" hidden="1" x14ac:dyDescent="0.2">
      <c r="A41" t="s">
        <v>4987</v>
      </c>
      <c r="B41" t="s">
        <v>2365</v>
      </c>
      <c r="C41" t="s">
        <v>2366</v>
      </c>
      <c r="D41" t="s">
        <v>4988</v>
      </c>
      <c r="E41" t="s">
        <v>4989</v>
      </c>
      <c r="F41" t="str">
        <f>IF(Table2[[#This Row],[Date posted]]&lt; DATE(2015,9,18),"Before Crisis","During Crisis")</f>
        <v>Before Crisis</v>
      </c>
      <c r="G41" s="27">
        <f t="shared" si="0"/>
        <v>42259</v>
      </c>
      <c r="H41" s="7" t="str">
        <f t="shared" si="1"/>
        <v>21:44:44</v>
      </c>
      <c r="I41" s="8" t="str">
        <f t="shared" si="2"/>
        <v>Evening</v>
      </c>
      <c r="J41" t="s">
        <v>2370</v>
      </c>
      <c r="K41" t="s">
        <v>2370</v>
      </c>
      <c r="L41">
        <v>88</v>
      </c>
      <c r="M41">
        <v>1</v>
      </c>
      <c r="N41">
        <v>35</v>
      </c>
      <c r="O41" s="4">
        <f t="shared" si="3"/>
        <v>124</v>
      </c>
      <c r="P41" s="5" t="str">
        <f t="shared" si="4"/>
        <v>High engagement</v>
      </c>
      <c r="Q41" t="b">
        <v>1</v>
      </c>
      <c r="R41" t="b">
        <v>0</v>
      </c>
      <c r="S41" t="b">
        <v>0</v>
      </c>
      <c r="T41" s="24" t="str">
        <f t="shared" si="5"/>
        <v>Photo</v>
      </c>
    </row>
    <row r="42" spans="1:20" hidden="1" x14ac:dyDescent="0.2">
      <c r="A42" t="s">
        <v>5929</v>
      </c>
      <c r="B42" t="s">
        <v>2365</v>
      </c>
      <c r="C42" t="s">
        <v>2366</v>
      </c>
      <c r="D42" t="s">
        <v>5930</v>
      </c>
      <c r="E42" t="s">
        <v>5931</v>
      </c>
      <c r="F42" t="str">
        <f>IF(Table2[[#This Row],[Date posted]]&lt; DATE(2015,9,18),"Before Crisis","During Crisis")</f>
        <v>Before Crisis</v>
      </c>
      <c r="G42" s="27">
        <f t="shared" si="0"/>
        <v>42213</v>
      </c>
      <c r="H42" s="7" t="str">
        <f t="shared" si="1"/>
        <v>22:34:31</v>
      </c>
      <c r="I42" s="8" t="str">
        <f t="shared" si="2"/>
        <v>Evening</v>
      </c>
      <c r="J42" t="s">
        <v>2370</v>
      </c>
      <c r="K42" t="s">
        <v>2370</v>
      </c>
      <c r="L42">
        <v>61</v>
      </c>
      <c r="M42">
        <v>1</v>
      </c>
      <c r="N42">
        <v>33</v>
      </c>
      <c r="O42" s="4">
        <f t="shared" si="3"/>
        <v>95</v>
      </c>
      <c r="P42" s="5" t="str">
        <f t="shared" si="4"/>
        <v>High engagement</v>
      </c>
      <c r="Q42" t="b">
        <v>0</v>
      </c>
      <c r="R42" t="b">
        <v>1</v>
      </c>
      <c r="S42" t="b">
        <v>0</v>
      </c>
      <c r="T42" s="24" t="str">
        <f t="shared" si="5"/>
        <v>Video</v>
      </c>
    </row>
    <row r="43" spans="1:20" hidden="1" x14ac:dyDescent="0.2">
      <c r="A43" t="s">
        <v>5831</v>
      </c>
      <c r="B43" t="s">
        <v>2365</v>
      </c>
      <c r="C43" t="s">
        <v>2366</v>
      </c>
      <c r="D43" t="s">
        <v>5832</v>
      </c>
      <c r="E43" t="s">
        <v>5833</v>
      </c>
      <c r="F43" t="str">
        <f>IF(Table2[[#This Row],[Date posted]]&lt; DATE(2015,9,18),"Before Crisis","During Crisis")</f>
        <v>Before Crisis</v>
      </c>
      <c r="G43" s="27">
        <f t="shared" si="0"/>
        <v>42218</v>
      </c>
      <c r="H43" s="7" t="str">
        <f t="shared" si="1"/>
        <v>19:00:54</v>
      </c>
      <c r="I43" s="8" t="str">
        <f t="shared" si="2"/>
        <v>Evening</v>
      </c>
      <c r="J43" t="s">
        <v>2370</v>
      </c>
      <c r="K43" t="s">
        <v>2370</v>
      </c>
      <c r="L43">
        <v>55</v>
      </c>
      <c r="M43" s="3">
        <v>0</v>
      </c>
      <c r="N43">
        <v>33</v>
      </c>
      <c r="O43" s="4">
        <f t="shared" si="3"/>
        <v>88</v>
      </c>
      <c r="P43" s="5" t="str">
        <f t="shared" si="4"/>
        <v>High engagement</v>
      </c>
      <c r="Q43" t="b">
        <v>1</v>
      </c>
      <c r="R43" t="b">
        <v>0</v>
      </c>
      <c r="S43" t="b">
        <v>0</v>
      </c>
      <c r="T43" s="24" t="str">
        <f t="shared" si="5"/>
        <v>Photo</v>
      </c>
    </row>
    <row r="44" spans="1:20" hidden="1" x14ac:dyDescent="0.2">
      <c r="A44" t="s">
        <v>5722</v>
      </c>
      <c r="B44" t="s">
        <v>2365</v>
      </c>
      <c r="C44" t="s">
        <v>2366</v>
      </c>
      <c r="D44" t="s">
        <v>5723</v>
      </c>
      <c r="E44" t="s">
        <v>5724</v>
      </c>
      <c r="F44" t="str">
        <f>IF(Table2[[#This Row],[Date posted]]&lt; DATE(2015,9,18),"Before Crisis","During Crisis")</f>
        <v>Before Crisis</v>
      </c>
      <c r="G44" s="27">
        <f t="shared" si="0"/>
        <v>42224</v>
      </c>
      <c r="H44" s="7" t="str">
        <f t="shared" si="1"/>
        <v>17:25:24</v>
      </c>
      <c r="I44" s="8" t="str">
        <f t="shared" si="2"/>
        <v>Afternoon</v>
      </c>
      <c r="J44" t="s">
        <v>2370</v>
      </c>
      <c r="K44" t="s">
        <v>2370</v>
      </c>
      <c r="L44">
        <v>69</v>
      </c>
      <c r="M44">
        <v>1</v>
      </c>
      <c r="N44">
        <v>33</v>
      </c>
      <c r="O44" s="4">
        <f t="shared" si="3"/>
        <v>103</v>
      </c>
      <c r="P44" s="5" t="str">
        <f t="shared" si="4"/>
        <v>High engagement</v>
      </c>
      <c r="Q44" t="b">
        <v>1</v>
      </c>
      <c r="R44" t="b">
        <v>0</v>
      </c>
      <c r="S44" t="b">
        <v>0</v>
      </c>
      <c r="T44" s="24" t="str">
        <f t="shared" si="5"/>
        <v>Photo</v>
      </c>
    </row>
    <row r="45" spans="1:20" hidden="1" x14ac:dyDescent="0.2">
      <c r="A45" t="s">
        <v>4900</v>
      </c>
      <c r="B45" t="s">
        <v>2365</v>
      </c>
      <c r="C45" t="s">
        <v>2366</v>
      </c>
      <c r="D45" t="s">
        <v>4901</v>
      </c>
      <c r="E45" t="s">
        <v>4902</v>
      </c>
      <c r="F45" t="str">
        <f>IF(Table2[[#This Row],[Date posted]]&lt; DATE(2015,9,18),"Before Crisis","During Crisis")</f>
        <v>Before Crisis</v>
      </c>
      <c r="G45" s="27">
        <f t="shared" si="0"/>
        <v>42260</v>
      </c>
      <c r="H45" s="7" t="str">
        <f t="shared" si="1"/>
        <v>22:55:45</v>
      </c>
      <c r="I45" s="8" t="str">
        <f t="shared" si="2"/>
        <v>Evening</v>
      </c>
      <c r="J45" t="s">
        <v>2370</v>
      </c>
      <c r="K45" t="s">
        <v>2370</v>
      </c>
      <c r="L45">
        <v>69</v>
      </c>
      <c r="M45">
        <v>2</v>
      </c>
      <c r="N45">
        <v>33</v>
      </c>
      <c r="O45" s="4">
        <f t="shared" si="3"/>
        <v>104</v>
      </c>
      <c r="P45" s="5" t="str">
        <f t="shared" si="4"/>
        <v>High engagement</v>
      </c>
      <c r="Q45" t="b">
        <v>1</v>
      </c>
      <c r="R45" t="b">
        <v>0</v>
      </c>
      <c r="S45" t="b">
        <v>0</v>
      </c>
      <c r="T45" s="24" t="str">
        <f t="shared" si="5"/>
        <v>Photo</v>
      </c>
    </row>
    <row r="46" spans="1:20" hidden="1" x14ac:dyDescent="0.2">
      <c r="A46" t="s">
        <v>7147</v>
      </c>
      <c r="B46" t="s">
        <v>2365</v>
      </c>
      <c r="C46" t="s">
        <v>2366</v>
      </c>
      <c r="D46" t="s">
        <v>7148</v>
      </c>
      <c r="E46" t="s">
        <v>7149</v>
      </c>
      <c r="F46" t="str">
        <f>IF(Table2[[#This Row],[Date posted]]&lt; DATE(2015,9,18),"Before Crisis","During Crisis")</f>
        <v>Before Crisis</v>
      </c>
      <c r="G46" s="27">
        <f t="shared" si="0"/>
        <v>42176</v>
      </c>
      <c r="H46" s="7" t="str">
        <f t="shared" si="1"/>
        <v>22:21:10</v>
      </c>
      <c r="I46" s="8" t="str">
        <f t="shared" si="2"/>
        <v>Evening</v>
      </c>
      <c r="J46" t="s">
        <v>2370</v>
      </c>
      <c r="K46" t="s">
        <v>2370</v>
      </c>
      <c r="L46">
        <v>35</v>
      </c>
      <c r="M46">
        <v>2</v>
      </c>
      <c r="N46">
        <v>32</v>
      </c>
      <c r="O46" s="4">
        <f t="shared" si="3"/>
        <v>69</v>
      </c>
      <c r="P46" s="5" t="str">
        <f t="shared" si="4"/>
        <v>High engagement</v>
      </c>
      <c r="Q46" t="b">
        <v>0</v>
      </c>
      <c r="R46" t="b">
        <v>1</v>
      </c>
      <c r="S46" t="b">
        <v>0</v>
      </c>
      <c r="T46" s="24" t="str">
        <f t="shared" si="5"/>
        <v>Video</v>
      </c>
    </row>
    <row r="47" spans="1:20" hidden="1" x14ac:dyDescent="0.2">
      <c r="A47" t="s">
        <v>6460</v>
      </c>
      <c r="B47" t="s">
        <v>2365</v>
      </c>
      <c r="C47" t="s">
        <v>2366</v>
      </c>
      <c r="D47" t="s">
        <v>6461</v>
      </c>
      <c r="E47" t="s">
        <v>6462</v>
      </c>
      <c r="F47" t="str">
        <f>IF(Table2[[#This Row],[Date posted]]&lt; DATE(2015,9,18),"Before Crisis","During Crisis")</f>
        <v>Before Crisis</v>
      </c>
      <c r="G47" s="27">
        <f t="shared" si="0"/>
        <v>42199</v>
      </c>
      <c r="H47" s="7" t="str">
        <f t="shared" si="1"/>
        <v>14:09:56</v>
      </c>
      <c r="I47" s="8" t="str">
        <f t="shared" si="2"/>
        <v>Afternoon</v>
      </c>
      <c r="J47" t="s">
        <v>2370</v>
      </c>
      <c r="K47" t="s">
        <v>2370</v>
      </c>
      <c r="L47">
        <v>52</v>
      </c>
      <c r="M47">
        <v>9</v>
      </c>
      <c r="N47">
        <v>31</v>
      </c>
      <c r="O47" s="4">
        <f t="shared" si="3"/>
        <v>92</v>
      </c>
      <c r="P47" s="5" t="str">
        <f t="shared" si="4"/>
        <v>High engagement</v>
      </c>
      <c r="Q47" t="b">
        <v>1</v>
      </c>
      <c r="R47" t="b">
        <v>1</v>
      </c>
      <c r="S47" t="b">
        <v>1</v>
      </c>
      <c r="T47" s="24" t="str">
        <f t="shared" si="5"/>
        <v>Photo</v>
      </c>
    </row>
    <row r="48" spans="1:20" hidden="1" x14ac:dyDescent="0.2">
      <c r="A48" t="s">
        <v>5846</v>
      </c>
      <c r="B48" t="s">
        <v>2365</v>
      </c>
      <c r="C48" t="s">
        <v>2366</v>
      </c>
      <c r="D48" t="s">
        <v>5847</v>
      </c>
      <c r="E48" t="s">
        <v>5848</v>
      </c>
      <c r="F48" t="str">
        <f>IF(Table2[[#This Row],[Date posted]]&lt; DATE(2015,9,18),"Before Crisis","During Crisis")</f>
        <v>Before Crisis</v>
      </c>
      <c r="G48" s="27">
        <f t="shared" si="0"/>
        <v>42217</v>
      </c>
      <c r="H48" s="7" t="str">
        <f t="shared" si="1"/>
        <v>19:44:01</v>
      </c>
      <c r="I48" s="8" t="str">
        <f t="shared" si="2"/>
        <v>Evening</v>
      </c>
      <c r="J48" t="s">
        <v>2370</v>
      </c>
      <c r="K48" t="s">
        <v>2370</v>
      </c>
      <c r="L48">
        <v>61</v>
      </c>
      <c r="M48">
        <v>1</v>
      </c>
      <c r="N48">
        <v>31</v>
      </c>
      <c r="O48" s="4">
        <f t="shared" si="3"/>
        <v>93</v>
      </c>
      <c r="P48" s="5" t="str">
        <f t="shared" si="4"/>
        <v>High engagement</v>
      </c>
      <c r="Q48" t="b">
        <v>1</v>
      </c>
      <c r="R48" t="b">
        <v>0</v>
      </c>
      <c r="S48" t="b">
        <v>0</v>
      </c>
      <c r="T48" s="24" t="str">
        <f t="shared" si="5"/>
        <v>Photo</v>
      </c>
    </row>
    <row r="49" spans="1:20" hidden="1" x14ac:dyDescent="0.2">
      <c r="A49" t="s">
        <v>5843</v>
      </c>
      <c r="B49" t="s">
        <v>2365</v>
      </c>
      <c r="C49" t="s">
        <v>2366</v>
      </c>
      <c r="D49" t="s">
        <v>5844</v>
      </c>
      <c r="E49" t="s">
        <v>5845</v>
      </c>
      <c r="F49" t="str">
        <f>IF(Table2[[#This Row],[Date posted]]&lt; DATE(2015,9,18),"Before Crisis","During Crisis")</f>
        <v>Before Crisis</v>
      </c>
      <c r="G49" s="27">
        <f t="shared" si="0"/>
        <v>42217</v>
      </c>
      <c r="H49" s="7" t="str">
        <f t="shared" si="1"/>
        <v>20:48:14</v>
      </c>
      <c r="I49" s="8" t="str">
        <f t="shared" si="2"/>
        <v>Evening</v>
      </c>
      <c r="J49" t="s">
        <v>2370</v>
      </c>
      <c r="K49" t="s">
        <v>2370</v>
      </c>
      <c r="L49">
        <v>61</v>
      </c>
      <c r="M49">
        <v>2</v>
      </c>
      <c r="N49">
        <v>31</v>
      </c>
      <c r="O49" s="4">
        <f t="shared" si="3"/>
        <v>94</v>
      </c>
      <c r="P49" s="5" t="str">
        <f t="shared" si="4"/>
        <v>High engagement</v>
      </c>
      <c r="Q49" t="b">
        <v>1</v>
      </c>
      <c r="R49" t="b">
        <v>0</v>
      </c>
      <c r="S49" t="b">
        <v>0</v>
      </c>
      <c r="T49" s="24" t="str">
        <f t="shared" si="5"/>
        <v>Photo</v>
      </c>
    </row>
    <row r="50" spans="1:20" hidden="1" x14ac:dyDescent="0.2">
      <c r="A50" t="s">
        <v>7186</v>
      </c>
      <c r="B50" t="s">
        <v>2365</v>
      </c>
      <c r="C50" t="s">
        <v>2366</v>
      </c>
      <c r="D50" t="s">
        <v>7187</v>
      </c>
      <c r="E50" t="s">
        <v>7188</v>
      </c>
      <c r="F50" t="str">
        <f>IF(Table2[[#This Row],[Date posted]]&lt; DATE(2015,9,18),"Before Crisis","During Crisis")</f>
        <v>Before Crisis</v>
      </c>
      <c r="G50" s="27">
        <f t="shared" si="0"/>
        <v>42175</v>
      </c>
      <c r="H50" s="7" t="str">
        <f t="shared" si="1"/>
        <v>23:12:42</v>
      </c>
      <c r="I50" s="8" t="str">
        <f t="shared" si="2"/>
        <v>Evening</v>
      </c>
      <c r="J50" t="s">
        <v>2370</v>
      </c>
      <c r="K50" t="s">
        <v>2370</v>
      </c>
      <c r="L50">
        <v>95</v>
      </c>
      <c r="M50">
        <v>1</v>
      </c>
      <c r="N50">
        <v>30</v>
      </c>
      <c r="O50" s="4">
        <f t="shared" si="3"/>
        <v>126</v>
      </c>
      <c r="P50" s="5" t="str">
        <f t="shared" si="4"/>
        <v>High engagement</v>
      </c>
      <c r="Q50" t="b">
        <v>1</v>
      </c>
      <c r="R50" t="b">
        <v>0</v>
      </c>
      <c r="S50" t="b">
        <v>0</v>
      </c>
      <c r="T50" s="24" t="str">
        <f t="shared" si="5"/>
        <v>Photo</v>
      </c>
    </row>
    <row r="51" spans="1:20" hidden="1" x14ac:dyDescent="0.2">
      <c r="A51" t="s">
        <v>6014</v>
      </c>
      <c r="B51" t="s">
        <v>2365</v>
      </c>
      <c r="C51" t="s">
        <v>2366</v>
      </c>
      <c r="D51" t="s">
        <v>6015</v>
      </c>
      <c r="E51" t="s">
        <v>6016</v>
      </c>
      <c r="F51" t="str">
        <f>IF(Table2[[#This Row],[Date posted]]&lt; DATE(2015,9,18),"Before Crisis","During Crisis")</f>
        <v>Before Crisis</v>
      </c>
      <c r="G51" s="27">
        <f t="shared" si="0"/>
        <v>42210</v>
      </c>
      <c r="H51" s="7" t="str">
        <f t="shared" si="1"/>
        <v>18:43:57</v>
      </c>
      <c r="I51" s="8" t="str">
        <f t="shared" si="2"/>
        <v>Evening</v>
      </c>
      <c r="J51" t="s">
        <v>2370</v>
      </c>
      <c r="K51" t="s">
        <v>2370</v>
      </c>
      <c r="L51">
        <v>93</v>
      </c>
      <c r="M51">
        <v>1</v>
      </c>
      <c r="N51">
        <v>30</v>
      </c>
      <c r="O51" s="4">
        <f t="shared" si="3"/>
        <v>124</v>
      </c>
      <c r="P51" s="5" t="str">
        <f t="shared" si="4"/>
        <v>High engagement</v>
      </c>
      <c r="Q51" t="b">
        <v>1</v>
      </c>
      <c r="R51" t="b">
        <v>0</v>
      </c>
      <c r="S51" t="b">
        <v>0</v>
      </c>
      <c r="T51" s="24" t="str">
        <f t="shared" si="5"/>
        <v>Photo</v>
      </c>
    </row>
    <row r="52" spans="1:20" hidden="1" x14ac:dyDescent="0.2">
      <c r="A52" t="s">
        <v>5828</v>
      </c>
      <c r="B52" t="s">
        <v>2365</v>
      </c>
      <c r="C52" t="s">
        <v>2366</v>
      </c>
      <c r="D52" t="s">
        <v>5829</v>
      </c>
      <c r="E52" t="s">
        <v>5830</v>
      </c>
      <c r="F52" t="str">
        <f>IF(Table2[[#This Row],[Date posted]]&lt; DATE(2015,9,18),"Before Crisis","During Crisis")</f>
        <v>Before Crisis</v>
      </c>
      <c r="G52" s="27">
        <f t="shared" si="0"/>
        <v>42218</v>
      </c>
      <c r="H52" s="7" t="str">
        <f t="shared" si="1"/>
        <v>20:50:44</v>
      </c>
      <c r="I52" s="8" t="str">
        <f t="shared" si="2"/>
        <v>Evening</v>
      </c>
      <c r="J52" t="s">
        <v>2370</v>
      </c>
      <c r="K52" t="s">
        <v>2370</v>
      </c>
      <c r="L52">
        <v>52</v>
      </c>
      <c r="M52">
        <v>1</v>
      </c>
      <c r="N52">
        <v>29</v>
      </c>
      <c r="O52" s="4">
        <f t="shared" si="3"/>
        <v>82</v>
      </c>
      <c r="P52" s="5" t="str">
        <f t="shared" si="4"/>
        <v>High engagement</v>
      </c>
      <c r="Q52" t="b">
        <v>1</v>
      </c>
      <c r="R52" t="b">
        <v>0</v>
      </c>
      <c r="S52" t="b">
        <v>0</v>
      </c>
      <c r="T52" s="24" t="str">
        <f t="shared" si="5"/>
        <v>Photo</v>
      </c>
    </row>
    <row r="53" spans="1:20" hidden="1" x14ac:dyDescent="0.2">
      <c r="A53" t="s">
        <v>7029</v>
      </c>
      <c r="B53" t="s">
        <v>2365</v>
      </c>
      <c r="C53" t="s">
        <v>2366</v>
      </c>
      <c r="D53" t="s">
        <v>7030</v>
      </c>
      <c r="E53" t="s">
        <v>7031</v>
      </c>
      <c r="F53" t="str">
        <f>IF(Table2[[#This Row],[Date posted]]&lt; DATE(2015,9,18),"Before Crisis","During Crisis")</f>
        <v>Before Crisis</v>
      </c>
      <c r="G53" s="27">
        <f t="shared" si="0"/>
        <v>42182</v>
      </c>
      <c r="H53" s="7" t="str">
        <f t="shared" si="1"/>
        <v>19:54:46</v>
      </c>
      <c r="I53" s="8" t="str">
        <f t="shared" si="2"/>
        <v>Evening</v>
      </c>
      <c r="J53" t="s">
        <v>2370</v>
      </c>
      <c r="K53" t="s">
        <v>2370</v>
      </c>
      <c r="L53">
        <v>69</v>
      </c>
      <c r="M53">
        <v>1</v>
      </c>
      <c r="N53">
        <v>28</v>
      </c>
      <c r="O53" s="4">
        <f t="shared" si="3"/>
        <v>98</v>
      </c>
      <c r="P53" s="5" t="str">
        <f t="shared" si="4"/>
        <v>High engagement</v>
      </c>
      <c r="Q53" t="b">
        <v>1</v>
      </c>
      <c r="R53" t="b">
        <v>0</v>
      </c>
      <c r="S53" t="b">
        <v>0</v>
      </c>
      <c r="T53" s="24" t="str">
        <f t="shared" si="5"/>
        <v>Photo</v>
      </c>
    </row>
    <row r="54" spans="1:20" hidden="1" x14ac:dyDescent="0.2">
      <c r="A54" t="s">
        <v>6293</v>
      </c>
      <c r="B54" t="s">
        <v>2365</v>
      </c>
      <c r="C54" t="s">
        <v>2366</v>
      </c>
      <c r="D54" t="s">
        <v>6294</v>
      </c>
      <c r="E54" t="s">
        <v>6295</v>
      </c>
      <c r="F54" t="str">
        <f>IF(Table2[[#This Row],[Date posted]]&lt; DATE(2015,9,18),"Before Crisis","During Crisis")</f>
        <v>Before Crisis</v>
      </c>
      <c r="G54" s="27">
        <f t="shared" si="0"/>
        <v>42202</v>
      </c>
      <c r="H54" s="7" t="str">
        <f t="shared" si="1"/>
        <v>21:58:28</v>
      </c>
      <c r="I54" s="8" t="str">
        <f t="shared" si="2"/>
        <v>Evening</v>
      </c>
      <c r="J54" t="s">
        <v>2370</v>
      </c>
      <c r="K54" t="s">
        <v>2370</v>
      </c>
      <c r="L54">
        <v>68</v>
      </c>
      <c r="M54">
        <v>14</v>
      </c>
      <c r="N54">
        <v>27</v>
      </c>
      <c r="O54" s="4">
        <f t="shared" si="3"/>
        <v>109</v>
      </c>
      <c r="P54" s="5" t="str">
        <f t="shared" si="4"/>
        <v>High engagement</v>
      </c>
      <c r="Q54" t="b">
        <v>1</v>
      </c>
      <c r="R54" t="b">
        <v>0</v>
      </c>
      <c r="S54" t="b">
        <v>0</v>
      </c>
      <c r="T54" s="24" t="str">
        <f t="shared" si="5"/>
        <v>Photo</v>
      </c>
    </row>
    <row r="55" spans="1:20" hidden="1" x14ac:dyDescent="0.2">
      <c r="A55" t="s">
        <v>6005</v>
      </c>
      <c r="B55" t="s">
        <v>2365</v>
      </c>
      <c r="C55" t="s">
        <v>2366</v>
      </c>
      <c r="D55" t="s">
        <v>6006</v>
      </c>
      <c r="E55" t="s">
        <v>6007</v>
      </c>
      <c r="F55" t="str">
        <f>IF(Table2[[#This Row],[Date posted]]&lt; DATE(2015,9,18),"Before Crisis","During Crisis")</f>
        <v>Before Crisis</v>
      </c>
      <c r="G55" s="27">
        <f t="shared" si="0"/>
        <v>42211</v>
      </c>
      <c r="H55" s="7" t="str">
        <f t="shared" si="1"/>
        <v>15:06:37</v>
      </c>
      <c r="I55" s="8" t="str">
        <f t="shared" si="2"/>
        <v>Afternoon</v>
      </c>
      <c r="J55" t="s">
        <v>2370</v>
      </c>
      <c r="K55" t="s">
        <v>2370</v>
      </c>
      <c r="L55">
        <v>44</v>
      </c>
      <c r="M55">
        <v>3</v>
      </c>
      <c r="N55">
        <v>27</v>
      </c>
      <c r="O55" s="4">
        <f t="shared" si="3"/>
        <v>74</v>
      </c>
      <c r="P55" s="5" t="str">
        <f t="shared" si="4"/>
        <v>High engagement</v>
      </c>
      <c r="Q55" t="b">
        <v>1</v>
      </c>
      <c r="R55" t="b">
        <v>0</v>
      </c>
      <c r="S55" t="b">
        <v>0</v>
      </c>
      <c r="T55" s="24" t="str">
        <f t="shared" si="5"/>
        <v>Photo</v>
      </c>
    </row>
    <row r="56" spans="1:20" hidden="1" x14ac:dyDescent="0.2">
      <c r="A56" t="s">
        <v>7150</v>
      </c>
      <c r="B56" t="s">
        <v>2365</v>
      </c>
      <c r="C56" t="s">
        <v>2366</v>
      </c>
      <c r="D56" t="s">
        <v>7151</v>
      </c>
      <c r="E56" t="s">
        <v>7152</v>
      </c>
      <c r="F56" t="str">
        <f>IF(Table2[[#This Row],[Date posted]]&lt; DATE(2015,9,18),"Before Crisis","During Crisis")</f>
        <v>Before Crisis</v>
      </c>
      <c r="G56" s="27">
        <f t="shared" si="0"/>
        <v>42176</v>
      </c>
      <c r="H56" s="7" t="str">
        <f t="shared" si="1"/>
        <v>21:54:35</v>
      </c>
      <c r="I56" s="8" t="str">
        <f t="shared" si="2"/>
        <v>Evening</v>
      </c>
      <c r="J56" t="s">
        <v>2370</v>
      </c>
      <c r="K56" t="s">
        <v>2370</v>
      </c>
      <c r="L56">
        <v>45</v>
      </c>
      <c r="M56">
        <v>3</v>
      </c>
      <c r="N56">
        <v>26</v>
      </c>
      <c r="O56" s="4">
        <f t="shared" si="3"/>
        <v>74</v>
      </c>
      <c r="P56" s="5" t="str">
        <f t="shared" si="4"/>
        <v>High engagement</v>
      </c>
      <c r="Q56" t="b">
        <v>1</v>
      </c>
      <c r="R56" t="b">
        <v>0</v>
      </c>
      <c r="S56" t="b">
        <v>0</v>
      </c>
      <c r="T56" s="24" t="str">
        <f t="shared" si="5"/>
        <v>Photo</v>
      </c>
    </row>
    <row r="57" spans="1:20" hidden="1" x14ac:dyDescent="0.2">
      <c r="A57" t="s">
        <v>7017</v>
      </c>
      <c r="B57" t="s">
        <v>2365</v>
      </c>
      <c r="C57" t="s">
        <v>2366</v>
      </c>
      <c r="D57" t="s">
        <v>7018</v>
      </c>
      <c r="E57" t="s">
        <v>7019</v>
      </c>
      <c r="F57" t="str">
        <f>IF(Table2[[#This Row],[Date posted]]&lt; DATE(2015,9,18),"Before Crisis","During Crisis")</f>
        <v>Before Crisis</v>
      </c>
      <c r="G57" s="27">
        <f t="shared" si="0"/>
        <v>42183</v>
      </c>
      <c r="H57" s="7" t="str">
        <f t="shared" si="1"/>
        <v>20:21:58</v>
      </c>
      <c r="I57" s="8" t="str">
        <f t="shared" si="2"/>
        <v>Evening</v>
      </c>
      <c r="J57" t="s">
        <v>2370</v>
      </c>
      <c r="K57" t="s">
        <v>2370</v>
      </c>
      <c r="L57">
        <v>65</v>
      </c>
      <c r="M57">
        <v>3</v>
      </c>
      <c r="N57">
        <v>26</v>
      </c>
      <c r="O57" s="4">
        <f t="shared" si="3"/>
        <v>94</v>
      </c>
      <c r="P57" s="5" t="str">
        <f t="shared" si="4"/>
        <v>High engagement</v>
      </c>
      <c r="Q57" t="b">
        <v>1</v>
      </c>
      <c r="R57" t="b">
        <v>0</v>
      </c>
      <c r="S57" t="b">
        <v>0</v>
      </c>
      <c r="T57" s="24" t="str">
        <f t="shared" si="5"/>
        <v>Photo</v>
      </c>
    </row>
    <row r="58" spans="1:20" hidden="1" x14ac:dyDescent="0.2">
      <c r="A58" t="s">
        <v>7038</v>
      </c>
      <c r="B58" t="s">
        <v>2365</v>
      </c>
      <c r="C58" t="s">
        <v>2366</v>
      </c>
      <c r="D58" t="s">
        <v>7039</v>
      </c>
      <c r="E58" t="s">
        <v>7040</v>
      </c>
      <c r="F58" t="str">
        <f>IF(Table2[[#This Row],[Date posted]]&lt; DATE(2015,9,18),"Before Crisis","During Crisis")</f>
        <v>Before Crisis</v>
      </c>
      <c r="G58" s="27">
        <f t="shared" si="0"/>
        <v>42181</v>
      </c>
      <c r="H58" s="7" t="str">
        <f t="shared" si="1"/>
        <v>13:55:29</v>
      </c>
      <c r="I58" s="8" t="str">
        <f t="shared" si="2"/>
        <v>Mid-day</v>
      </c>
      <c r="J58" t="s">
        <v>2370</v>
      </c>
      <c r="K58" t="s">
        <v>2370</v>
      </c>
      <c r="L58">
        <v>42</v>
      </c>
      <c r="M58">
        <v>9</v>
      </c>
      <c r="N58">
        <v>25</v>
      </c>
      <c r="O58" s="4">
        <f t="shared" si="3"/>
        <v>76</v>
      </c>
      <c r="P58" s="5" t="str">
        <f t="shared" si="4"/>
        <v>High engagement</v>
      </c>
      <c r="Q58" t="b">
        <v>1</v>
      </c>
      <c r="R58" t="b">
        <v>0</v>
      </c>
      <c r="S58" t="b">
        <v>0</v>
      </c>
      <c r="T58" s="24" t="str">
        <f t="shared" si="5"/>
        <v>Photo</v>
      </c>
    </row>
    <row r="59" spans="1:20" hidden="1" x14ac:dyDescent="0.2">
      <c r="A59" t="s">
        <v>6713</v>
      </c>
      <c r="B59" t="s">
        <v>2365</v>
      </c>
      <c r="C59" t="s">
        <v>2366</v>
      </c>
      <c r="D59" t="s">
        <v>6714</v>
      </c>
      <c r="E59" t="s">
        <v>6715</v>
      </c>
      <c r="F59" t="str">
        <f>IF(Table2[[#This Row],[Date posted]]&lt; DATE(2015,9,18),"Before Crisis","During Crisis")</f>
        <v>Before Crisis</v>
      </c>
      <c r="G59" s="27">
        <f t="shared" si="0"/>
        <v>42190</v>
      </c>
      <c r="H59" s="7" t="str">
        <f t="shared" si="1"/>
        <v>19:38:28</v>
      </c>
      <c r="I59" s="8" t="str">
        <f t="shared" si="2"/>
        <v>Evening</v>
      </c>
      <c r="J59" t="s">
        <v>2370</v>
      </c>
      <c r="K59" t="s">
        <v>2370</v>
      </c>
      <c r="L59">
        <v>43</v>
      </c>
      <c r="M59" s="3">
        <v>0</v>
      </c>
      <c r="N59">
        <v>25</v>
      </c>
      <c r="O59" s="4">
        <f t="shared" si="3"/>
        <v>68</v>
      </c>
      <c r="P59" s="5" t="str">
        <f t="shared" si="4"/>
        <v>High engagement</v>
      </c>
      <c r="Q59" t="b">
        <v>1</v>
      </c>
      <c r="R59" t="b">
        <v>0</v>
      </c>
      <c r="S59" t="b">
        <v>0</v>
      </c>
      <c r="T59" s="24" t="str">
        <f t="shared" si="5"/>
        <v>Photo</v>
      </c>
    </row>
    <row r="60" spans="1:20" hidden="1" x14ac:dyDescent="0.2">
      <c r="A60" t="s">
        <v>6050</v>
      </c>
      <c r="B60" t="s">
        <v>2365</v>
      </c>
      <c r="C60" t="s">
        <v>2366</v>
      </c>
      <c r="D60" t="s">
        <v>6051</v>
      </c>
      <c r="E60" t="s">
        <v>6052</v>
      </c>
      <c r="F60" t="str">
        <f>IF(Table2[[#This Row],[Date posted]]&lt; DATE(2015,9,18),"Before Crisis","During Crisis")</f>
        <v>Before Crisis</v>
      </c>
      <c r="G60" s="27">
        <f t="shared" si="0"/>
        <v>42209</v>
      </c>
      <c r="H60" s="7" t="str">
        <f t="shared" si="1"/>
        <v>19:17:54</v>
      </c>
      <c r="I60" s="8" t="str">
        <f t="shared" si="2"/>
        <v>Evening</v>
      </c>
      <c r="J60" t="s">
        <v>2370</v>
      </c>
      <c r="K60" t="s">
        <v>2370</v>
      </c>
      <c r="L60">
        <v>50</v>
      </c>
      <c r="M60">
        <v>1</v>
      </c>
      <c r="N60">
        <v>25</v>
      </c>
      <c r="O60" s="4">
        <f t="shared" si="3"/>
        <v>76</v>
      </c>
      <c r="P60" s="5" t="str">
        <f t="shared" si="4"/>
        <v>High engagement</v>
      </c>
      <c r="Q60" t="b">
        <v>1</v>
      </c>
      <c r="R60" t="b">
        <v>0</v>
      </c>
      <c r="S60" t="b">
        <v>0</v>
      </c>
      <c r="T60" s="24" t="str">
        <f t="shared" si="5"/>
        <v>Photo</v>
      </c>
    </row>
    <row r="61" spans="1:20" hidden="1" x14ac:dyDescent="0.2">
      <c r="A61" t="s">
        <v>7156</v>
      </c>
      <c r="B61" t="s">
        <v>2365</v>
      </c>
      <c r="C61" t="s">
        <v>2366</v>
      </c>
      <c r="D61" t="s">
        <v>7157</v>
      </c>
      <c r="E61" t="s">
        <v>7158</v>
      </c>
      <c r="F61" t="str">
        <f>IF(Table2[[#This Row],[Date posted]]&lt; DATE(2015,9,18),"Before Crisis","During Crisis")</f>
        <v>Before Crisis</v>
      </c>
      <c r="G61" s="27">
        <f t="shared" si="0"/>
        <v>42176</v>
      </c>
      <c r="H61" s="7" t="str">
        <f t="shared" si="1"/>
        <v>19:00:20</v>
      </c>
      <c r="I61" s="8" t="str">
        <f t="shared" si="2"/>
        <v>Evening</v>
      </c>
      <c r="J61" t="s">
        <v>2370</v>
      </c>
      <c r="K61" t="s">
        <v>2370</v>
      </c>
      <c r="L61">
        <v>39</v>
      </c>
      <c r="M61" s="3">
        <v>0</v>
      </c>
      <c r="N61">
        <v>24</v>
      </c>
      <c r="O61" s="4">
        <f t="shared" si="3"/>
        <v>63</v>
      </c>
      <c r="P61" s="5" t="str">
        <f t="shared" si="4"/>
        <v>High engagement</v>
      </c>
      <c r="Q61" t="b">
        <v>1</v>
      </c>
      <c r="R61" t="b">
        <v>0</v>
      </c>
      <c r="S61" t="b">
        <v>0</v>
      </c>
      <c r="T61" s="24" t="str">
        <f t="shared" si="5"/>
        <v>Photo</v>
      </c>
    </row>
    <row r="62" spans="1:20" hidden="1" x14ac:dyDescent="0.2">
      <c r="A62" t="s">
        <v>6734</v>
      </c>
      <c r="B62" t="s">
        <v>2365</v>
      </c>
      <c r="C62" t="s">
        <v>2366</v>
      </c>
      <c r="D62" t="s">
        <v>6735</v>
      </c>
      <c r="E62" t="s">
        <v>6736</v>
      </c>
      <c r="F62" t="str">
        <f>IF(Table2[[#This Row],[Date posted]]&lt; DATE(2015,9,18),"Before Crisis","During Crisis")</f>
        <v>Before Crisis</v>
      </c>
      <c r="G62" s="27">
        <f t="shared" si="0"/>
        <v>42190</v>
      </c>
      <c r="H62" s="7" t="str">
        <f t="shared" si="1"/>
        <v>13:31:57</v>
      </c>
      <c r="I62" s="8" t="str">
        <f t="shared" si="2"/>
        <v>Mid-day</v>
      </c>
      <c r="J62" t="s">
        <v>2370</v>
      </c>
      <c r="K62" t="s">
        <v>2370</v>
      </c>
      <c r="L62">
        <v>45</v>
      </c>
      <c r="M62" s="3">
        <v>0</v>
      </c>
      <c r="N62">
        <v>24</v>
      </c>
      <c r="O62" s="4">
        <f t="shared" si="3"/>
        <v>69</v>
      </c>
      <c r="P62" s="5" t="str">
        <f t="shared" si="4"/>
        <v>High engagement</v>
      </c>
      <c r="Q62" t="b">
        <v>1</v>
      </c>
      <c r="R62" t="b">
        <v>0</v>
      </c>
      <c r="S62" t="b">
        <v>0</v>
      </c>
      <c r="T62" s="24" t="str">
        <f t="shared" si="5"/>
        <v>Photo</v>
      </c>
    </row>
    <row r="63" spans="1:20" hidden="1" x14ac:dyDescent="0.2">
      <c r="A63" t="s">
        <v>6242</v>
      </c>
      <c r="B63" t="s">
        <v>2365</v>
      </c>
      <c r="C63" t="s">
        <v>2366</v>
      </c>
      <c r="D63" t="s">
        <v>6243</v>
      </c>
      <c r="E63" t="s">
        <v>6244</v>
      </c>
      <c r="F63" t="str">
        <f>IF(Table2[[#This Row],[Date posted]]&lt; DATE(2015,9,18),"Before Crisis","During Crisis")</f>
        <v>Before Crisis</v>
      </c>
      <c r="G63" s="27">
        <f t="shared" si="0"/>
        <v>42204</v>
      </c>
      <c r="H63" s="7" t="str">
        <f t="shared" si="1"/>
        <v>15:32:56</v>
      </c>
      <c r="I63" s="8" t="str">
        <f t="shared" si="2"/>
        <v>Afternoon</v>
      </c>
      <c r="J63" t="s">
        <v>2370</v>
      </c>
      <c r="K63" t="s">
        <v>2370</v>
      </c>
      <c r="L63">
        <v>42</v>
      </c>
      <c r="M63">
        <v>1</v>
      </c>
      <c r="N63">
        <v>24</v>
      </c>
      <c r="O63" s="4">
        <f t="shared" si="3"/>
        <v>67</v>
      </c>
      <c r="P63" s="5" t="str">
        <f t="shared" si="4"/>
        <v>High engagement</v>
      </c>
      <c r="Q63" t="b">
        <v>1</v>
      </c>
      <c r="R63" t="b">
        <v>0</v>
      </c>
      <c r="S63" t="b">
        <v>0</v>
      </c>
      <c r="T63" s="24" t="str">
        <f t="shared" si="5"/>
        <v>Photo</v>
      </c>
    </row>
    <row r="64" spans="1:20" hidden="1" x14ac:dyDescent="0.2">
      <c r="A64" t="s">
        <v>6053</v>
      </c>
      <c r="B64" t="s">
        <v>2365</v>
      </c>
      <c r="C64" t="s">
        <v>2366</v>
      </c>
      <c r="D64" t="s">
        <v>6054</v>
      </c>
      <c r="E64" t="s">
        <v>6055</v>
      </c>
      <c r="F64" t="str">
        <f>IF(Table2[[#This Row],[Date posted]]&lt; DATE(2015,9,18),"Before Crisis","During Crisis")</f>
        <v>Before Crisis</v>
      </c>
      <c r="G64" s="27">
        <f t="shared" si="0"/>
        <v>42209</v>
      </c>
      <c r="H64" s="7" t="str">
        <f t="shared" si="1"/>
        <v>18:28:24</v>
      </c>
      <c r="I64" s="8" t="str">
        <f t="shared" si="2"/>
        <v>Evening</v>
      </c>
      <c r="J64" t="s">
        <v>2370</v>
      </c>
      <c r="K64" t="s">
        <v>2370</v>
      </c>
      <c r="L64">
        <v>38</v>
      </c>
      <c r="M64" s="3">
        <v>0</v>
      </c>
      <c r="N64">
        <v>24</v>
      </c>
      <c r="O64" s="4">
        <f t="shared" si="3"/>
        <v>62</v>
      </c>
      <c r="P64" s="5" t="str">
        <f t="shared" si="4"/>
        <v>High engagement</v>
      </c>
      <c r="Q64" t="b">
        <v>1</v>
      </c>
      <c r="R64" t="b">
        <v>0</v>
      </c>
      <c r="S64" t="b">
        <v>0</v>
      </c>
      <c r="T64" s="24" t="str">
        <f t="shared" si="5"/>
        <v>Photo</v>
      </c>
    </row>
    <row r="65" spans="1:20" hidden="1" x14ac:dyDescent="0.2">
      <c r="A65" t="s">
        <v>5005</v>
      </c>
      <c r="B65" t="s">
        <v>2365</v>
      </c>
      <c r="C65" t="s">
        <v>2366</v>
      </c>
      <c r="D65" t="s">
        <v>5006</v>
      </c>
      <c r="E65" t="s">
        <v>5007</v>
      </c>
      <c r="F65" t="str">
        <f>IF(Table2[[#This Row],[Date posted]]&lt; DATE(2015,9,18),"Before Crisis","During Crisis")</f>
        <v>Before Crisis</v>
      </c>
      <c r="G65" s="27">
        <f t="shared" si="0"/>
        <v>42258</v>
      </c>
      <c r="H65" s="7" t="str">
        <f t="shared" si="1"/>
        <v>22:10:01</v>
      </c>
      <c r="I65" s="8" t="str">
        <f t="shared" si="2"/>
        <v>Evening</v>
      </c>
      <c r="J65" t="s">
        <v>2370</v>
      </c>
      <c r="K65" t="s">
        <v>2370</v>
      </c>
      <c r="L65">
        <v>47</v>
      </c>
      <c r="M65">
        <v>1</v>
      </c>
      <c r="N65">
        <v>24</v>
      </c>
      <c r="O65" s="4">
        <f t="shared" si="3"/>
        <v>72</v>
      </c>
      <c r="P65" s="5" t="str">
        <f t="shared" si="4"/>
        <v>High engagement</v>
      </c>
      <c r="Q65" t="b">
        <v>1</v>
      </c>
      <c r="R65" t="b">
        <v>0</v>
      </c>
      <c r="S65" t="b">
        <v>0</v>
      </c>
      <c r="T65" s="24" t="str">
        <f t="shared" si="5"/>
        <v>Photo</v>
      </c>
    </row>
    <row r="66" spans="1:20" x14ac:dyDescent="0.2">
      <c r="A66" t="s">
        <v>7032</v>
      </c>
      <c r="B66" t="s">
        <v>2365</v>
      </c>
      <c r="C66" t="s">
        <v>2366</v>
      </c>
      <c r="D66" t="s">
        <v>7033</v>
      </c>
      <c r="E66" t="s">
        <v>7034</v>
      </c>
      <c r="F66" t="str">
        <f>IF(Table2[[#This Row],[Date posted]]&lt; DATE(2015,9,18),"Before Crisis","During Crisis")</f>
        <v>Before Crisis</v>
      </c>
      <c r="G66" s="27">
        <f t="shared" ref="G66:G129" si="6">DATEVALUE(LEFT(E66,10))</f>
        <v>42182</v>
      </c>
      <c r="H66" s="7" t="str">
        <f t="shared" ref="H66:H129" si="7">MID(E66,12,8)</f>
        <v>00:09:18</v>
      </c>
      <c r="I66" s="8" t="str">
        <f t="shared" ref="I66:I129" si="8">IF(HOUR(H66)&lt;7,"Early morning",
IF(HOUR(H66)&lt;11,"Morning",
IF(HOUR(H66)&lt;14,"Mid-day",
IF(HOUR(H66)&lt;18,"Afternoon","Evening"))))</f>
        <v>Early morning</v>
      </c>
      <c r="J66" t="s">
        <v>2370</v>
      </c>
      <c r="K66" t="s">
        <v>2370</v>
      </c>
      <c r="L66">
        <v>61</v>
      </c>
      <c r="M66">
        <v>2</v>
      </c>
      <c r="N66">
        <v>23</v>
      </c>
      <c r="O66" s="4">
        <f t="shared" ref="O66:O129" si="9">L66+M66+N66</f>
        <v>86</v>
      </c>
      <c r="P66" s="5" t="str">
        <f t="shared" ref="P66:P129" si="10">IF(O66&lt;1,"No engagement", IF(O66&lt;5,"Low engagement", IF(O66&lt;10,"Moderate engagement", "High engagement")))</f>
        <v>High engagement</v>
      </c>
      <c r="Q66" t="b">
        <v>1</v>
      </c>
      <c r="R66" t="b">
        <v>0</v>
      </c>
      <c r="S66" t="b">
        <v>0</v>
      </c>
      <c r="T66" s="24" t="str">
        <f t="shared" ref="T66:T129" si="11">IF(Q66=TRUE,"Photo",
    IF(R66=TRUE,"Video",
        IF(S66=TRUE,"Link","Text only")))</f>
        <v>Photo</v>
      </c>
    </row>
    <row r="67" spans="1:20" hidden="1" x14ac:dyDescent="0.2">
      <c r="A67" t="s">
        <v>6725</v>
      </c>
      <c r="B67" t="s">
        <v>2365</v>
      </c>
      <c r="C67" t="s">
        <v>2366</v>
      </c>
      <c r="D67" t="s">
        <v>6726</v>
      </c>
      <c r="E67" t="s">
        <v>6727</v>
      </c>
      <c r="F67" t="str">
        <f>IF(Table2[[#This Row],[Date posted]]&lt; DATE(2015,9,18),"Before Crisis","During Crisis")</f>
        <v>Before Crisis</v>
      </c>
      <c r="G67" s="27">
        <f t="shared" si="6"/>
        <v>42190</v>
      </c>
      <c r="H67" s="7" t="str">
        <f t="shared" si="7"/>
        <v>15:17:21</v>
      </c>
      <c r="I67" s="8" t="str">
        <f t="shared" si="8"/>
        <v>Afternoon</v>
      </c>
      <c r="J67" t="s">
        <v>2370</v>
      </c>
      <c r="K67" t="s">
        <v>2370</v>
      </c>
      <c r="L67">
        <v>37</v>
      </c>
      <c r="M67">
        <v>3</v>
      </c>
      <c r="N67">
        <v>23</v>
      </c>
      <c r="O67" s="4">
        <f t="shared" si="9"/>
        <v>63</v>
      </c>
      <c r="P67" s="5" t="str">
        <f t="shared" si="10"/>
        <v>High engagement</v>
      </c>
      <c r="Q67" t="b">
        <v>1</v>
      </c>
      <c r="R67" t="b">
        <v>0</v>
      </c>
      <c r="S67" t="b">
        <v>0</v>
      </c>
      <c r="T67" s="24" t="str">
        <f t="shared" si="11"/>
        <v>Photo</v>
      </c>
    </row>
    <row r="68" spans="1:20" hidden="1" x14ac:dyDescent="0.2">
      <c r="A68" t="s">
        <v>6280</v>
      </c>
      <c r="B68" t="s">
        <v>2365</v>
      </c>
      <c r="C68" t="s">
        <v>2366</v>
      </c>
      <c r="D68" t="s">
        <v>6281</v>
      </c>
      <c r="E68" t="s">
        <v>6282</v>
      </c>
      <c r="F68" t="str">
        <f>IF(Table2[[#This Row],[Date posted]]&lt; DATE(2015,9,18),"Before Crisis","During Crisis")</f>
        <v>Before Crisis</v>
      </c>
      <c r="G68" s="27">
        <f t="shared" si="6"/>
        <v>42203</v>
      </c>
      <c r="H68" s="7" t="str">
        <f t="shared" si="7"/>
        <v>13:51:29</v>
      </c>
      <c r="I68" s="8" t="str">
        <f t="shared" si="8"/>
        <v>Mid-day</v>
      </c>
      <c r="J68" t="s">
        <v>2370</v>
      </c>
      <c r="K68" t="s">
        <v>2370</v>
      </c>
      <c r="L68">
        <v>56</v>
      </c>
      <c r="M68">
        <v>3</v>
      </c>
      <c r="N68">
        <v>23</v>
      </c>
      <c r="O68" s="4">
        <f t="shared" si="9"/>
        <v>82</v>
      </c>
      <c r="P68" s="5" t="str">
        <f t="shared" si="10"/>
        <v>High engagement</v>
      </c>
      <c r="Q68" t="b">
        <v>1</v>
      </c>
      <c r="R68" t="b">
        <v>0</v>
      </c>
      <c r="S68" t="b">
        <v>0</v>
      </c>
      <c r="T68" s="24" t="str">
        <f t="shared" si="11"/>
        <v>Photo</v>
      </c>
    </row>
    <row r="69" spans="1:20" hidden="1" x14ac:dyDescent="0.2">
      <c r="A69" t="s">
        <v>6265</v>
      </c>
      <c r="B69" t="s">
        <v>2365</v>
      </c>
      <c r="C69" t="s">
        <v>2366</v>
      </c>
      <c r="D69" t="s">
        <v>6266</v>
      </c>
      <c r="E69" t="s">
        <v>6267</v>
      </c>
      <c r="F69" t="str">
        <f>IF(Table2[[#This Row],[Date posted]]&lt; DATE(2015,9,18),"Before Crisis","During Crisis")</f>
        <v>Before Crisis</v>
      </c>
      <c r="G69" s="27">
        <f t="shared" si="6"/>
        <v>42203</v>
      </c>
      <c r="H69" s="7" t="str">
        <f t="shared" si="7"/>
        <v>19:48:59</v>
      </c>
      <c r="I69" s="8" t="str">
        <f t="shared" si="8"/>
        <v>Evening</v>
      </c>
      <c r="J69" t="s">
        <v>2370</v>
      </c>
      <c r="K69" t="s">
        <v>2370</v>
      </c>
      <c r="L69">
        <v>54</v>
      </c>
      <c r="M69" s="3">
        <v>0</v>
      </c>
      <c r="N69">
        <v>23</v>
      </c>
      <c r="O69" s="4">
        <f t="shared" si="9"/>
        <v>77</v>
      </c>
      <c r="P69" s="5" t="str">
        <f t="shared" si="10"/>
        <v>High engagement</v>
      </c>
      <c r="Q69" t="b">
        <v>1</v>
      </c>
      <c r="R69" t="b">
        <v>0</v>
      </c>
      <c r="S69" t="b">
        <v>0</v>
      </c>
      <c r="T69" s="24" t="str">
        <f t="shared" si="11"/>
        <v>Photo</v>
      </c>
    </row>
    <row r="70" spans="1:20" hidden="1" x14ac:dyDescent="0.2">
      <c r="A70" t="s">
        <v>5712</v>
      </c>
      <c r="B70" t="s">
        <v>2365</v>
      </c>
      <c r="C70" t="s">
        <v>2366</v>
      </c>
      <c r="D70" t="s">
        <v>5713</v>
      </c>
      <c r="E70" t="s">
        <v>5714</v>
      </c>
      <c r="F70" t="str">
        <f>IF(Table2[[#This Row],[Date posted]]&lt; DATE(2015,9,18),"Before Crisis","During Crisis")</f>
        <v>Before Crisis</v>
      </c>
      <c r="G70" s="27">
        <f t="shared" si="6"/>
        <v>42225</v>
      </c>
      <c r="H70" s="7" t="str">
        <f t="shared" si="7"/>
        <v>15:45:49</v>
      </c>
      <c r="I70" s="8" t="str">
        <f t="shared" si="8"/>
        <v>Afternoon</v>
      </c>
      <c r="J70" t="s">
        <v>2370</v>
      </c>
      <c r="K70" t="s">
        <v>2370</v>
      </c>
      <c r="L70">
        <v>53</v>
      </c>
      <c r="M70" s="3">
        <v>0</v>
      </c>
      <c r="N70">
        <v>23</v>
      </c>
      <c r="O70" s="4">
        <f t="shared" si="9"/>
        <v>76</v>
      </c>
      <c r="P70" s="5" t="str">
        <f t="shared" si="10"/>
        <v>High engagement</v>
      </c>
      <c r="Q70" t="b">
        <v>1</v>
      </c>
      <c r="R70" t="b">
        <v>0</v>
      </c>
      <c r="S70" t="b">
        <v>0</v>
      </c>
      <c r="T70" s="24" t="str">
        <f t="shared" si="11"/>
        <v>Photo</v>
      </c>
    </row>
    <row r="71" spans="1:20" hidden="1" x14ac:dyDescent="0.2">
      <c r="A71" t="s">
        <v>6804</v>
      </c>
      <c r="B71" t="s">
        <v>2365</v>
      </c>
      <c r="C71" t="s">
        <v>2366</v>
      </c>
      <c r="D71" t="s">
        <v>6805</v>
      </c>
      <c r="E71" t="s">
        <v>6806</v>
      </c>
      <c r="F71" t="str">
        <f>IF(Table2[[#This Row],[Date posted]]&lt; DATE(2015,9,18),"Before Crisis","During Crisis")</f>
        <v>Before Crisis</v>
      </c>
      <c r="G71" s="27">
        <f t="shared" si="6"/>
        <v>42188</v>
      </c>
      <c r="H71" s="7" t="str">
        <f t="shared" si="7"/>
        <v>13:06:17</v>
      </c>
      <c r="I71" s="8" t="str">
        <f t="shared" si="8"/>
        <v>Mid-day</v>
      </c>
      <c r="J71" t="s">
        <v>2370</v>
      </c>
      <c r="K71" t="s">
        <v>2370</v>
      </c>
      <c r="L71">
        <v>45</v>
      </c>
      <c r="M71">
        <v>2</v>
      </c>
      <c r="N71">
        <v>22</v>
      </c>
      <c r="O71" s="4">
        <f t="shared" si="9"/>
        <v>69</v>
      </c>
      <c r="P71" s="5" t="str">
        <f t="shared" si="10"/>
        <v>High engagement</v>
      </c>
      <c r="Q71" t="b">
        <v>1</v>
      </c>
      <c r="R71" t="b">
        <v>0</v>
      </c>
      <c r="S71" t="b">
        <v>0</v>
      </c>
      <c r="T71" s="24" t="str">
        <f t="shared" si="11"/>
        <v>Photo</v>
      </c>
    </row>
    <row r="72" spans="1:20" hidden="1" x14ac:dyDescent="0.2">
      <c r="A72" t="s">
        <v>6324</v>
      </c>
      <c r="B72" t="s">
        <v>2365</v>
      </c>
      <c r="C72" t="s">
        <v>2366</v>
      </c>
      <c r="D72" t="s">
        <v>6325</v>
      </c>
      <c r="E72" t="s">
        <v>6326</v>
      </c>
      <c r="F72" t="str">
        <f>IF(Table2[[#This Row],[Date posted]]&lt; DATE(2015,9,18),"Before Crisis","During Crisis")</f>
        <v>Before Crisis</v>
      </c>
      <c r="G72" s="27">
        <f t="shared" si="6"/>
        <v>42202</v>
      </c>
      <c r="H72" s="7" t="str">
        <f t="shared" si="7"/>
        <v>16:41:35</v>
      </c>
      <c r="I72" s="8" t="str">
        <f t="shared" si="8"/>
        <v>Afternoon</v>
      </c>
      <c r="J72" t="s">
        <v>2370</v>
      </c>
      <c r="K72" t="s">
        <v>2370</v>
      </c>
      <c r="L72">
        <v>68</v>
      </c>
      <c r="M72" s="3">
        <v>0</v>
      </c>
      <c r="N72">
        <v>22</v>
      </c>
      <c r="O72" s="4">
        <f t="shared" si="9"/>
        <v>90</v>
      </c>
      <c r="P72" s="5" t="str">
        <f t="shared" si="10"/>
        <v>High engagement</v>
      </c>
      <c r="Q72" t="b">
        <v>1</v>
      </c>
      <c r="R72" t="b">
        <v>0</v>
      </c>
      <c r="S72" t="b">
        <v>0</v>
      </c>
      <c r="T72" s="24" t="str">
        <f t="shared" si="11"/>
        <v>Photo</v>
      </c>
    </row>
    <row r="73" spans="1:20" hidden="1" x14ac:dyDescent="0.2">
      <c r="A73" t="s">
        <v>6302</v>
      </c>
      <c r="B73" t="s">
        <v>2365</v>
      </c>
      <c r="C73" t="s">
        <v>2366</v>
      </c>
      <c r="D73" t="s">
        <v>6303</v>
      </c>
      <c r="E73" t="s">
        <v>6304</v>
      </c>
      <c r="F73" t="str">
        <f>IF(Table2[[#This Row],[Date posted]]&lt; DATE(2015,9,18),"Before Crisis","During Crisis")</f>
        <v>Before Crisis</v>
      </c>
      <c r="G73" s="27">
        <f t="shared" si="6"/>
        <v>42202</v>
      </c>
      <c r="H73" s="7" t="str">
        <f t="shared" si="7"/>
        <v>19:27:17</v>
      </c>
      <c r="I73" s="8" t="str">
        <f t="shared" si="8"/>
        <v>Evening</v>
      </c>
      <c r="J73" t="s">
        <v>2370</v>
      </c>
      <c r="K73" t="s">
        <v>2370</v>
      </c>
      <c r="L73">
        <v>49</v>
      </c>
      <c r="M73">
        <v>2</v>
      </c>
      <c r="N73">
        <v>22</v>
      </c>
      <c r="O73" s="4">
        <f t="shared" si="9"/>
        <v>73</v>
      </c>
      <c r="P73" s="5" t="str">
        <f t="shared" si="10"/>
        <v>High engagement</v>
      </c>
      <c r="Q73" t="b">
        <v>1</v>
      </c>
      <c r="R73" t="b">
        <v>0</v>
      </c>
      <c r="S73" t="b">
        <v>0</v>
      </c>
      <c r="T73" s="24" t="str">
        <f t="shared" si="11"/>
        <v>Photo</v>
      </c>
    </row>
    <row r="74" spans="1:20" hidden="1" x14ac:dyDescent="0.2">
      <c r="A74" t="s">
        <v>5555</v>
      </c>
      <c r="B74" t="s">
        <v>2365</v>
      </c>
      <c r="C74" t="s">
        <v>2366</v>
      </c>
      <c r="D74" t="s">
        <v>5556</v>
      </c>
      <c r="E74" t="s">
        <v>5557</v>
      </c>
      <c r="F74" t="str">
        <f>IF(Table2[[#This Row],[Date posted]]&lt; DATE(2015,9,18),"Before Crisis","During Crisis")</f>
        <v>Before Crisis</v>
      </c>
      <c r="G74" s="27">
        <f t="shared" si="6"/>
        <v>42231</v>
      </c>
      <c r="H74" s="7" t="str">
        <f t="shared" si="7"/>
        <v>20:14:54</v>
      </c>
      <c r="I74" s="8" t="str">
        <f t="shared" si="8"/>
        <v>Evening</v>
      </c>
      <c r="J74" t="s">
        <v>2370</v>
      </c>
      <c r="K74" t="s">
        <v>2370</v>
      </c>
      <c r="L74">
        <v>45</v>
      </c>
      <c r="M74">
        <v>1</v>
      </c>
      <c r="N74">
        <v>22</v>
      </c>
      <c r="O74" s="4">
        <f t="shared" si="9"/>
        <v>68</v>
      </c>
      <c r="P74" s="5" t="str">
        <f t="shared" si="10"/>
        <v>High engagement</v>
      </c>
      <c r="Q74" t="b">
        <v>1</v>
      </c>
      <c r="R74" t="b">
        <v>0</v>
      </c>
      <c r="S74" t="b">
        <v>0</v>
      </c>
      <c r="T74" s="24" t="str">
        <f t="shared" si="11"/>
        <v>Photo</v>
      </c>
    </row>
    <row r="75" spans="1:20" hidden="1" x14ac:dyDescent="0.2">
      <c r="A75" t="s">
        <v>5552</v>
      </c>
      <c r="B75" t="s">
        <v>2365</v>
      </c>
      <c r="C75" t="s">
        <v>2366</v>
      </c>
      <c r="D75" t="s">
        <v>5553</v>
      </c>
      <c r="E75" t="s">
        <v>5554</v>
      </c>
      <c r="F75" t="str">
        <f>IF(Table2[[#This Row],[Date posted]]&lt; DATE(2015,9,18),"Before Crisis","During Crisis")</f>
        <v>Before Crisis</v>
      </c>
      <c r="G75" s="27">
        <f t="shared" si="6"/>
        <v>42232</v>
      </c>
      <c r="H75" s="7" t="str">
        <f t="shared" si="7"/>
        <v>17:15:46</v>
      </c>
      <c r="I75" s="8" t="str">
        <f t="shared" si="8"/>
        <v>Afternoon</v>
      </c>
      <c r="J75" t="s">
        <v>2370</v>
      </c>
      <c r="K75" t="s">
        <v>2370</v>
      </c>
      <c r="L75">
        <v>61</v>
      </c>
      <c r="M75">
        <v>2</v>
      </c>
      <c r="N75">
        <v>22</v>
      </c>
      <c r="O75" s="4">
        <f t="shared" si="9"/>
        <v>85</v>
      </c>
      <c r="P75" s="5" t="str">
        <f t="shared" si="10"/>
        <v>High engagement</v>
      </c>
      <c r="Q75" t="b">
        <v>1</v>
      </c>
      <c r="R75" t="b">
        <v>0</v>
      </c>
      <c r="S75" t="b">
        <v>0</v>
      </c>
      <c r="T75" s="24" t="str">
        <f t="shared" si="11"/>
        <v>Photo</v>
      </c>
    </row>
    <row r="76" spans="1:20" hidden="1" x14ac:dyDescent="0.2">
      <c r="A76" t="s">
        <v>4996</v>
      </c>
      <c r="B76" t="s">
        <v>2365</v>
      </c>
      <c r="C76" t="s">
        <v>2366</v>
      </c>
      <c r="D76" t="s">
        <v>4997</v>
      </c>
      <c r="E76" t="s">
        <v>4998</v>
      </c>
      <c r="F76" t="str">
        <f>IF(Table2[[#This Row],[Date posted]]&lt; DATE(2015,9,18),"Before Crisis","During Crisis")</f>
        <v>Before Crisis</v>
      </c>
      <c r="G76" s="27">
        <f t="shared" si="6"/>
        <v>42259</v>
      </c>
      <c r="H76" s="7" t="str">
        <f t="shared" si="7"/>
        <v>18:38:43</v>
      </c>
      <c r="I76" s="8" t="str">
        <f t="shared" si="8"/>
        <v>Evening</v>
      </c>
      <c r="J76" t="s">
        <v>2370</v>
      </c>
      <c r="K76" t="s">
        <v>2370</v>
      </c>
      <c r="L76">
        <v>37</v>
      </c>
      <c r="M76">
        <v>1</v>
      </c>
      <c r="N76">
        <v>22</v>
      </c>
      <c r="O76" s="4">
        <f t="shared" si="9"/>
        <v>60</v>
      </c>
      <c r="P76" s="5" t="str">
        <f t="shared" si="10"/>
        <v>High engagement</v>
      </c>
      <c r="Q76" t="b">
        <v>1</v>
      </c>
      <c r="R76" t="b">
        <v>0</v>
      </c>
      <c r="S76" t="b">
        <v>0</v>
      </c>
      <c r="T76" s="24" t="str">
        <f t="shared" si="11"/>
        <v>Photo</v>
      </c>
    </row>
    <row r="77" spans="1:20" hidden="1" x14ac:dyDescent="0.2">
      <c r="A77" t="s">
        <v>7257</v>
      </c>
      <c r="B77" t="s">
        <v>2365</v>
      </c>
      <c r="C77" t="s">
        <v>2366</v>
      </c>
      <c r="D77" t="s">
        <v>7258</v>
      </c>
      <c r="E77" t="s">
        <v>7259</v>
      </c>
      <c r="F77" t="str">
        <f>IF(Table2[[#This Row],[Date posted]]&lt; DATE(2015,9,18),"Before Crisis","During Crisis")</f>
        <v>Before Crisis</v>
      </c>
      <c r="G77" s="27">
        <f t="shared" si="6"/>
        <v>42174</v>
      </c>
      <c r="H77" s="7" t="str">
        <f t="shared" si="7"/>
        <v>16:43:19</v>
      </c>
      <c r="I77" s="8" t="str">
        <f t="shared" si="8"/>
        <v>Afternoon</v>
      </c>
      <c r="J77" t="s">
        <v>2370</v>
      </c>
      <c r="K77" t="s">
        <v>2370</v>
      </c>
      <c r="L77">
        <v>46</v>
      </c>
      <c r="M77" s="3">
        <v>0</v>
      </c>
      <c r="N77">
        <v>21</v>
      </c>
      <c r="O77" s="4">
        <f t="shared" si="9"/>
        <v>67</v>
      </c>
      <c r="P77" s="5" t="str">
        <f t="shared" si="10"/>
        <v>High engagement</v>
      </c>
      <c r="Q77" t="b">
        <v>1</v>
      </c>
      <c r="R77" t="b">
        <v>0</v>
      </c>
      <c r="S77" t="b">
        <v>0</v>
      </c>
      <c r="T77" s="24" t="str">
        <f t="shared" si="11"/>
        <v>Photo</v>
      </c>
    </row>
    <row r="78" spans="1:20" hidden="1" x14ac:dyDescent="0.2">
      <c r="A78" t="s">
        <v>6260</v>
      </c>
      <c r="B78" t="s">
        <v>2365</v>
      </c>
      <c r="C78" t="s">
        <v>2366</v>
      </c>
      <c r="D78" t="s">
        <v>6261</v>
      </c>
      <c r="E78" t="s">
        <v>6262</v>
      </c>
      <c r="F78" t="str">
        <f>IF(Table2[[#This Row],[Date posted]]&lt; DATE(2015,9,18),"Before Crisis","During Crisis")</f>
        <v>Before Crisis</v>
      </c>
      <c r="G78" s="27">
        <f t="shared" si="6"/>
        <v>42203</v>
      </c>
      <c r="H78" s="7" t="str">
        <f t="shared" si="7"/>
        <v>21:08:28</v>
      </c>
      <c r="I78" s="8" t="str">
        <f t="shared" si="8"/>
        <v>Evening</v>
      </c>
      <c r="J78" t="s">
        <v>2370</v>
      </c>
      <c r="K78" t="s">
        <v>2370</v>
      </c>
      <c r="L78">
        <v>45</v>
      </c>
      <c r="M78">
        <v>1</v>
      </c>
      <c r="N78">
        <v>21</v>
      </c>
      <c r="O78" s="4">
        <f t="shared" si="9"/>
        <v>67</v>
      </c>
      <c r="P78" s="5" t="str">
        <f t="shared" si="10"/>
        <v>High engagement</v>
      </c>
      <c r="Q78" t="b">
        <v>1</v>
      </c>
      <c r="R78" t="b">
        <v>0</v>
      </c>
      <c r="S78" t="b">
        <v>0</v>
      </c>
      <c r="T78" s="24" t="str">
        <f t="shared" si="11"/>
        <v>Photo</v>
      </c>
    </row>
    <row r="79" spans="1:20" hidden="1" x14ac:dyDescent="0.2">
      <c r="A79" t="s">
        <v>7183</v>
      </c>
      <c r="B79" t="s">
        <v>2365</v>
      </c>
      <c r="C79" t="s">
        <v>2366</v>
      </c>
      <c r="D79" t="s">
        <v>7184</v>
      </c>
      <c r="E79" t="s">
        <v>7185</v>
      </c>
      <c r="F79" t="str">
        <f>IF(Table2[[#This Row],[Date posted]]&lt; DATE(2015,9,18),"Before Crisis","During Crisis")</f>
        <v>Before Crisis</v>
      </c>
      <c r="G79" s="27">
        <f t="shared" si="6"/>
        <v>42176</v>
      </c>
      <c r="H79" s="7" t="str">
        <f t="shared" si="7"/>
        <v>11:34:13</v>
      </c>
      <c r="I79" s="8" t="str">
        <f t="shared" si="8"/>
        <v>Mid-day</v>
      </c>
      <c r="J79" t="s">
        <v>2370</v>
      </c>
      <c r="K79" t="s">
        <v>2370</v>
      </c>
      <c r="L79">
        <v>25</v>
      </c>
      <c r="M79">
        <v>1</v>
      </c>
      <c r="N79">
        <v>20</v>
      </c>
      <c r="O79" s="4">
        <f t="shared" si="9"/>
        <v>46</v>
      </c>
      <c r="P79" s="5" t="str">
        <f t="shared" si="10"/>
        <v>High engagement</v>
      </c>
      <c r="Q79" t="b">
        <v>0</v>
      </c>
      <c r="R79" t="b">
        <v>1</v>
      </c>
      <c r="S79" t="b">
        <v>0</v>
      </c>
      <c r="T79" s="24" t="str">
        <f t="shared" si="11"/>
        <v>Video</v>
      </c>
    </row>
    <row r="80" spans="1:20" hidden="1" x14ac:dyDescent="0.2">
      <c r="A80" t="s">
        <v>7010</v>
      </c>
      <c r="B80" t="s">
        <v>2365</v>
      </c>
      <c r="C80" t="s">
        <v>2366</v>
      </c>
      <c r="D80" t="s">
        <v>7011</v>
      </c>
      <c r="E80" t="s">
        <v>7012</v>
      </c>
      <c r="F80" t="str">
        <f>IF(Table2[[#This Row],[Date posted]]&lt; DATE(2015,9,18),"Before Crisis","During Crisis")</f>
        <v>Before Crisis</v>
      </c>
      <c r="G80" s="27">
        <f t="shared" si="6"/>
        <v>42183</v>
      </c>
      <c r="H80" s="7" t="str">
        <f t="shared" si="7"/>
        <v>21:49:52</v>
      </c>
      <c r="I80" s="8" t="str">
        <f t="shared" si="8"/>
        <v>Evening</v>
      </c>
      <c r="J80" t="s">
        <v>7013</v>
      </c>
      <c r="K80" t="s">
        <v>2370</v>
      </c>
      <c r="L80">
        <v>46</v>
      </c>
      <c r="M80">
        <v>1</v>
      </c>
      <c r="N80">
        <v>20</v>
      </c>
      <c r="O80" s="4">
        <f t="shared" si="9"/>
        <v>67</v>
      </c>
      <c r="P80" s="5" t="str">
        <f t="shared" si="10"/>
        <v>High engagement</v>
      </c>
      <c r="Q80" t="b">
        <v>1</v>
      </c>
      <c r="R80" t="b">
        <v>0</v>
      </c>
      <c r="S80" t="b">
        <v>0</v>
      </c>
      <c r="T80" s="24" t="str">
        <f t="shared" si="11"/>
        <v>Photo</v>
      </c>
    </row>
    <row r="81" spans="1:20" hidden="1" x14ac:dyDescent="0.2">
      <c r="A81" t="s">
        <v>6274</v>
      </c>
      <c r="B81" t="s">
        <v>2365</v>
      </c>
      <c r="C81" t="s">
        <v>2366</v>
      </c>
      <c r="D81" t="s">
        <v>6275</v>
      </c>
      <c r="E81" t="s">
        <v>6276</v>
      </c>
      <c r="F81" t="str">
        <f>IF(Table2[[#This Row],[Date posted]]&lt; DATE(2015,9,18),"Before Crisis","During Crisis")</f>
        <v>Before Crisis</v>
      </c>
      <c r="G81" s="27">
        <f t="shared" si="6"/>
        <v>42203</v>
      </c>
      <c r="H81" s="7" t="str">
        <f t="shared" si="7"/>
        <v>14:52:33</v>
      </c>
      <c r="I81" s="8" t="str">
        <f t="shared" si="8"/>
        <v>Afternoon</v>
      </c>
      <c r="J81" t="s">
        <v>2370</v>
      </c>
      <c r="K81" t="s">
        <v>2370</v>
      </c>
      <c r="L81">
        <v>55</v>
      </c>
      <c r="M81">
        <v>1</v>
      </c>
      <c r="N81">
        <v>20</v>
      </c>
      <c r="O81" s="4">
        <f t="shared" si="9"/>
        <v>76</v>
      </c>
      <c r="P81" s="5" t="str">
        <f t="shared" si="10"/>
        <v>High engagement</v>
      </c>
      <c r="Q81" t="b">
        <v>1</v>
      </c>
      <c r="R81" t="b">
        <v>0</v>
      </c>
      <c r="S81" t="b">
        <v>0</v>
      </c>
      <c r="T81" s="24" t="str">
        <f t="shared" si="11"/>
        <v>Photo</v>
      </c>
    </row>
    <row r="82" spans="1:20" hidden="1" x14ac:dyDescent="0.2">
      <c r="A82" t="s">
        <v>6248</v>
      </c>
      <c r="B82" t="s">
        <v>2365</v>
      </c>
      <c r="C82" t="s">
        <v>2366</v>
      </c>
      <c r="D82" t="s">
        <v>6249</v>
      </c>
      <c r="E82" t="s">
        <v>6250</v>
      </c>
      <c r="F82" t="str">
        <f>IF(Table2[[#This Row],[Date posted]]&lt; DATE(2015,9,18),"Before Crisis","During Crisis")</f>
        <v>Before Crisis</v>
      </c>
      <c r="G82" s="27">
        <f t="shared" si="6"/>
        <v>42204</v>
      </c>
      <c r="H82" s="7" t="str">
        <f t="shared" si="7"/>
        <v>14:06:07</v>
      </c>
      <c r="I82" s="8" t="str">
        <f t="shared" si="8"/>
        <v>Afternoon</v>
      </c>
      <c r="J82" t="s">
        <v>2370</v>
      </c>
      <c r="K82" t="s">
        <v>2370</v>
      </c>
      <c r="L82">
        <v>45</v>
      </c>
      <c r="M82">
        <v>4</v>
      </c>
      <c r="N82">
        <v>20</v>
      </c>
      <c r="O82" s="4">
        <f t="shared" si="9"/>
        <v>69</v>
      </c>
      <c r="P82" s="5" t="str">
        <f t="shared" si="10"/>
        <v>High engagement</v>
      </c>
      <c r="Q82" t="b">
        <v>1</v>
      </c>
      <c r="R82" t="b">
        <v>0</v>
      </c>
      <c r="S82" t="b">
        <v>0</v>
      </c>
      <c r="T82" s="24" t="str">
        <f t="shared" si="11"/>
        <v>Photo</v>
      </c>
    </row>
    <row r="83" spans="1:20" hidden="1" x14ac:dyDescent="0.2">
      <c r="A83" t="s">
        <v>6239</v>
      </c>
      <c r="B83" t="s">
        <v>2365</v>
      </c>
      <c r="C83" t="s">
        <v>2366</v>
      </c>
      <c r="D83" t="s">
        <v>6240</v>
      </c>
      <c r="E83" t="s">
        <v>6241</v>
      </c>
      <c r="F83" t="str">
        <f>IF(Table2[[#This Row],[Date posted]]&lt; DATE(2015,9,18),"Before Crisis","During Crisis")</f>
        <v>Before Crisis</v>
      </c>
      <c r="G83" s="27">
        <f t="shared" si="6"/>
        <v>42204</v>
      </c>
      <c r="H83" s="7" t="str">
        <f t="shared" si="7"/>
        <v>16:33:37</v>
      </c>
      <c r="I83" s="8" t="str">
        <f t="shared" si="8"/>
        <v>Afternoon</v>
      </c>
      <c r="J83" t="s">
        <v>2370</v>
      </c>
      <c r="K83" t="s">
        <v>2370</v>
      </c>
      <c r="L83">
        <v>40</v>
      </c>
      <c r="M83">
        <v>1</v>
      </c>
      <c r="N83">
        <v>20</v>
      </c>
      <c r="O83" s="4">
        <f t="shared" si="9"/>
        <v>61</v>
      </c>
      <c r="P83" s="5" t="str">
        <f t="shared" si="10"/>
        <v>High engagement</v>
      </c>
      <c r="Q83" t="b">
        <v>1</v>
      </c>
      <c r="R83" t="b">
        <v>0</v>
      </c>
      <c r="S83" t="b">
        <v>0</v>
      </c>
      <c r="T83" s="24" t="str">
        <f t="shared" si="11"/>
        <v>Photo</v>
      </c>
    </row>
    <row r="84" spans="1:20" hidden="1" x14ac:dyDescent="0.2">
      <c r="A84" t="s">
        <v>5564</v>
      </c>
      <c r="B84" t="s">
        <v>2365</v>
      </c>
      <c r="C84" t="s">
        <v>2366</v>
      </c>
      <c r="D84" t="s">
        <v>5565</v>
      </c>
      <c r="E84" t="s">
        <v>5566</v>
      </c>
      <c r="F84" t="str">
        <f>IF(Table2[[#This Row],[Date posted]]&lt; DATE(2015,9,18),"Before Crisis","During Crisis")</f>
        <v>Before Crisis</v>
      </c>
      <c r="G84" s="27">
        <f t="shared" si="6"/>
        <v>42231</v>
      </c>
      <c r="H84" s="7" t="str">
        <f t="shared" si="7"/>
        <v>14:36:44</v>
      </c>
      <c r="I84" s="8" t="str">
        <f t="shared" si="8"/>
        <v>Afternoon</v>
      </c>
      <c r="J84" t="s">
        <v>2370</v>
      </c>
      <c r="K84" t="s">
        <v>2370</v>
      </c>
      <c r="L84">
        <v>46</v>
      </c>
      <c r="M84" s="3">
        <v>0</v>
      </c>
      <c r="N84">
        <v>20</v>
      </c>
      <c r="O84" s="4">
        <f t="shared" si="9"/>
        <v>66</v>
      </c>
      <c r="P84" s="5" t="str">
        <f t="shared" si="10"/>
        <v>High engagement</v>
      </c>
      <c r="Q84" t="b">
        <v>1</v>
      </c>
      <c r="R84" t="b">
        <v>0</v>
      </c>
      <c r="S84" t="b">
        <v>0</v>
      </c>
      <c r="T84" s="24" t="str">
        <f t="shared" si="11"/>
        <v>Photo</v>
      </c>
    </row>
    <row r="85" spans="1:20" hidden="1" x14ac:dyDescent="0.2">
      <c r="A85" t="s">
        <v>5709</v>
      </c>
      <c r="B85" t="s">
        <v>2365</v>
      </c>
      <c r="C85" t="s">
        <v>2366</v>
      </c>
      <c r="D85" t="s">
        <v>5710</v>
      </c>
      <c r="E85" t="s">
        <v>5711</v>
      </c>
      <c r="F85" t="str">
        <f>IF(Table2[[#This Row],[Date posted]]&lt; DATE(2015,9,18),"Before Crisis","During Crisis")</f>
        <v>Before Crisis</v>
      </c>
      <c r="G85" s="27">
        <f t="shared" si="6"/>
        <v>42225</v>
      </c>
      <c r="H85" s="7" t="str">
        <f t="shared" si="7"/>
        <v>19:04:20</v>
      </c>
      <c r="I85" s="8" t="str">
        <f t="shared" si="8"/>
        <v>Evening</v>
      </c>
      <c r="J85" t="s">
        <v>2370</v>
      </c>
      <c r="K85" t="s">
        <v>2370</v>
      </c>
      <c r="L85">
        <v>71</v>
      </c>
      <c r="M85" s="3">
        <v>0</v>
      </c>
      <c r="N85">
        <v>19</v>
      </c>
      <c r="O85" s="4">
        <f t="shared" si="9"/>
        <v>90</v>
      </c>
      <c r="P85" s="5" t="str">
        <f t="shared" si="10"/>
        <v>High engagement</v>
      </c>
      <c r="Q85" t="b">
        <v>1</v>
      </c>
      <c r="R85" t="b">
        <v>0</v>
      </c>
      <c r="S85" t="b">
        <v>0</v>
      </c>
      <c r="T85" s="24" t="str">
        <f t="shared" si="11"/>
        <v>Photo</v>
      </c>
    </row>
    <row r="86" spans="1:20" hidden="1" x14ac:dyDescent="0.2">
      <c r="A86" t="s">
        <v>4903</v>
      </c>
      <c r="B86" t="s">
        <v>2365</v>
      </c>
      <c r="C86" t="s">
        <v>2366</v>
      </c>
      <c r="D86" t="s">
        <v>4904</v>
      </c>
      <c r="E86" t="s">
        <v>4905</v>
      </c>
      <c r="F86" t="str">
        <f>IF(Table2[[#This Row],[Date posted]]&lt; DATE(2015,9,18),"Before Crisis","During Crisis")</f>
        <v>Before Crisis</v>
      </c>
      <c r="G86" s="27">
        <f t="shared" si="6"/>
        <v>42260</v>
      </c>
      <c r="H86" s="7" t="str">
        <f t="shared" si="7"/>
        <v>20:21:29</v>
      </c>
      <c r="I86" s="8" t="str">
        <f t="shared" si="8"/>
        <v>Evening</v>
      </c>
      <c r="J86" t="s">
        <v>2370</v>
      </c>
      <c r="K86" t="s">
        <v>2370</v>
      </c>
      <c r="L86">
        <v>30</v>
      </c>
      <c r="M86" s="3">
        <v>0</v>
      </c>
      <c r="N86">
        <v>19</v>
      </c>
      <c r="O86" s="4">
        <f t="shared" si="9"/>
        <v>49</v>
      </c>
      <c r="P86" s="5" t="str">
        <f t="shared" si="10"/>
        <v>High engagement</v>
      </c>
      <c r="Q86" t="b">
        <v>1</v>
      </c>
      <c r="R86" t="b">
        <v>0</v>
      </c>
      <c r="S86" t="b">
        <v>0</v>
      </c>
      <c r="T86" s="24" t="str">
        <f t="shared" si="11"/>
        <v>Photo</v>
      </c>
    </row>
    <row r="87" spans="1:20" hidden="1" x14ac:dyDescent="0.2">
      <c r="A87" t="s">
        <v>7254</v>
      </c>
      <c r="B87" t="s">
        <v>2365</v>
      </c>
      <c r="C87" t="s">
        <v>2366</v>
      </c>
      <c r="D87" t="s">
        <v>7255</v>
      </c>
      <c r="E87" t="s">
        <v>7256</v>
      </c>
      <c r="F87" t="str">
        <f>IF(Table2[[#This Row],[Date posted]]&lt; DATE(2015,9,18),"Before Crisis","During Crisis")</f>
        <v>Before Crisis</v>
      </c>
      <c r="G87" s="27">
        <f t="shared" si="6"/>
        <v>42174</v>
      </c>
      <c r="H87" s="7" t="str">
        <f t="shared" si="7"/>
        <v>16:52:54</v>
      </c>
      <c r="I87" s="8" t="str">
        <f t="shared" si="8"/>
        <v>Afternoon</v>
      </c>
      <c r="J87" t="s">
        <v>2370</v>
      </c>
      <c r="K87" t="s">
        <v>2370</v>
      </c>
      <c r="L87">
        <v>30</v>
      </c>
      <c r="M87">
        <v>2</v>
      </c>
      <c r="N87">
        <v>18</v>
      </c>
      <c r="O87" s="4">
        <f t="shared" si="9"/>
        <v>50</v>
      </c>
      <c r="P87" s="5" t="str">
        <f t="shared" si="10"/>
        <v>High engagement</v>
      </c>
      <c r="Q87" t="b">
        <v>0</v>
      </c>
      <c r="R87" t="b">
        <v>1</v>
      </c>
      <c r="S87" t="b">
        <v>0</v>
      </c>
      <c r="T87" s="24" t="str">
        <f t="shared" si="11"/>
        <v>Video</v>
      </c>
    </row>
    <row r="88" spans="1:20" hidden="1" x14ac:dyDescent="0.2">
      <c r="A88" t="s">
        <v>7035</v>
      </c>
      <c r="B88" t="s">
        <v>2365</v>
      </c>
      <c r="C88" t="s">
        <v>2366</v>
      </c>
      <c r="D88" t="s">
        <v>7036</v>
      </c>
      <c r="E88" t="s">
        <v>7037</v>
      </c>
      <c r="F88" t="str">
        <f>IF(Table2[[#This Row],[Date posted]]&lt; DATE(2015,9,18),"Before Crisis","During Crisis")</f>
        <v>Before Crisis</v>
      </c>
      <c r="G88" s="27">
        <f t="shared" si="6"/>
        <v>42181</v>
      </c>
      <c r="H88" s="7" t="str">
        <f t="shared" si="7"/>
        <v>16:47:48</v>
      </c>
      <c r="I88" s="8" t="str">
        <f t="shared" si="8"/>
        <v>Afternoon</v>
      </c>
      <c r="J88" t="s">
        <v>2370</v>
      </c>
      <c r="K88" t="s">
        <v>2370</v>
      </c>
      <c r="L88">
        <v>56</v>
      </c>
      <c r="M88">
        <v>3</v>
      </c>
      <c r="N88">
        <v>18</v>
      </c>
      <c r="O88" s="4">
        <f t="shared" si="9"/>
        <v>77</v>
      </c>
      <c r="P88" s="5" t="str">
        <f t="shared" si="10"/>
        <v>High engagement</v>
      </c>
      <c r="Q88" t="b">
        <v>1</v>
      </c>
      <c r="R88" t="b">
        <v>0</v>
      </c>
      <c r="S88" t="b">
        <v>0</v>
      </c>
      <c r="T88" s="24" t="str">
        <f t="shared" si="11"/>
        <v>Photo</v>
      </c>
    </row>
    <row r="89" spans="1:20" hidden="1" x14ac:dyDescent="0.2">
      <c r="A89" t="s">
        <v>6741</v>
      </c>
      <c r="B89" t="s">
        <v>2365</v>
      </c>
      <c r="C89" t="s">
        <v>2366</v>
      </c>
      <c r="D89" t="s">
        <v>6742</v>
      </c>
      <c r="E89" t="s">
        <v>6743</v>
      </c>
      <c r="F89" t="str">
        <f>IF(Table2[[#This Row],[Date posted]]&lt; DATE(2015,9,18),"Before Crisis","During Crisis")</f>
        <v>Before Crisis</v>
      </c>
      <c r="G89" s="27">
        <f t="shared" si="6"/>
        <v>42188</v>
      </c>
      <c r="H89" s="7" t="str">
        <f t="shared" si="7"/>
        <v>23:20:06</v>
      </c>
      <c r="I89" s="8" t="str">
        <f t="shared" si="8"/>
        <v>Evening</v>
      </c>
      <c r="J89" t="s">
        <v>2370</v>
      </c>
      <c r="K89" t="s">
        <v>2370</v>
      </c>
      <c r="L89">
        <v>32</v>
      </c>
      <c r="M89" s="3">
        <v>0</v>
      </c>
      <c r="N89">
        <v>18</v>
      </c>
      <c r="O89" s="4">
        <f t="shared" si="9"/>
        <v>50</v>
      </c>
      <c r="P89" s="5" t="str">
        <f t="shared" si="10"/>
        <v>High engagement</v>
      </c>
      <c r="Q89" t="b">
        <v>1</v>
      </c>
      <c r="R89" t="b">
        <v>0</v>
      </c>
      <c r="S89" t="b">
        <v>0</v>
      </c>
      <c r="T89" s="24" t="str">
        <f t="shared" si="11"/>
        <v>Photo</v>
      </c>
    </row>
    <row r="90" spans="1:20" hidden="1" x14ac:dyDescent="0.2">
      <c r="A90" t="s">
        <v>6299</v>
      </c>
      <c r="B90" t="s">
        <v>2365</v>
      </c>
      <c r="C90" t="s">
        <v>2366</v>
      </c>
      <c r="D90" t="s">
        <v>6300</v>
      </c>
      <c r="E90" t="s">
        <v>6301</v>
      </c>
      <c r="F90" t="str">
        <f>IF(Table2[[#This Row],[Date posted]]&lt; DATE(2015,9,18),"Before Crisis","During Crisis")</f>
        <v>Before Crisis</v>
      </c>
      <c r="G90" s="27">
        <f t="shared" si="6"/>
        <v>42202</v>
      </c>
      <c r="H90" s="7" t="str">
        <f t="shared" si="7"/>
        <v>20:12:31</v>
      </c>
      <c r="I90" s="8" t="str">
        <f t="shared" si="8"/>
        <v>Evening</v>
      </c>
      <c r="J90" t="s">
        <v>2370</v>
      </c>
      <c r="K90" t="s">
        <v>2370</v>
      </c>
      <c r="L90">
        <v>67</v>
      </c>
      <c r="M90">
        <v>2</v>
      </c>
      <c r="N90">
        <v>18</v>
      </c>
      <c r="O90" s="4">
        <f t="shared" si="9"/>
        <v>87</v>
      </c>
      <c r="P90" s="5" t="str">
        <f t="shared" si="10"/>
        <v>High engagement</v>
      </c>
      <c r="Q90" t="b">
        <v>1</v>
      </c>
      <c r="R90" t="b">
        <v>0</v>
      </c>
      <c r="S90" t="b">
        <v>0</v>
      </c>
      <c r="T90" s="24" t="str">
        <f t="shared" si="11"/>
        <v>Photo</v>
      </c>
    </row>
    <row r="91" spans="1:20" hidden="1" x14ac:dyDescent="0.2">
      <c r="A91" t="s">
        <v>6251</v>
      </c>
      <c r="B91" t="s">
        <v>2365</v>
      </c>
      <c r="C91" t="s">
        <v>2366</v>
      </c>
      <c r="D91" t="s">
        <v>6252</v>
      </c>
      <c r="E91" t="s">
        <v>6253</v>
      </c>
      <c r="F91" t="str">
        <f>IF(Table2[[#This Row],[Date posted]]&lt; DATE(2015,9,18),"Before Crisis","During Crisis")</f>
        <v>Before Crisis</v>
      </c>
      <c r="G91" s="27">
        <f t="shared" si="6"/>
        <v>42204</v>
      </c>
      <c r="H91" s="7" t="str">
        <f t="shared" si="7"/>
        <v>13:44:10</v>
      </c>
      <c r="I91" s="8" t="str">
        <f t="shared" si="8"/>
        <v>Mid-day</v>
      </c>
      <c r="J91" t="s">
        <v>2370</v>
      </c>
      <c r="K91" t="s">
        <v>2370</v>
      </c>
      <c r="L91">
        <v>45</v>
      </c>
      <c r="M91" s="3">
        <v>0</v>
      </c>
      <c r="N91">
        <v>18</v>
      </c>
      <c r="O91" s="4">
        <f t="shared" si="9"/>
        <v>63</v>
      </c>
      <c r="P91" s="5" t="str">
        <f t="shared" si="10"/>
        <v>High engagement</v>
      </c>
      <c r="Q91" t="b">
        <v>1</v>
      </c>
      <c r="R91" t="b">
        <v>0</v>
      </c>
      <c r="S91" t="b">
        <v>0</v>
      </c>
      <c r="T91" s="24" t="str">
        <f t="shared" si="11"/>
        <v>Photo</v>
      </c>
    </row>
    <row r="92" spans="1:20" hidden="1" x14ac:dyDescent="0.2">
      <c r="A92" t="s">
        <v>5907</v>
      </c>
      <c r="B92" t="s">
        <v>2365</v>
      </c>
      <c r="C92" t="s">
        <v>2366</v>
      </c>
      <c r="D92" t="s">
        <v>5908</v>
      </c>
      <c r="E92" t="s">
        <v>5909</v>
      </c>
      <c r="F92" t="str">
        <f>IF(Table2[[#This Row],[Date posted]]&lt; DATE(2015,9,18),"Before Crisis","During Crisis")</f>
        <v>Before Crisis</v>
      </c>
      <c r="G92" s="27">
        <f t="shared" si="6"/>
        <v>42214</v>
      </c>
      <c r="H92" s="7" t="str">
        <f t="shared" si="7"/>
        <v>17:18:47</v>
      </c>
      <c r="I92" s="8" t="str">
        <f t="shared" si="8"/>
        <v>Afternoon</v>
      </c>
      <c r="J92" t="s">
        <v>2370</v>
      </c>
      <c r="K92" t="s">
        <v>2370</v>
      </c>
      <c r="L92">
        <v>30</v>
      </c>
      <c r="M92">
        <v>6</v>
      </c>
      <c r="N92">
        <v>18</v>
      </c>
      <c r="O92" s="4">
        <f t="shared" si="9"/>
        <v>54</v>
      </c>
      <c r="P92" s="5" t="str">
        <f t="shared" si="10"/>
        <v>High engagement</v>
      </c>
      <c r="Q92" t="b">
        <v>1</v>
      </c>
      <c r="R92" t="b">
        <v>1</v>
      </c>
      <c r="S92" t="b">
        <v>1</v>
      </c>
      <c r="T92" s="24" t="str">
        <f t="shared" si="11"/>
        <v>Photo</v>
      </c>
    </row>
    <row r="93" spans="1:20" hidden="1" x14ac:dyDescent="0.2">
      <c r="A93" t="s">
        <v>5402</v>
      </c>
      <c r="B93" t="s">
        <v>2365</v>
      </c>
      <c r="C93" t="s">
        <v>2366</v>
      </c>
      <c r="D93" t="s">
        <v>5403</v>
      </c>
      <c r="E93" t="s">
        <v>5404</v>
      </c>
      <c r="F93" t="str">
        <f>IF(Table2[[#This Row],[Date posted]]&lt; DATE(2015,9,18),"Before Crisis","During Crisis")</f>
        <v>Before Crisis</v>
      </c>
      <c r="G93" s="27">
        <f t="shared" si="6"/>
        <v>42240</v>
      </c>
      <c r="H93" s="7" t="str">
        <f t="shared" si="7"/>
        <v>13:53:46</v>
      </c>
      <c r="I93" s="8" t="str">
        <f t="shared" si="8"/>
        <v>Mid-day</v>
      </c>
      <c r="J93" t="s">
        <v>2370</v>
      </c>
      <c r="K93" t="s">
        <v>2370</v>
      </c>
      <c r="L93">
        <v>25</v>
      </c>
      <c r="M93" s="3">
        <v>0</v>
      </c>
      <c r="N93">
        <v>18</v>
      </c>
      <c r="O93" s="4">
        <f t="shared" si="9"/>
        <v>43</v>
      </c>
      <c r="P93" s="5" t="str">
        <f t="shared" si="10"/>
        <v>High engagement</v>
      </c>
      <c r="Q93" t="b">
        <v>1</v>
      </c>
      <c r="R93" t="b">
        <v>0</v>
      </c>
      <c r="S93" t="b">
        <v>1</v>
      </c>
      <c r="T93" s="24" t="str">
        <f t="shared" si="11"/>
        <v>Photo</v>
      </c>
    </row>
    <row r="94" spans="1:20" hidden="1" x14ac:dyDescent="0.2">
      <c r="A94" t="s">
        <v>6704</v>
      </c>
      <c r="B94" t="s">
        <v>2365</v>
      </c>
      <c r="C94" t="s">
        <v>2366</v>
      </c>
      <c r="D94" t="s">
        <v>6705</v>
      </c>
      <c r="E94" t="s">
        <v>6706</v>
      </c>
      <c r="F94" t="str">
        <f>IF(Table2[[#This Row],[Date posted]]&lt; DATE(2015,9,18),"Before Crisis","During Crisis")</f>
        <v>Before Crisis</v>
      </c>
      <c r="G94" s="27">
        <f t="shared" si="6"/>
        <v>42190</v>
      </c>
      <c r="H94" s="7" t="str">
        <f t="shared" si="7"/>
        <v>22:49:25</v>
      </c>
      <c r="I94" s="8" t="str">
        <f t="shared" si="8"/>
        <v>Evening</v>
      </c>
      <c r="J94" t="s">
        <v>2370</v>
      </c>
      <c r="K94" t="s">
        <v>2370</v>
      </c>
      <c r="L94">
        <v>31</v>
      </c>
      <c r="M94">
        <v>2</v>
      </c>
      <c r="N94">
        <v>17</v>
      </c>
      <c r="O94" s="4">
        <f t="shared" si="9"/>
        <v>50</v>
      </c>
      <c r="P94" s="5" t="str">
        <f t="shared" si="10"/>
        <v>High engagement</v>
      </c>
      <c r="Q94" t="b">
        <v>1</v>
      </c>
      <c r="R94" t="b">
        <v>0</v>
      </c>
      <c r="S94" t="b">
        <v>0</v>
      </c>
      <c r="T94" s="24" t="str">
        <f t="shared" si="11"/>
        <v>Photo</v>
      </c>
    </row>
    <row r="95" spans="1:20" x14ac:dyDescent="0.2">
      <c r="A95" t="s">
        <v>6173</v>
      </c>
      <c r="B95" t="s">
        <v>2365</v>
      </c>
      <c r="C95" t="s">
        <v>2366</v>
      </c>
      <c r="D95" t="s">
        <v>6174</v>
      </c>
      <c r="E95" t="s">
        <v>6175</v>
      </c>
      <c r="F95" t="str">
        <f>IF(Table2[[#This Row],[Date posted]]&lt; DATE(2015,9,18),"Before Crisis","During Crisis")</f>
        <v>Before Crisis</v>
      </c>
      <c r="G95" s="27">
        <f t="shared" si="6"/>
        <v>42206</v>
      </c>
      <c r="H95" s="7" t="str">
        <f t="shared" si="7"/>
        <v>05:02:10</v>
      </c>
      <c r="I95" s="8" t="str">
        <f t="shared" si="8"/>
        <v>Early morning</v>
      </c>
      <c r="J95" t="s">
        <v>2370</v>
      </c>
      <c r="K95" t="s">
        <v>2370</v>
      </c>
      <c r="L95">
        <v>23</v>
      </c>
      <c r="M95">
        <v>2</v>
      </c>
      <c r="N95">
        <v>17</v>
      </c>
      <c r="O95" s="4">
        <f t="shared" si="9"/>
        <v>42</v>
      </c>
      <c r="P95" s="5" t="str">
        <f t="shared" si="10"/>
        <v>High engagement</v>
      </c>
      <c r="Q95" t="b">
        <v>1</v>
      </c>
      <c r="R95" t="b">
        <v>0</v>
      </c>
      <c r="S95" t="b">
        <v>0</v>
      </c>
      <c r="T95" s="24" t="str">
        <f t="shared" si="11"/>
        <v>Photo</v>
      </c>
    </row>
    <row r="96" spans="1:20" hidden="1" x14ac:dyDescent="0.2">
      <c r="A96" t="s">
        <v>6144</v>
      </c>
      <c r="B96" t="s">
        <v>2365</v>
      </c>
      <c r="C96" t="s">
        <v>2366</v>
      </c>
      <c r="D96" t="s">
        <v>6145</v>
      </c>
      <c r="E96" t="s">
        <v>6146</v>
      </c>
      <c r="F96" t="str">
        <f>IF(Table2[[#This Row],[Date posted]]&lt; DATE(2015,9,18),"Before Crisis","During Crisis")</f>
        <v>Before Crisis</v>
      </c>
      <c r="G96" s="27">
        <f t="shared" si="6"/>
        <v>42206</v>
      </c>
      <c r="H96" s="7" t="str">
        <f t="shared" si="7"/>
        <v>21:37:54</v>
      </c>
      <c r="I96" s="8" t="str">
        <f t="shared" si="8"/>
        <v>Evening</v>
      </c>
      <c r="J96" t="s">
        <v>2370</v>
      </c>
      <c r="K96" t="s">
        <v>2370</v>
      </c>
      <c r="L96">
        <v>51</v>
      </c>
      <c r="M96" s="3">
        <v>0</v>
      </c>
      <c r="N96">
        <v>17</v>
      </c>
      <c r="O96" s="4">
        <f t="shared" si="9"/>
        <v>68</v>
      </c>
      <c r="P96" s="5" t="str">
        <f t="shared" si="10"/>
        <v>High engagement</v>
      </c>
      <c r="Q96" t="b">
        <v>1</v>
      </c>
      <c r="R96" t="b">
        <v>0</v>
      </c>
      <c r="S96" t="b">
        <v>1</v>
      </c>
      <c r="T96" s="24" t="str">
        <f t="shared" si="11"/>
        <v>Photo</v>
      </c>
    </row>
    <row r="97" spans="1:20" hidden="1" x14ac:dyDescent="0.2">
      <c r="A97" t="s">
        <v>5996</v>
      </c>
      <c r="B97" t="s">
        <v>2365</v>
      </c>
      <c r="C97" t="s">
        <v>2366</v>
      </c>
      <c r="D97" t="s">
        <v>5997</v>
      </c>
      <c r="E97" t="s">
        <v>5998</v>
      </c>
      <c r="F97" t="str">
        <f>IF(Table2[[#This Row],[Date posted]]&lt; DATE(2015,9,18),"Before Crisis","During Crisis")</f>
        <v>Before Crisis</v>
      </c>
      <c r="G97" s="27">
        <f t="shared" si="6"/>
        <v>42211</v>
      </c>
      <c r="H97" s="7" t="str">
        <f t="shared" si="7"/>
        <v>16:40:12</v>
      </c>
      <c r="I97" s="8" t="str">
        <f t="shared" si="8"/>
        <v>Afternoon</v>
      </c>
      <c r="J97" t="s">
        <v>2370</v>
      </c>
      <c r="K97" t="s">
        <v>2370</v>
      </c>
      <c r="L97">
        <v>62</v>
      </c>
      <c r="M97">
        <v>8</v>
      </c>
      <c r="N97">
        <v>17</v>
      </c>
      <c r="O97" s="4">
        <f t="shared" si="9"/>
        <v>87</v>
      </c>
      <c r="P97" s="5" t="str">
        <f t="shared" si="10"/>
        <v>High engagement</v>
      </c>
      <c r="Q97" t="b">
        <v>1</v>
      </c>
      <c r="R97" t="b">
        <v>0</v>
      </c>
      <c r="S97" t="b">
        <v>0</v>
      </c>
      <c r="T97" s="24" t="str">
        <f t="shared" si="11"/>
        <v>Photo</v>
      </c>
    </row>
    <row r="98" spans="1:20" hidden="1" x14ac:dyDescent="0.2">
      <c r="A98" t="s">
        <v>5754</v>
      </c>
      <c r="B98" t="s">
        <v>2365</v>
      </c>
      <c r="C98" t="s">
        <v>2366</v>
      </c>
      <c r="D98" t="s">
        <v>5755</v>
      </c>
      <c r="E98" t="s">
        <v>5756</v>
      </c>
      <c r="F98" t="str">
        <f>IF(Table2[[#This Row],[Date posted]]&lt; DATE(2015,9,18),"Before Crisis","During Crisis")</f>
        <v>Before Crisis</v>
      </c>
      <c r="G98" s="27">
        <f t="shared" si="6"/>
        <v>42222</v>
      </c>
      <c r="H98" s="7" t="str">
        <f t="shared" si="7"/>
        <v>22:34:10</v>
      </c>
      <c r="I98" s="8" t="str">
        <f t="shared" si="8"/>
        <v>Evening</v>
      </c>
      <c r="J98" t="s">
        <v>2370</v>
      </c>
      <c r="K98" t="s">
        <v>2370</v>
      </c>
      <c r="L98">
        <v>27</v>
      </c>
      <c r="M98">
        <v>1</v>
      </c>
      <c r="N98">
        <v>17</v>
      </c>
      <c r="O98" s="4">
        <f t="shared" si="9"/>
        <v>45</v>
      </c>
      <c r="P98" s="5" t="str">
        <f t="shared" si="10"/>
        <v>High engagement</v>
      </c>
      <c r="Q98" t="b">
        <v>1</v>
      </c>
      <c r="R98" t="b">
        <v>1</v>
      </c>
      <c r="S98" t="b">
        <v>0</v>
      </c>
      <c r="T98" s="24" t="str">
        <f t="shared" si="11"/>
        <v>Photo</v>
      </c>
    </row>
    <row r="99" spans="1:20" hidden="1" x14ac:dyDescent="0.2">
      <c r="A99" t="s">
        <v>5558</v>
      </c>
      <c r="B99" t="s">
        <v>2365</v>
      </c>
      <c r="C99" t="s">
        <v>2366</v>
      </c>
      <c r="D99" t="s">
        <v>5559</v>
      </c>
      <c r="E99" t="s">
        <v>5560</v>
      </c>
      <c r="F99" t="str">
        <f>IF(Table2[[#This Row],[Date posted]]&lt; DATE(2015,9,18),"Before Crisis","During Crisis")</f>
        <v>Before Crisis</v>
      </c>
      <c r="G99" s="27">
        <f t="shared" si="6"/>
        <v>42231</v>
      </c>
      <c r="H99" s="7" t="str">
        <f t="shared" si="7"/>
        <v>18:51:34</v>
      </c>
      <c r="I99" s="8" t="str">
        <f t="shared" si="8"/>
        <v>Evening</v>
      </c>
      <c r="J99" t="s">
        <v>2370</v>
      </c>
      <c r="K99" t="s">
        <v>2370</v>
      </c>
      <c r="L99">
        <v>35</v>
      </c>
      <c r="M99" s="3">
        <v>0</v>
      </c>
      <c r="N99">
        <v>17</v>
      </c>
      <c r="O99" s="4">
        <f t="shared" si="9"/>
        <v>52</v>
      </c>
      <c r="P99" s="5" t="str">
        <f t="shared" si="10"/>
        <v>High engagement</v>
      </c>
      <c r="Q99" t="b">
        <v>1</v>
      </c>
      <c r="R99" t="b">
        <v>0</v>
      </c>
      <c r="S99" t="b">
        <v>0</v>
      </c>
      <c r="T99" s="24" t="str">
        <f t="shared" si="11"/>
        <v>Photo</v>
      </c>
    </row>
    <row r="100" spans="1:20" hidden="1" x14ac:dyDescent="0.2">
      <c r="A100" t="s">
        <v>4990</v>
      </c>
      <c r="B100" t="s">
        <v>2365</v>
      </c>
      <c r="C100" t="s">
        <v>2366</v>
      </c>
      <c r="D100" t="s">
        <v>4991</v>
      </c>
      <c r="E100" t="s">
        <v>4992</v>
      </c>
      <c r="F100" t="str">
        <f>IF(Table2[[#This Row],[Date posted]]&lt; DATE(2015,9,18),"Before Crisis","During Crisis")</f>
        <v>Before Crisis</v>
      </c>
      <c r="G100" s="27">
        <f t="shared" si="6"/>
        <v>42259</v>
      </c>
      <c r="H100" s="7" t="str">
        <f t="shared" si="7"/>
        <v>20:58:48</v>
      </c>
      <c r="I100" s="8" t="str">
        <f t="shared" si="8"/>
        <v>Evening</v>
      </c>
      <c r="J100" t="s">
        <v>2370</v>
      </c>
      <c r="K100" t="s">
        <v>2370</v>
      </c>
      <c r="L100">
        <v>45</v>
      </c>
      <c r="M100" s="3">
        <v>0</v>
      </c>
      <c r="N100">
        <v>17</v>
      </c>
      <c r="O100" s="4">
        <f t="shared" si="9"/>
        <v>62</v>
      </c>
      <c r="P100" s="5" t="str">
        <f t="shared" si="10"/>
        <v>High engagement</v>
      </c>
      <c r="Q100" t="b">
        <v>1</v>
      </c>
      <c r="R100" t="b">
        <v>0</v>
      </c>
      <c r="S100" t="b">
        <v>0</v>
      </c>
      <c r="T100" s="24" t="str">
        <f t="shared" si="11"/>
        <v>Photo</v>
      </c>
    </row>
    <row r="101" spans="1:20" hidden="1" x14ac:dyDescent="0.2">
      <c r="A101" t="s">
        <v>6794</v>
      </c>
      <c r="B101" t="s">
        <v>2365</v>
      </c>
      <c r="C101" t="s">
        <v>2366</v>
      </c>
      <c r="D101" t="s">
        <v>6795</v>
      </c>
      <c r="E101" t="s">
        <v>6796</v>
      </c>
      <c r="F101" t="str">
        <f>IF(Table2[[#This Row],[Date posted]]&lt; DATE(2015,9,18),"Before Crisis","During Crisis")</f>
        <v>Before Crisis</v>
      </c>
      <c r="G101" s="27">
        <f t="shared" si="6"/>
        <v>42188</v>
      </c>
      <c r="H101" s="7" t="str">
        <f t="shared" si="7"/>
        <v>16:30:20</v>
      </c>
      <c r="I101" s="8" t="str">
        <f t="shared" si="8"/>
        <v>Afternoon</v>
      </c>
      <c r="J101" t="s">
        <v>2370</v>
      </c>
      <c r="K101" t="s">
        <v>2370</v>
      </c>
      <c r="L101">
        <v>33</v>
      </c>
      <c r="M101">
        <v>2</v>
      </c>
      <c r="N101">
        <v>16</v>
      </c>
      <c r="O101" s="4">
        <f t="shared" si="9"/>
        <v>51</v>
      </c>
      <c r="P101" s="5" t="str">
        <f t="shared" si="10"/>
        <v>High engagement</v>
      </c>
      <c r="Q101" t="b">
        <v>1</v>
      </c>
      <c r="R101" t="b">
        <v>0</v>
      </c>
      <c r="S101" t="b">
        <v>0</v>
      </c>
      <c r="T101" s="24" t="str">
        <f t="shared" si="11"/>
        <v>Photo</v>
      </c>
    </row>
    <row r="102" spans="1:20" hidden="1" x14ac:dyDescent="0.2">
      <c r="A102" t="s">
        <v>6002</v>
      </c>
      <c r="B102" t="s">
        <v>2365</v>
      </c>
      <c r="C102" t="s">
        <v>2366</v>
      </c>
      <c r="D102" t="s">
        <v>6003</v>
      </c>
      <c r="E102" t="s">
        <v>6004</v>
      </c>
      <c r="F102" t="str">
        <f>IF(Table2[[#This Row],[Date posted]]&lt; DATE(2015,9,18),"Before Crisis","During Crisis")</f>
        <v>Before Crisis</v>
      </c>
      <c r="G102" s="27">
        <f t="shared" si="6"/>
        <v>42211</v>
      </c>
      <c r="H102" s="7" t="str">
        <f t="shared" si="7"/>
        <v>15:09:16</v>
      </c>
      <c r="I102" s="8" t="str">
        <f t="shared" si="8"/>
        <v>Afternoon</v>
      </c>
      <c r="J102" t="s">
        <v>2370</v>
      </c>
      <c r="K102" t="s">
        <v>2370</v>
      </c>
      <c r="L102">
        <v>21</v>
      </c>
      <c r="M102" s="3">
        <v>0</v>
      </c>
      <c r="N102">
        <v>16</v>
      </c>
      <c r="O102" s="4">
        <f t="shared" si="9"/>
        <v>37</v>
      </c>
      <c r="P102" s="5" t="str">
        <f t="shared" si="10"/>
        <v>High engagement</v>
      </c>
      <c r="Q102" t="b">
        <v>1</v>
      </c>
      <c r="R102" t="b">
        <v>0</v>
      </c>
      <c r="S102" t="b">
        <v>0</v>
      </c>
      <c r="T102" s="24" t="str">
        <f t="shared" si="11"/>
        <v>Photo</v>
      </c>
    </row>
    <row r="103" spans="1:20" hidden="1" x14ac:dyDescent="0.2">
      <c r="A103" t="s">
        <v>7248</v>
      </c>
      <c r="B103" t="s">
        <v>2365</v>
      </c>
      <c r="C103" t="s">
        <v>2366</v>
      </c>
      <c r="D103" t="s">
        <v>7249</v>
      </c>
      <c r="E103" t="s">
        <v>7250</v>
      </c>
      <c r="F103" t="str">
        <f>IF(Table2[[#This Row],[Date posted]]&lt; DATE(2015,9,18),"Before Crisis","During Crisis")</f>
        <v>Before Crisis</v>
      </c>
      <c r="G103" s="27">
        <f t="shared" si="6"/>
        <v>42174</v>
      </c>
      <c r="H103" s="7" t="str">
        <f t="shared" si="7"/>
        <v>21:08:43</v>
      </c>
      <c r="I103" s="8" t="str">
        <f t="shared" si="8"/>
        <v>Evening</v>
      </c>
      <c r="J103" t="s">
        <v>2370</v>
      </c>
      <c r="K103" t="s">
        <v>2370</v>
      </c>
      <c r="L103">
        <v>32</v>
      </c>
      <c r="M103">
        <v>2</v>
      </c>
      <c r="N103">
        <v>15</v>
      </c>
      <c r="O103" s="4">
        <f t="shared" si="9"/>
        <v>49</v>
      </c>
      <c r="P103" s="5" t="str">
        <f t="shared" si="10"/>
        <v>High engagement</v>
      </c>
      <c r="Q103" t="b">
        <v>1</v>
      </c>
      <c r="R103" t="b">
        <v>0</v>
      </c>
      <c r="S103" t="b">
        <v>0</v>
      </c>
      <c r="T103" s="24" t="str">
        <f t="shared" si="11"/>
        <v>Photo</v>
      </c>
    </row>
    <row r="104" spans="1:20" hidden="1" x14ac:dyDescent="0.2">
      <c r="A104" t="s">
        <v>7216</v>
      </c>
      <c r="B104" t="s">
        <v>2365</v>
      </c>
      <c r="C104" t="s">
        <v>2366</v>
      </c>
      <c r="D104" t="s">
        <v>7217</v>
      </c>
      <c r="E104" t="s">
        <v>7218</v>
      </c>
      <c r="F104" t="str">
        <f>IF(Table2[[#This Row],[Date posted]]&lt; DATE(2015,9,18),"Before Crisis","During Crisis")</f>
        <v>Before Crisis</v>
      </c>
      <c r="G104" s="27">
        <f t="shared" si="6"/>
        <v>42175</v>
      </c>
      <c r="H104" s="7" t="str">
        <f t="shared" si="7"/>
        <v>13:32:09</v>
      </c>
      <c r="I104" s="8" t="str">
        <f t="shared" si="8"/>
        <v>Mid-day</v>
      </c>
      <c r="J104" t="s">
        <v>2370</v>
      </c>
      <c r="K104" t="s">
        <v>2370</v>
      </c>
      <c r="L104">
        <v>38</v>
      </c>
      <c r="M104">
        <v>2</v>
      </c>
      <c r="N104">
        <v>15</v>
      </c>
      <c r="O104" s="4">
        <f t="shared" si="9"/>
        <v>55</v>
      </c>
      <c r="P104" s="5" t="str">
        <f t="shared" si="10"/>
        <v>High engagement</v>
      </c>
      <c r="Q104" t="b">
        <v>1</v>
      </c>
      <c r="R104" t="b">
        <v>0</v>
      </c>
      <c r="S104" t="b">
        <v>0</v>
      </c>
      <c r="T104" s="24" t="str">
        <f t="shared" si="11"/>
        <v>Photo</v>
      </c>
    </row>
    <row r="105" spans="1:20" hidden="1" x14ac:dyDescent="0.2">
      <c r="A105" t="s">
        <v>7177</v>
      </c>
      <c r="B105" t="s">
        <v>2365</v>
      </c>
      <c r="C105" t="s">
        <v>2366</v>
      </c>
      <c r="D105" t="s">
        <v>7178</v>
      </c>
      <c r="E105" t="s">
        <v>7179</v>
      </c>
      <c r="F105" t="str">
        <f>IF(Table2[[#This Row],[Date posted]]&lt; DATE(2015,9,18),"Before Crisis","During Crisis")</f>
        <v>Before Crisis</v>
      </c>
      <c r="G105" s="27">
        <f t="shared" si="6"/>
        <v>42176</v>
      </c>
      <c r="H105" s="7" t="str">
        <f t="shared" si="7"/>
        <v>13:45:00</v>
      </c>
      <c r="I105" s="8" t="str">
        <f t="shared" si="8"/>
        <v>Mid-day</v>
      </c>
      <c r="J105" t="s">
        <v>2370</v>
      </c>
      <c r="K105" t="s">
        <v>2370</v>
      </c>
      <c r="L105">
        <v>19</v>
      </c>
      <c r="M105" s="3">
        <v>0</v>
      </c>
      <c r="N105">
        <v>15</v>
      </c>
      <c r="O105" s="4">
        <f t="shared" si="9"/>
        <v>34</v>
      </c>
      <c r="P105" s="5" t="str">
        <f t="shared" si="10"/>
        <v>High engagement</v>
      </c>
      <c r="Q105" t="b">
        <v>1</v>
      </c>
      <c r="R105" t="b">
        <v>0</v>
      </c>
      <c r="S105" t="b">
        <v>0</v>
      </c>
      <c r="T105" s="24" t="str">
        <f t="shared" si="11"/>
        <v>Photo</v>
      </c>
    </row>
    <row r="106" spans="1:20" hidden="1" x14ac:dyDescent="0.2">
      <c r="A106" t="s">
        <v>6731</v>
      </c>
      <c r="B106" t="s">
        <v>2365</v>
      </c>
      <c r="C106" t="s">
        <v>2366</v>
      </c>
      <c r="D106" t="s">
        <v>6732</v>
      </c>
      <c r="E106" t="s">
        <v>6733</v>
      </c>
      <c r="F106" t="str">
        <f>IF(Table2[[#This Row],[Date posted]]&lt; DATE(2015,9,18),"Before Crisis","During Crisis")</f>
        <v>Before Crisis</v>
      </c>
      <c r="G106" s="27">
        <f t="shared" si="6"/>
        <v>42190</v>
      </c>
      <c r="H106" s="7" t="str">
        <f t="shared" si="7"/>
        <v>14:17:38</v>
      </c>
      <c r="I106" s="8" t="str">
        <f t="shared" si="8"/>
        <v>Afternoon</v>
      </c>
      <c r="J106" t="s">
        <v>2370</v>
      </c>
      <c r="K106" t="s">
        <v>2370</v>
      </c>
      <c r="L106">
        <v>38</v>
      </c>
      <c r="M106">
        <v>1</v>
      </c>
      <c r="N106">
        <v>15</v>
      </c>
      <c r="O106" s="4">
        <f t="shared" si="9"/>
        <v>54</v>
      </c>
      <c r="P106" s="5" t="str">
        <f t="shared" si="10"/>
        <v>High engagement</v>
      </c>
      <c r="Q106" t="b">
        <v>1</v>
      </c>
      <c r="R106" t="b">
        <v>0</v>
      </c>
      <c r="S106" t="b">
        <v>0</v>
      </c>
      <c r="T106" s="24" t="str">
        <f t="shared" si="11"/>
        <v>Photo</v>
      </c>
    </row>
    <row r="107" spans="1:20" hidden="1" x14ac:dyDescent="0.2">
      <c r="A107" t="s">
        <v>6722</v>
      </c>
      <c r="B107" t="s">
        <v>2365</v>
      </c>
      <c r="C107" t="s">
        <v>2366</v>
      </c>
      <c r="D107" t="s">
        <v>6723</v>
      </c>
      <c r="E107" t="s">
        <v>6724</v>
      </c>
      <c r="F107" t="str">
        <f>IF(Table2[[#This Row],[Date posted]]&lt; DATE(2015,9,18),"Before Crisis","During Crisis")</f>
        <v>Before Crisis</v>
      </c>
      <c r="G107" s="27">
        <f t="shared" si="6"/>
        <v>42190</v>
      </c>
      <c r="H107" s="7" t="str">
        <f t="shared" si="7"/>
        <v>16:15:58</v>
      </c>
      <c r="I107" s="8" t="str">
        <f t="shared" si="8"/>
        <v>Afternoon</v>
      </c>
      <c r="J107" t="s">
        <v>2370</v>
      </c>
      <c r="K107" t="s">
        <v>2370</v>
      </c>
      <c r="L107">
        <v>19</v>
      </c>
      <c r="M107" s="3">
        <v>0</v>
      </c>
      <c r="N107">
        <v>15</v>
      </c>
      <c r="O107" s="4">
        <f t="shared" si="9"/>
        <v>34</v>
      </c>
      <c r="P107" s="5" t="str">
        <f t="shared" si="10"/>
        <v>High engagement</v>
      </c>
      <c r="Q107" t="b">
        <v>1</v>
      </c>
      <c r="R107" t="b">
        <v>0</v>
      </c>
      <c r="S107" t="b">
        <v>0</v>
      </c>
      <c r="T107" s="24" t="str">
        <f t="shared" si="11"/>
        <v>Photo</v>
      </c>
    </row>
    <row r="108" spans="1:20" hidden="1" x14ac:dyDescent="0.2">
      <c r="A108" t="s">
        <v>6254</v>
      </c>
      <c r="B108" t="s">
        <v>2365</v>
      </c>
      <c r="C108" t="s">
        <v>2366</v>
      </c>
      <c r="D108" t="s">
        <v>6255</v>
      </c>
      <c r="E108" t="s">
        <v>6256</v>
      </c>
      <c r="F108" t="str">
        <f>IF(Table2[[#This Row],[Date posted]]&lt; DATE(2015,9,18),"Before Crisis","During Crisis")</f>
        <v>Before Crisis</v>
      </c>
      <c r="G108" s="27">
        <f t="shared" si="6"/>
        <v>42204</v>
      </c>
      <c r="H108" s="7" t="str">
        <f t="shared" si="7"/>
        <v>13:01:36</v>
      </c>
      <c r="I108" s="8" t="str">
        <f t="shared" si="8"/>
        <v>Mid-day</v>
      </c>
      <c r="J108" t="s">
        <v>2370</v>
      </c>
      <c r="K108" t="s">
        <v>2370</v>
      </c>
      <c r="L108">
        <v>36</v>
      </c>
      <c r="M108" s="3">
        <v>0</v>
      </c>
      <c r="N108">
        <v>15</v>
      </c>
      <c r="O108" s="4">
        <f t="shared" si="9"/>
        <v>51</v>
      </c>
      <c r="P108" s="5" t="str">
        <f t="shared" si="10"/>
        <v>High engagement</v>
      </c>
      <c r="Q108" t="b">
        <v>1</v>
      </c>
      <c r="R108" t="b">
        <v>0</v>
      </c>
      <c r="S108" t="b">
        <v>0</v>
      </c>
      <c r="T108" s="24" t="str">
        <f t="shared" si="11"/>
        <v>Photo</v>
      </c>
    </row>
    <row r="109" spans="1:20" hidden="1" x14ac:dyDescent="0.2">
      <c r="A109" t="s">
        <v>6245</v>
      </c>
      <c r="B109" t="s">
        <v>2365</v>
      </c>
      <c r="C109" t="s">
        <v>2366</v>
      </c>
      <c r="D109" t="s">
        <v>6246</v>
      </c>
      <c r="E109" t="s">
        <v>6247</v>
      </c>
      <c r="F109" t="str">
        <f>IF(Table2[[#This Row],[Date posted]]&lt; DATE(2015,9,18),"Before Crisis","During Crisis")</f>
        <v>Before Crisis</v>
      </c>
      <c r="G109" s="27">
        <f t="shared" si="6"/>
        <v>42204</v>
      </c>
      <c r="H109" s="7" t="str">
        <f t="shared" si="7"/>
        <v>15:00:19</v>
      </c>
      <c r="I109" s="8" t="str">
        <f t="shared" si="8"/>
        <v>Afternoon</v>
      </c>
      <c r="J109" t="s">
        <v>2370</v>
      </c>
      <c r="K109" t="s">
        <v>2370</v>
      </c>
      <c r="L109">
        <v>34</v>
      </c>
      <c r="M109">
        <v>1</v>
      </c>
      <c r="N109">
        <v>15</v>
      </c>
      <c r="O109" s="4">
        <f t="shared" si="9"/>
        <v>50</v>
      </c>
      <c r="P109" s="5" t="str">
        <f t="shared" si="10"/>
        <v>High engagement</v>
      </c>
      <c r="Q109" t="b">
        <v>1</v>
      </c>
      <c r="R109" t="b">
        <v>0</v>
      </c>
      <c r="S109" t="b">
        <v>0</v>
      </c>
      <c r="T109" s="24" t="str">
        <f t="shared" si="11"/>
        <v>Photo</v>
      </c>
    </row>
    <row r="110" spans="1:20" x14ac:dyDescent="0.2">
      <c r="A110" t="s">
        <v>5840</v>
      </c>
      <c r="B110" t="s">
        <v>2365</v>
      </c>
      <c r="C110" t="s">
        <v>2366</v>
      </c>
      <c r="D110" t="s">
        <v>5841</v>
      </c>
      <c r="E110" t="s">
        <v>5842</v>
      </c>
      <c r="F110" t="str">
        <f>IF(Table2[[#This Row],[Date posted]]&lt; DATE(2015,9,18),"Before Crisis","During Crisis")</f>
        <v>Before Crisis</v>
      </c>
      <c r="G110" s="27">
        <f t="shared" si="6"/>
        <v>42218</v>
      </c>
      <c r="H110" s="7" t="str">
        <f t="shared" si="7"/>
        <v>00:28:05</v>
      </c>
      <c r="I110" s="8" t="str">
        <f t="shared" si="8"/>
        <v>Early morning</v>
      </c>
      <c r="J110" t="s">
        <v>2370</v>
      </c>
      <c r="K110" t="s">
        <v>2370</v>
      </c>
      <c r="L110">
        <v>33</v>
      </c>
      <c r="M110">
        <v>1</v>
      </c>
      <c r="N110">
        <v>15</v>
      </c>
      <c r="O110" s="4">
        <f t="shared" si="9"/>
        <v>49</v>
      </c>
      <c r="P110" s="5" t="str">
        <f t="shared" si="10"/>
        <v>High engagement</v>
      </c>
      <c r="Q110" t="b">
        <v>1</v>
      </c>
      <c r="R110" t="b">
        <v>0</v>
      </c>
      <c r="S110" t="b">
        <v>0</v>
      </c>
      <c r="T110" s="24" t="str">
        <f t="shared" si="11"/>
        <v>Photo</v>
      </c>
    </row>
    <row r="111" spans="1:20" hidden="1" x14ac:dyDescent="0.2">
      <c r="A111" t="s">
        <v>5582</v>
      </c>
      <c r="B111" t="s">
        <v>2365</v>
      </c>
      <c r="C111" t="s">
        <v>2366</v>
      </c>
      <c r="D111" t="s">
        <v>5583</v>
      </c>
      <c r="E111" t="s">
        <v>5584</v>
      </c>
      <c r="F111" t="str">
        <f>IF(Table2[[#This Row],[Date posted]]&lt; DATE(2015,9,18),"Before Crisis","During Crisis")</f>
        <v>Before Crisis</v>
      </c>
      <c r="G111" s="27">
        <f t="shared" si="6"/>
        <v>42230</v>
      </c>
      <c r="H111" s="7" t="str">
        <f t="shared" si="7"/>
        <v>19:35:24</v>
      </c>
      <c r="I111" s="8" t="str">
        <f t="shared" si="8"/>
        <v>Evening</v>
      </c>
      <c r="J111" t="s">
        <v>2370</v>
      </c>
      <c r="K111" t="s">
        <v>2370</v>
      </c>
      <c r="L111">
        <v>38</v>
      </c>
      <c r="M111">
        <v>1</v>
      </c>
      <c r="N111">
        <v>15</v>
      </c>
      <c r="O111" s="4">
        <f t="shared" si="9"/>
        <v>54</v>
      </c>
      <c r="P111" s="5" t="str">
        <f t="shared" si="10"/>
        <v>High engagement</v>
      </c>
      <c r="Q111" t="b">
        <v>1</v>
      </c>
      <c r="R111" t="b">
        <v>0</v>
      </c>
      <c r="S111" t="b">
        <v>0</v>
      </c>
      <c r="T111" s="24" t="str">
        <f t="shared" si="11"/>
        <v>Photo</v>
      </c>
    </row>
    <row r="112" spans="1:20" hidden="1" x14ac:dyDescent="0.2">
      <c r="A112" t="s">
        <v>5561</v>
      </c>
      <c r="B112" t="s">
        <v>2365</v>
      </c>
      <c r="C112" t="s">
        <v>2366</v>
      </c>
      <c r="D112" t="s">
        <v>5562</v>
      </c>
      <c r="E112" t="s">
        <v>5563</v>
      </c>
      <c r="F112" t="str">
        <f>IF(Table2[[#This Row],[Date posted]]&lt; DATE(2015,9,18),"Before Crisis","During Crisis")</f>
        <v>Before Crisis</v>
      </c>
      <c r="G112" s="27">
        <f t="shared" si="6"/>
        <v>42231</v>
      </c>
      <c r="H112" s="7" t="str">
        <f t="shared" si="7"/>
        <v>16:55:34</v>
      </c>
      <c r="I112" s="8" t="str">
        <f t="shared" si="8"/>
        <v>Afternoon</v>
      </c>
      <c r="J112" t="s">
        <v>2370</v>
      </c>
      <c r="K112" t="s">
        <v>2370</v>
      </c>
      <c r="L112">
        <v>37</v>
      </c>
      <c r="M112" s="3">
        <v>0</v>
      </c>
      <c r="N112">
        <v>15</v>
      </c>
      <c r="O112" s="4">
        <f t="shared" si="9"/>
        <v>52</v>
      </c>
      <c r="P112" s="5" t="str">
        <f t="shared" si="10"/>
        <v>High engagement</v>
      </c>
      <c r="Q112" t="b">
        <v>1</v>
      </c>
      <c r="R112" t="b">
        <v>0</v>
      </c>
      <c r="S112" t="b">
        <v>0</v>
      </c>
      <c r="T112" s="24" t="str">
        <f t="shared" si="11"/>
        <v>Photo</v>
      </c>
    </row>
    <row r="113" spans="1:20" x14ac:dyDescent="0.2">
      <c r="A113" t="s">
        <v>4999</v>
      </c>
      <c r="B113" t="s">
        <v>2365</v>
      </c>
      <c r="C113" t="s">
        <v>2366</v>
      </c>
      <c r="D113" t="s">
        <v>5000</v>
      </c>
      <c r="E113" t="s">
        <v>5001</v>
      </c>
      <c r="F113" t="str">
        <f>IF(Table2[[#This Row],[Date posted]]&lt; DATE(2015,9,18),"Before Crisis","During Crisis")</f>
        <v>Before Crisis</v>
      </c>
      <c r="G113" s="27">
        <f t="shared" si="6"/>
        <v>42259</v>
      </c>
      <c r="H113" s="7" t="str">
        <f t="shared" si="7"/>
        <v>01:32:59</v>
      </c>
      <c r="I113" s="8" t="str">
        <f t="shared" si="8"/>
        <v>Early morning</v>
      </c>
      <c r="J113" t="s">
        <v>2370</v>
      </c>
      <c r="K113" t="s">
        <v>2370</v>
      </c>
      <c r="L113">
        <v>36</v>
      </c>
      <c r="M113">
        <v>1</v>
      </c>
      <c r="N113">
        <v>15</v>
      </c>
      <c r="O113" s="4">
        <f t="shared" si="9"/>
        <v>52</v>
      </c>
      <c r="P113" s="5" t="str">
        <f t="shared" si="10"/>
        <v>High engagement</v>
      </c>
      <c r="Q113" t="b">
        <v>1</v>
      </c>
      <c r="R113" t="b">
        <v>0</v>
      </c>
      <c r="S113" t="b">
        <v>0</v>
      </c>
      <c r="T113" s="24" t="str">
        <f t="shared" si="11"/>
        <v>Photo</v>
      </c>
    </row>
    <row r="114" spans="1:20" hidden="1" x14ac:dyDescent="0.2">
      <c r="A114" t="s">
        <v>4993</v>
      </c>
      <c r="B114" t="s">
        <v>2365</v>
      </c>
      <c r="C114" t="s">
        <v>2366</v>
      </c>
      <c r="D114" t="s">
        <v>4994</v>
      </c>
      <c r="E114" t="s">
        <v>4995</v>
      </c>
      <c r="F114" t="str">
        <f>IF(Table2[[#This Row],[Date posted]]&lt; DATE(2015,9,18),"Before Crisis","During Crisis")</f>
        <v>Before Crisis</v>
      </c>
      <c r="G114" s="27">
        <f t="shared" si="6"/>
        <v>42259</v>
      </c>
      <c r="H114" s="7" t="str">
        <f t="shared" si="7"/>
        <v>19:49:01</v>
      </c>
      <c r="I114" s="8" t="str">
        <f t="shared" si="8"/>
        <v>Evening</v>
      </c>
      <c r="J114" t="s">
        <v>2370</v>
      </c>
      <c r="K114" t="s">
        <v>2370</v>
      </c>
      <c r="L114">
        <v>24</v>
      </c>
      <c r="M114" s="3">
        <v>0</v>
      </c>
      <c r="N114">
        <v>15</v>
      </c>
      <c r="O114" s="4">
        <f t="shared" si="9"/>
        <v>39</v>
      </c>
      <c r="P114" s="5" t="str">
        <f t="shared" si="10"/>
        <v>High engagement</v>
      </c>
      <c r="Q114" t="b">
        <v>1</v>
      </c>
      <c r="R114" t="b">
        <v>0</v>
      </c>
      <c r="S114" t="b">
        <v>0</v>
      </c>
      <c r="T114" s="24" t="str">
        <f t="shared" si="11"/>
        <v>Photo</v>
      </c>
    </row>
    <row r="115" spans="1:20" hidden="1" x14ac:dyDescent="0.2">
      <c r="A115" t="s">
        <v>7204</v>
      </c>
      <c r="B115" t="s">
        <v>2365</v>
      </c>
      <c r="C115" t="s">
        <v>2366</v>
      </c>
      <c r="D115" t="s">
        <v>7205</v>
      </c>
      <c r="E115" t="s">
        <v>7206</v>
      </c>
      <c r="F115" t="str">
        <f>IF(Table2[[#This Row],[Date posted]]&lt; DATE(2015,9,18),"Before Crisis","During Crisis")</f>
        <v>Before Crisis</v>
      </c>
      <c r="G115" s="27">
        <f t="shared" si="6"/>
        <v>42175</v>
      </c>
      <c r="H115" s="7" t="str">
        <f t="shared" si="7"/>
        <v>16:41:16</v>
      </c>
      <c r="I115" s="8" t="str">
        <f t="shared" si="8"/>
        <v>Afternoon</v>
      </c>
      <c r="J115" t="s">
        <v>2370</v>
      </c>
      <c r="K115" t="s">
        <v>2370</v>
      </c>
      <c r="L115">
        <v>30</v>
      </c>
      <c r="M115" s="3">
        <v>0</v>
      </c>
      <c r="N115">
        <v>14</v>
      </c>
      <c r="O115" s="4">
        <f t="shared" si="9"/>
        <v>44</v>
      </c>
      <c r="P115" s="5" t="str">
        <f t="shared" si="10"/>
        <v>High engagement</v>
      </c>
      <c r="Q115" t="b">
        <v>1</v>
      </c>
      <c r="R115" t="b">
        <v>0</v>
      </c>
      <c r="S115" t="b">
        <v>0</v>
      </c>
      <c r="T115" s="24" t="str">
        <f t="shared" si="11"/>
        <v>Photo</v>
      </c>
    </row>
    <row r="116" spans="1:20" hidden="1" x14ac:dyDescent="0.2">
      <c r="A116" t="s">
        <v>7201</v>
      </c>
      <c r="B116" t="s">
        <v>2365</v>
      </c>
      <c r="C116" t="s">
        <v>2366</v>
      </c>
      <c r="D116" t="s">
        <v>7202</v>
      </c>
      <c r="E116" t="s">
        <v>7203</v>
      </c>
      <c r="F116" t="str">
        <f>IF(Table2[[#This Row],[Date posted]]&lt; DATE(2015,9,18),"Before Crisis","During Crisis")</f>
        <v>Before Crisis</v>
      </c>
      <c r="G116" s="27">
        <f t="shared" si="6"/>
        <v>42175</v>
      </c>
      <c r="H116" s="7" t="str">
        <f t="shared" si="7"/>
        <v>16:50:46</v>
      </c>
      <c r="I116" s="8" t="str">
        <f t="shared" si="8"/>
        <v>Afternoon</v>
      </c>
      <c r="J116" t="s">
        <v>2370</v>
      </c>
      <c r="K116" t="s">
        <v>2370</v>
      </c>
      <c r="L116">
        <v>34</v>
      </c>
      <c r="M116">
        <v>1</v>
      </c>
      <c r="N116">
        <v>14</v>
      </c>
      <c r="O116" s="4">
        <f t="shared" si="9"/>
        <v>49</v>
      </c>
      <c r="P116" s="5" t="str">
        <f t="shared" si="10"/>
        <v>High engagement</v>
      </c>
      <c r="Q116" t="b">
        <v>1</v>
      </c>
      <c r="R116" t="b">
        <v>0</v>
      </c>
      <c r="S116" t="b">
        <v>0</v>
      </c>
      <c r="T116" s="24" t="str">
        <f t="shared" si="11"/>
        <v>Photo</v>
      </c>
    </row>
    <row r="117" spans="1:20" hidden="1" x14ac:dyDescent="0.2">
      <c r="A117" t="s">
        <v>7159</v>
      </c>
      <c r="B117" t="s">
        <v>2365</v>
      </c>
      <c r="C117" t="s">
        <v>2366</v>
      </c>
      <c r="D117" t="s">
        <v>7160</v>
      </c>
      <c r="E117" t="s">
        <v>7161</v>
      </c>
      <c r="F117" t="str">
        <f>IF(Table2[[#This Row],[Date posted]]&lt; DATE(2015,9,18),"Before Crisis","During Crisis")</f>
        <v>Before Crisis</v>
      </c>
      <c r="G117" s="27">
        <f t="shared" si="6"/>
        <v>42176</v>
      </c>
      <c r="H117" s="7" t="str">
        <f t="shared" si="7"/>
        <v>18:44:13</v>
      </c>
      <c r="I117" s="8" t="str">
        <f t="shared" si="8"/>
        <v>Evening</v>
      </c>
      <c r="J117" t="s">
        <v>2370</v>
      </c>
      <c r="K117" t="s">
        <v>2370</v>
      </c>
      <c r="L117">
        <v>23</v>
      </c>
      <c r="M117" s="3">
        <v>0</v>
      </c>
      <c r="N117">
        <v>14</v>
      </c>
      <c r="O117" s="4">
        <f t="shared" si="9"/>
        <v>37</v>
      </c>
      <c r="P117" s="5" t="str">
        <f t="shared" si="10"/>
        <v>High engagement</v>
      </c>
      <c r="Q117" t="b">
        <v>1</v>
      </c>
      <c r="R117" t="b">
        <v>0</v>
      </c>
      <c r="S117" t="b">
        <v>0</v>
      </c>
      <c r="T117" s="24" t="str">
        <f t="shared" si="11"/>
        <v>Photo</v>
      </c>
    </row>
    <row r="118" spans="1:20" hidden="1" x14ac:dyDescent="0.2">
      <c r="A118" t="s">
        <v>6753</v>
      </c>
      <c r="B118" t="s">
        <v>2365</v>
      </c>
      <c r="C118" t="s">
        <v>2366</v>
      </c>
      <c r="D118" t="s">
        <v>6754</v>
      </c>
      <c r="E118" t="s">
        <v>6755</v>
      </c>
      <c r="F118" t="str">
        <f>IF(Table2[[#This Row],[Date posted]]&lt; DATE(2015,9,18),"Before Crisis","During Crisis")</f>
        <v>Before Crisis</v>
      </c>
      <c r="G118" s="27">
        <f t="shared" si="6"/>
        <v>42188</v>
      </c>
      <c r="H118" s="7" t="str">
        <f t="shared" si="7"/>
        <v>21:43:45</v>
      </c>
      <c r="I118" s="8" t="str">
        <f t="shared" si="8"/>
        <v>Evening</v>
      </c>
      <c r="J118" t="s">
        <v>2370</v>
      </c>
      <c r="K118" t="s">
        <v>2370</v>
      </c>
      <c r="L118">
        <v>35</v>
      </c>
      <c r="M118">
        <v>2</v>
      </c>
      <c r="N118">
        <v>14</v>
      </c>
      <c r="O118" s="4">
        <f t="shared" si="9"/>
        <v>51</v>
      </c>
      <c r="P118" s="5" t="str">
        <f t="shared" si="10"/>
        <v>High engagement</v>
      </c>
      <c r="Q118" t="b">
        <v>1</v>
      </c>
      <c r="R118" t="b">
        <v>0</v>
      </c>
      <c r="S118" t="b">
        <v>0</v>
      </c>
      <c r="T118" s="24" t="str">
        <f t="shared" si="11"/>
        <v>Photo</v>
      </c>
    </row>
    <row r="119" spans="1:20" x14ac:dyDescent="0.2">
      <c r="A119" t="s">
        <v>6335</v>
      </c>
      <c r="B119" t="s">
        <v>2365</v>
      </c>
      <c r="C119" t="s">
        <v>2366</v>
      </c>
      <c r="D119" t="s">
        <v>6336</v>
      </c>
      <c r="E119" t="s">
        <v>6337</v>
      </c>
      <c r="F119" t="str">
        <f>IF(Table2[[#This Row],[Date posted]]&lt; DATE(2015,9,18),"Before Crisis","During Crisis")</f>
        <v>Before Crisis</v>
      </c>
      <c r="G119" s="27">
        <f t="shared" si="6"/>
        <v>42202</v>
      </c>
      <c r="H119" s="7" t="str">
        <f t="shared" si="7"/>
        <v>00:41:38</v>
      </c>
      <c r="I119" s="8" t="str">
        <f t="shared" si="8"/>
        <v>Early morning</v>
      </c>
      <c r="J119" t="s">
        <v>2370</v>
      </c>
      <c r="K119" t="s">
        <v>2370</v>
      </c>
      <c r="L119">
        <v>31</v>
      </c>
      <c r="M119" s="3">
        <v>0</v>
      </c>
      <c r="N119">
        <v>14</v>
      </c>
      <c r="O119" s="4">
        <f t="shared" si="9"/>
        <v>45</v>
      </c>
      <c r="P119" s="5" t="str">
        <f t="shared" si="10"/>
        <v>High engagement</v>
      </c>
      <c r="Q119" t="b">
        <v>1</v>
      </c>
      <c r="R119" t="b">
        <v>0</v>
      </c>
      <c r="S119" t="b">
        <v>0</v>
      </c>
      <c r="T119" s="24" t="str">
        <f t="shared" si="11"/>
        <v>Photo</v>
      </c>
    </row>
    <row r="120" spans="1:20" hidden="1" x14ac:dyDescent="0.2">
      <c r="A120" t="s">
        <v>6296</v>
      </c>
      <c r="B120" t="s">
        <v>2365</v>
      </c>
      <c r="C120" t="s">
        <v>2366</v>
      </c>
      <c r="D120" t="s">
        <v>6297</v>
      </c>
      <c r="E120" t="s">
        <v>6298</v>
      </c>
      <c r="F120" t="str">
        <f>IF(Table2[[#This Row],[Date posted]]&lt; DATE(2015,9,18),"Before Crisis","During Crisis")</f>
        <v>Before Crisis</v>
      </c>
      <c r="G120" s="27">
        <f t="shared" si="6"/>
        <v>42202</v>
      </c>
      <c r="H120" s="7" t="str">
        <f t="shared" si="7"/>
        <v>20:59:07</v>
      </c>
      <c r="I120" s="8" t="str">
        <f t="shared" si="8"/>
        <v>Evening</v>
      </c>
      <c r="J120" t="s">
        <v>2370</v>
      </c>
      <c r="K120" t="s">
        <v>2370</v>
      </c>
      <c r="L120">
        <v>65</v>
      </c>
      <c r="M120" s="3">
        <v>0</v>
      </c>
      <c r="N120">
        <v>14</v>
      </c>
      <c r="O120" s="4">
        <f t="shared" si="9"/>
        <v>79</v>
      </c>
      <c r="P120" s="5" t="str">
        <f t="shared" si="10"/>
        <v>High engagement</v>
      </c>
      <c r="Q120" t="b">
        <v>1</v>
      </c>
      <c r="R120" t="b">
        <v>0</v>
      </c>
      <c r="S120" t="b">
        <v>0</v>
      </c>
      <c r="T120" s="24" t="str">
        <f t="shared" si="11"/>
        <v>Photo</v>
      </c>
    </row>
    <row r="121" spans="1:20" x14ac:dyDescent="0.2">
      <c r="A121" t="s">
        <v>6113</v>
      </c>
      <c r="B121" t="s">
        <v>2365</v>
      </c>
      <c r="C121" t="s">
        <v>2366</v>
      </c>
      <c r="D121" t="s">
        <v>6114</v>
      </c>
      <c r="E121" t="s">
        <v>6115</v>
      </c>
      <c r="F121" t="str">
        <f>IF(Table2[[#This Row],[Date posted]]&lt; DATE(2015,9,18),"Before Crisis","During Crisis")</f>
        <v>Before Crisis</v>
      </c>
      <c r="G121" s="27">
        <f t="shared" si="6"/>
        <v>42208</v>
      </c>
      <c r="H121" s="7" t="str">
        <f t="shared" si="7"/>
        <v>01:01:50</v>
      </c>
      <c r="I121" s="8" t="str">
        <f t="shared" si="8"/>
        <v>Early morning</v>
      </c>
      <c r="J121" t="s">
        <v>2370</v>
      </c>
      <c r="K121" t="s">
        <v>2370</v>
      </c>
      <c r="L121">
        <v>31</v>
      </c>
      <c r="M121">
        <v>2</v>
      </c>
      <c r="N121">
        <v>14</v>
      </c>
      <c r="O121" s="4">
        <f t="shared" si="9"/>
        <v>47</v>
      </c>
      <c r="P121" s="5" t="str">
        <f t="shared" si="10"/>
        <v>High engagement</v>
      </c>
      <c r="Q121" t="b">
        <v>1</v>
      </c>
      <c r="R121" t="b">
        <v>0</v>
      </c>
      <c r="S121" t="b">
        <v>0</v>
      </c>
      <c r="T121" s="24" t="str">
        <f t="shared" si="11"/>
        <v>Photo</v>
      </c>
    </row>
    <row r="122" spans="1:20" hidden="1" x14ac:dyDescent="0.2">
      <c r="A122" t="s">
        <v>6103</v>
      </c>
      <c r="B122" t="s">
        <v>2365</v>
      </c>
      <c r="C122" t="s">
        <v>2366</v>
      </c>
      <c r="D122" t="s">
        <v>6104</v>
      </c>
      <c r="E122" t="s">
        <v>6105</v>
      </c>
      <c r="F122" t="str">
        <f>IF(Table2[[#This Row],[Date posted]]&lt; DATE(2015,9,18),"Before Crisis","During Crisis")</f>
        <v>Before Crisis</v>
      </c>
      <c r="G122" s="27">
        <f t="shared" si="6"/>
        <v>42208</v>
      </c>
      <c r="H122" s="7" t="str">
        <f t="shared" si="7"/>
        <v>15:10:32</v>
      </c>
      <c r="I122" s="8" t="str">
        <f t="shared" si="8"/>
        <v>Afternoon</v>
      </c>
      <c r="J122" t="s">
        <v>2370</v>
      </c>
      <c r="K122" t="s">
        <v>2370</v>
      </c>
      <c r="L122">
        <v>41</v>
      </c>
      <c r="M122" s="3">
        <v>0</v>
      </c>
      <c r="N122">
        <v>14</v>
      </c>
      <c r="O122" s="4">
        <f t="shared" si="9"/>
        <v>55</v>
      </c>
      <c r="P122" s="5" t="str">
        <f t="shared" si="10"/>
        <v>High engagement</v>
      </c>
      <c r="Q122" t="b">
        <v>1</v>
      </c>
      <c r="R122" t="b">
        <v>0</v>
      </c>
      <c r="S122" t="b">
        <v>0</v>
      </c>
      <c r="T122" s="24" t="str">
        <f t="shared" si="11"/>
        <v>Photo</v>
      </c>
    </row>
    <row r="123" spans="1:20" hidden="1" x14ac:dyDescent="0.2">
      <c r="A123" t="s">
        <v>6084</v>
      </c>
      <c r="B123" t="s">
        <v>2365</v>
      </c>
      <c r="C123" t="s">
        <v>2366</v>
      </c>
      <c r="D123" t="s">
        <v>6085</v>
      </c>
      <c r="E123" t="s">
        <v>6086</v>
      </c>
      <c r="F123" t="str">
        <f>IF(Table2[[#This Row],[Date posted]]&lt; DATE(2015,9,18),"Before Crisis","During Crisis")</f>
        <v>Before Crisis</v>
      </c>
      <c r="G123" s="27">
        <f t="shared" si="6"/>
        <v>42208</v>
      </c>
      <c r="H123" s="7" t="str">
        <f t="shared" si="7"/>
        <v>23:20:08</v>
      </c>
      <c r="I123" s="8" t="str">
        <f t="shared" si="8"/>
        <v>Evening</v>
      </c>
      <c r="J123" t="s">
        <v>2370</v>
      </c>
      <c r="K123" t="s">
        <v>2370</v>
      </c>
      <c r="L123">
        <v>22</v>
      </c>
      <c r="M123">
        <v>6</v>
      </c>
      <c r="N123">
        <v>14</v>
      </c>
      <c r="O123" s="4">
        <f t="shared" si="9"/>
        <v>42</v>
      </c>
      <c r="P123" s="5" t="str">
        <f t="shared" si="10"/>
        <v>High engagement</v>
      </c>
      <c r="Q123" t="b">
        <v>1</v>
      </c>
      <c r="R123" t="b">
        <v>1</v>
      </c>
      <c r="S123" t="b">
        <v>0</v>
      </c>
      <c r="T123" s="24" t="str">
        <f t="shared" si="11"/>
        <v>Photo</v>
      </c>
    </row>
    <row r="124" spans="1:20" hidden="1" x14ac:dyDescent="0.2">
      <c r="A124" t="s">
        <v>6081</v>
      </c>
      <c r="B124" t="s">
        <v>2365</v>
      </c>
      <c r="C124" t="s">
        <v>2366</v>
      </c>
      <c r="D124" t="s">
        <v>6082</v>
      </c>
      <c r="E124" t="s">
        <v>6083</v>
      </c>
      <c r="F124" t="str">
        <f>IF(Table2[[#This Row],[Date posted]]&lt; DATE(2015,9,18),"Before Crisis","During Crisis")</f>
        <v>Before Crisis</v>
      </c>
      <c r="G124" s="27">
        <f t="shared" si="6"/>
        <v>42209</v>
      </c>
      <c r="H124" s="7" t="str">
        <f t="shared" si="7"/>
        <v>14:54:12</v>
      </c>
      <c r="I124" s="8" t="str">
        <f t="shared" si="8"/>
        <v>Afternoon</v>
      </c>
      <c r="J124" t="s">
        <v>2370</v>
      </c>
      <c r="K124" t="s">
        <v>2370</v>
      </c>
      <c r="L124">
        <v>29</v>
      </c>
      <c r="M124">
        <v>1</v>
      </c>
      <c r="N124">
        <v>14</v>
      </c>
      <c r="O124" s="4">
        <f t="shared" si="9"/>
        <v>44</v>
      </c>
      <c r="P124" s="5" t="str">
        <f t="shared" si="10"/>
        <v>High engagement</v>
      </c>
      <c r="Q124" t="b">
        <v>1</v>
      </c>
      <c r="R124" t="b">
        <v>0</v>
      </c>
      <c r="S124" t="b">
        <v>0</v>
      </c>
      <c r="T124" s="24" t="str">
        <f t="shared" si="11"/>
        <v>Photo</v>
      </c>
    </row>
    <row r="125" spans="1:20" hidden="1" x14ac:dyDescent="0.2">
      <c r="A125" t="s">
        <v>6008</v>
      </c>
      <c r="B125" t="s">
        <v>2365</v>
      </c>
      <c r="C125" t="s">
        <v>2366</v>
      </c>
      <c r="D125" t="s">
        <v>6009</v>
      </c>
      <c r="E125" t="s">
        <v>6010</v>
      </c>
      <c r="F125" t="str">
        <f>IF(Table2[[#This Row],[Date posted]]&lt; DATE(2015,9,18),"Before Crisis","During Crisis")</f>
        <v>Before Crisis</v>
      </c>
      <c r="G125" s="27">
        <f t="shared" si="6"/>
        <v>42211</v>
      </c>
      <c r="H125" s="7" t="str">
        <f t="shared" si="7"/>
        <v>15:01:52</v>
      </c>
      <c r="I125" s="8" t="str">
        <f t="shared" si="8"/>
        <v>Afternoon</v>
      </c>
      <c r="J125" t="s">
        <v>2370</v>
      </c>
      <c r="K125" t="s">
        <v>2370</v>
      </c>
      <c r="L125">
        <v>22</v>
      </c>
      <c r="M125" s="3">
        <v>0</v>
      </c>
      <c r="N125">
        <v>14</v>
      </c>
      <c r="O125" s="4">
        <f t="shared" si="9"/>
        <v>36</v>
      </c>
      <c r="P125" s="5" t="str">
        <f t="shared" si="10"/>
        <v>High engagement</v>
      </c>
      <c r="Q125" t="b">
        <v>1</v>
      </c>
      <c r="R125" t="b">
        <v>0</v>
      </c>
      <c r="S125" t="b">
        <v>0</v>
      </c>
      <c r="T125" s="24" t="str">
        <f t="shared" si="11"/>
        <v>Photo</v>
      </c>
    </row>
    <row r="126" spans="1:20" hidden="1" x14ac:dyDescent="0.2">
      <c r="A126" t="s">
        <v>5987</v>
      </c>
      <c r="B126" t="s">
        <v>2365</v>
      </c>
      <c r="C126" t="s">
        <v>2366</v>
      </c>
      <c r="D126" t="s">
        <v>5988</v>
      </c>
      <c r="E126" t="s">
        <v>5989</v>
      </c>
      <c r="F126" t="str">
        <f>IF(Table2[[#This Row],[Date posted]]&lt; DATE(2015,9,18),"Before Crisis","During Crisis")</f>
        <v>Before Crisis</v>
      </c>
      <c r="G126" s="27">
        <f t="shared" si="6"/>
        <v>42211</v>
      </c>
      <c r="H126" s="7" t="str">
        <f t="shared" si="7"/>
        <v>17:36:57</v>
      </c>
      <c r="I126" s="8" t="str">
        <f t="shared" si="8"/>
        <v>Afternoon</v>
      </c>
      <c r="J126" t="s">
        <v>2370</v>
      </c>
      <c r="K126" t="s">
        <v>2370</v>
      </c>
      <c r="L126">
        <v>27</v>
      </c>
      <c r="M126" s="3">
        <v>0</v>
      </c>
      <c r="N126">
        <v>14</v>
      </c>
      <c r="O126" s="4">
        <f t="shared" si="9"/>
        <v>41</v>
      </c>
      <c r="P126" s="5" t="str">
        <f t="shared" si="10"/>
        <v>High engagement</v>
      </c>
      <c r="Q126" t="b">
        <v>1</v>
      </c>
      <c r="R126" t="b">
        <v>0</v>
      </c>
      <c r="S126" t="b">
        <v>0</v>
      </c>
      <c r="T126" s="24" t="str">
        <f t="shared" si="11"/>
        <v>Photo</v>
      </c>
    </row>
    <row r="127" spans="1:20" hidden="1" x14ac:dyDescent="0.2">
      <c r="A127" t="s">
        <v>5576</v>
      </c>
      <c r="B127" t="s">
        <v>2365</v>
      </c>
      <c r="C127" t="s">
        <v>2366</v>
      </c>
      <c r="D127" t="s">
        <v>5577</v>
      </c>
      <c r="E127" t="s">
        <v>5578</v>
      </c>
      <c r="F127" t="str">
        <f>IF(Table2[[#This Row],[Date posted]]&lt; DATE(2015,9,18),"Before Crisis","During Crisis")</f>
        <v>Before Crisis</v>
      </c>
      <c r="G127" s="27">
        <f t="shared" si="6"/>
        <v>42230</v>
      </c>
      <c r="H127" s="7" t="str">
        <f t="shared" si="7"/>
        <v>22:44:26</v>
      </c>
      <c r="I127" s="8" t="str">
        <f t="shared" si="8"/>
        <v>Evening</v>
      </c>
      <c r="J127" t="s">
        <v>2370</v>
      </c>
      <c r="K127" t="s">
        <v>2370</v>
      </c>
      <c r="L127">
        <v>36</v>
      </c>
      <c r="M127" s="3">
        <v>0</v>
      </c>
      <c r="N127">
        <v>14</v>
      </c>
      <c r="O127" s="4">
        <f t="shared" si="9"/>
        <v>50</v>
      </c>
      <c r="P127" s="5" t="str">
        <f t="shared" si="10"/>
        <v>High engagement</v>
      </c>
      <c r="Q127" t="b">
        <v>1</v>
      </c>
      <c r="R127" t="b">
        <v>0</v>
      </c>
      <c r="S127" t="b">
        <v>0</v>
      </c>
      <c r="T127" s="24" t="str">
        <f t="shared" si="11"/>
        <v>Photo</v>
      </c>
    </row>
    <row r="128" spans="1:20" hidden="1" x14ac:dyDescent="0.2">
      <c r="A128" t="s">
        <v>4978</v>
      </c>
      <c r="B128" t="s">
        <v>2365</v>
      </c>
      <c r="C128" t="s">
        <v>2366</v>
      </c>
      <c r="D128" t="s">
        <v>4979</v>
      </c>
      <c r="E128" t="s">
        <v>4980</v>
      </c>
      <c r="F128" t="str">
        <f>IF(Table2[[#This Row],[Date posted]]&lt; DATE(2015,9,18),"Before Crisis","During Crisis")</f>
        <v>Before Crisis</v>
      </c>
      <c r="G128" s="27">
        <f t="shared" si="6"/>
        <v>42260</v>
      </c>
      <c r="H128" s="7" t="str">
        <f t="shared" si="7"/>
        <v>16:29:03</v>
      </c>
      <c r="I128" s="8" t="str">
        <f t="shared" si="8"/>
        <v>Afternoon</v>
      </c>
      <c r="J128" t="s">
        <v>2370</v>
      </c>
      <c r="K128" t="s">
        <v>2370</v>
      </c>
      <c r="L128">
        <v>34</v>
      </c>
      <c r="M128">
        <v>2</v>
      </c>
      <c r="N128">
        <v>14</v>
      </c>
      <c r="O128" s="4">
        <f t="shared" si="9"/>
        <v>50</v>
      </c>
      <c r="P128" s="5" t="str">
        <f t="shared" si="10"/>
        <v>High engagement</v>
      </c>
      <c r="Q128" t="b">
        <v>1</v>
      </c>
      <c r="R128" t="b">
        <v>0</v>
      </c>
      <c r="S128" t="b">
        <v>0</v>
      </c>
      <c r="T128" s="24" t="str">
        <f t="shared" si="11"/>
        <v>Photo</v>
      </c>
    </row>
    <row r="129" spans="1:20" hidden="1" x14ac:dyDescent="0.2">
      <c r="A129" t="s">
        <v>7245</v>
      </c>
      <c r="B129" t="s">
        <v>2365</v>
      </c>
      <c r="C129" t="s">
        <v>2366</v>
      </c>
      <c r="D129" t="s">
        <v>7246</v>
      </c>
      <c r="E129" t="s">
        <v>7247</v>
      </c>
      <c r="F129" t="str">
        <f>IF(Table2[[#This Row],[Date posted]]&lt; DATE(2015,9,18),"Before Crisis","During Crisis")</f>
        <v>Before Crisis</v>
      </c>
      <c r="G129" s="27">
        <f t="shared" si="6"/>
        <v>42174</v>
      </c>
      <c r="H129" s="7" t="str">
        <f t="shared" si="7"/>
        <v>22:21:00</v>
      </c>
      <c r="I129" s="8" t="str">
        <f t="shared" si="8"/>
        <v>Evening</v>
      </c>
      <c r="J129" t="s">
        <v>2370</v>
      </c>
      <c r="K129" t="s">
        <v>2370</v>
      </c>
      <c r="L129">
        <v>28</v>
      </c>
      <c r="M129" s="3">
        <v>0</v>
      </c>
      <c r="N129">
        <v>13</v>
      </c>
      <c r="O129" s="4">
        <f t="shared" si="9"/>
        <v>41</v>
      </c>
      <c r="P129" s="5" t="str">
        <f t="shared" si="10"/>
        <v>High engagement</v>
      </c>
      <c r="Q129" t="b">
        <v>1</v>
      </c>
      <c r="R129" t="b">
        <v>0</v>
      </c>
      <c r="S129" t="b">
        <v>0</v>
      </c>
      <c r="T129" s="24" t="str">
        <f t="shared" si="11"/>
        <v>Photo</v>
      </c>
    </row>
    <row r="130" spans="1:20" hidden="1" x14ac:dyDescent="0.2">
      <c r="A130" t="s">
        <v>6769</v>
      </c>
      <c r="B130" t="s">
        <v>2365</v>
      </c>
      <c r="C130" t="s">
        <v>2366</v>
      </c>
      <c r="D130" t="s">
        <v>6770</v>
      </c>
      <c r="E130" t="s">
        <v>6771</v>
      </c>
      <c r="F130" t="str">
        <f>IF(Table2[[#This Row],[Date posted]]&lt; DATE(2015,9,18),"Before Crisis","During Crisis")</f>
        <v>Before Crisis</v>
      </c>
      <c r="G130" s="27">
        <f t="shared" ref="G130:G193" si="12">DATEVALUE(LEFT(E130,10))</f>
        <v>42188</v>
      </c>
      <c r="H130" s="7" t="str">
        <f t="shared" ref="H130:H193" si="13">MID(E130,12,8)</f>
        <v>18:27:28</v>
      </c>
      <c r="I130" s="8" t="str">
        <f t="shared" ref="I130:I193" si="14">IF(HOUR(H130)&lt;7,"Early morning",
IF(HOUR(H130)&lt;11,"Morning",
IF(HOUR(H130)&lt;14,"Mid-day",
IF(HOUR(H130)&lt;18,"Afternoon","Evening"))))</f>
        <v>Evening</v>
      </c>
      <c r="J130" t="s">
        <v>2370</v>
      </c>
      <c r="K130" t="s">
        <v>2370</v>
      </c>
      <c r="L130">
        <v>32</v>
      </c>
      <c r="M130" s="3">
        <v>0</v>
      </c>
      <c r="N130">
        <v>13</v>
      </c>
      <c r="O130" s="4">
        <f t="shared" ref="O130:O193" si="15">L130+M130+N130</f>
        <v>45</v>
      </c>
      <c r="P130" s="5" t="str">
        <f t="shared" ref="P130:P193" si="16">IF(O130&lt;1,"No engagement", IF(O130&lt;5,"Low engagement", IF(O130&lt;10,"Moderate engagement", "High engagement")))</f>
        <v>High engagement</v>
      </c>
      <c r="Q130" t="b">
        <v>1</v>
      </c>
      <c r="R130" t="b">
        <v>0</v>
      </c>
      <c r="S130" t="b">
        <v>0</v>
      </c>
      <c r="T130" s="24" t="str">
        <f t="shared" ref="T130:T193" si="17">IF(Q130=TRUE,"Photo",
    IF(R130=TRUE,"Video",
        IF(S130=TRUE,"Link","Text only")))</f>
        <v>Photo</v>
      </c>
    </row>
    <row r="131" spans="1:20" hidden="1" x14ac:dyDescent="0.2">
      <c r="A131" t="s">
        <v>6231</v>
      </c>
      <c r="B131" t="s">
        <v>2365</v>
      </c>
      <c r="C131" t="s">
        <v>2366</v>
      </c>
      <c r="D131" t="s">
        <v>6232</v>
      </c>
      <c r="E131" t="s">
        <v>6233</v>
      </c>
      <c r="F131" t="str">
        <f>IF(Table2[[#This Row],[Date posted]]&lt; DATE(2015,9,18),"Before Crisis","During Crisis")</f>
        <v>Before Crisis</v>
      </c>
      <c r="G131" s="27">
        <f t="shared" si="12"/>
        <v>42204</v>
      </c>
      <c r="H131" s="7" t="str">
        <f t="shared" si="13"/>
        <v>21:47:15</v>
      </c>
      <c r="I131" s="8" t="str">
        <f t="shared" si="14"/>
        <v>Evening</v>
      </c>
      <c r="J131" t="s">
        <v>2370</v>
      </c>
      <c r="K131" t="s">
        <v>2370</v>
      </c>
      <c r="L131">
        <v>38</v>
      </c>
      <c r="M131" s="3">
        <v>0</v>
      </c>
      <c r="N131">
        <v>13</v>
      </c>
      <c r="O131" s="4">
        <f t="shared" si="15"/>
        <v>51</v>
      </c>
      <c r="P131" s="5" t="str">
        <f t="shared" si="16"/>
        <v>High engagement</v>
      </c>
      <c r="Q131" t="b">
        <v>1</v>
      </c>
      <c r="R131" t="b">
        <v>0</v>
      </c>
      <c r="S131" t="b">
        <v>0</v>
      </c>
      <c r="T131" s="24" t="str">
        <f t="shared" si="17"/>
        <v>Photo</v>
      </c>
    </row>
    <row r="132" spans="1:20" hidden="1" x14ac:dyDescent="0.2">
      <c r="A132" t="s">
        <v>5593</v>
      </c>
      <c r="B132" t="s">
        <v>2365</v>
      </c>
      <c r="C132" t="s">
        <v>2366</v>
      </c>
      <c r="D132" t="s">
        <v>5594</v>
      </c>
      <c r="E132" t="s">
        <v>5595</v>
      </c>
      <c r="F132" t="str">
        <f>IF(Table2[[#This Row],[Date posted]]&lt; DATE(2015,9,18),"Before Crisis","During Crisis")</f>
        <v>Before Crisis</v>
      </c>
      <c r="G132" s="27">
        <f t="shared" si="12"/>
        <v>42230</v>
      </c>
      <c r="H132" s="7" t="str">
        <f t="shared" si="13"/>
        <v>15:52:23</v>
      </c>
      <c r="I132" s="8" t="str">
        <f t="shared" si="14"/>
        <v>Afternoon</v>
      </c>
      <c r="J132" t="s">
        <v>2370</v>
      </c>
      <c r="K132" t="s">
        <v>2370</v>
      </c>
      <c r="L132">
        <v>31</v>
      </c>
      <c r="M132" s="3">
        <v>0</v>
      </c>
      <c r="N132">
        <v>13</v>
      </c>
      <c r="O132" s="4">
        <f t="shared" si="15"/>
        <v>44</v>
      </c>
      <c r="P132" s="5" t="str">
        <f t="shared" si="16"/>
        <v>High engagement</v>
      </c>
      <c r="Q132" t="b">
        <v>1</v>
      </c>
      <c r="R132" t="b">
        <v>0</v>
      </c>
      <c r="S132" t="b">
        <v>0</v>
      </c>
      <c r="T132" s="24" t="str">
        <f t="shared" si="17"/>
        <v>Photo</v>
      </c>
    </row>
    <row r="133" spans="1:20" hidden="1" x14ac:dyDescent="0.2">
      <c r="A133" t="s">
        <v>7189</v>
      </c>
      <c r="B133" t="s">
        <v>2365</v>
      </c>
      <c r="C133" t="s">
        <v>2366</v>
      </c>
      <c r="D133" t="s">
        <v>7190</v>
      </c>
      <c r="E133" t="s">
        <v>7191</v>
      </c>
      <c r="F133" t="str">
        <f>IF(Table2[[#This Row],[Date posted]]&lt; DATE(2015,9,18),"Before Crisis","During Crisis")</f>
        <v>Before Crisis</v>
      </c>
      <c r="G133" s="27">
        <f t="shared" si="12"/>
        <v>42175</v>
      </c>
      <c r="H133" s="7" t="str">
        <f t="shared" si="13"/>
        <v>19:52:10</v>
      </c>
      <c r="I133" s="8" t="str">
        <f t="shared" si="14"/>
        <v>Evening</v>
      </c>
      <c r="J133" t="s">
        <v>2370</v>
      </c>
      <c r="K133" t="s">
        <v>2370</v>
      </c>
      <c r="L133">
        <v>17</v>
      </c>
      <c r="M133">
        <v>1</v>
      </c>
      <c r="N133">
        <v>12</v>
      </c>
      <c r="O133" s="4">
        <f t="shared" si="15"/>
        <v>30</v>
      </c>
      <c r="P133" s="5" t="str">
        <f t="shared" si="16"/>
        <v>High engagement</v>
      </c>
      <c r="Q133" t="b">
        <v>1</v>
      </c>
      <c r="R133" t="b">
        <v>0</v>
      </c>
      <c r="S133" t="b">
        <v>0</v>
      </c>
      <c r="T133" s="24" t="str">
        <f t="shared" si="17"/>
        <v>Photo</v>
      </c>
    </row>
    <row r="134" spans="1:20" hidden="1" x14ac:dyDescent="0.2">
      <c r="A134" t="s">
        <v>6399</v>
      </c>
      <c r="B134" t="s">
        <v>2365</v>
      </c>
      <c r="C134" t="s">
        <v>2366</v>
      </c>
      <c r="D134" t="s">
        <v>6400</v>
      </c>
      <c r="E134" t="s">
        <v>6401</v>
      </c>
      <c r="F134" t="str">
        <f>IF(Table2[[#This Row],[Date posted]]&lt; DATE(2015,9,18),"Before Crisis","During Crisis")</f>
        <v>Before Crisis</v>
      </c>
      <c r="G134" s="27">
        <f t="shared" si="12"/>
        <v>42200</v>
      </c>
      <c r="H134" s="7" t="str">
        <f t="shared" si="13"/>
        <v>17:00:24</v>
      </c>
      <c r="I134" s="8" t="str">
        <f t="shared" si="14"/>
        <v>Afternoon</v>
      </c>
      <c r="J134" t="s">
        <v>2370</v>
      </c>
      <c r="K134" t="s">
        <v>2370</v>
      </c>
      <c r="L134">
        <v>13</v>
      </c>
      <c r="M134" s="3">
        <v>0</v>
      </c>
      <c r="N134">
        <v>12</v>
      </c>
      <c r="O134" s="4">
        <f t="shared" si="15"/>
        <v>25</v>
      </c>
      <c r="P134" s="5" t="str">
        <f t="shared" si="16"/>
        <v>High engagement</v>
      </c>
      <c r="Q134" t="b">
        <v>0</v>
      </c>
      <c r="R134" t="b">
        <v>0</v>
      </c>
      <c r="S134" t="b">
        <v>0</v>
      </c>
      <c r="T134" s="24" t="str">
        <f t="shared" si="17"/>
        <v>Text only</v>
      </c>
    </row>
    <row r="135" spans="1:20" hidden="1" x14ac:dyDescent="0.2">
      <c r="A135" t="s">
        <v>6374</v>
      </c>
      <c r="B135" t="s">
        <v>2365</v>
      </c>
      <c r="C135" t="s">
        <v>2366</v>
      </c>
      <c r="D135" t="s">
        <v>6375</v>
      </c>
      <c r="E135" t="s">
        <v>6376</v>
      </c>
      <c r="F135" t="str">
        <f>IF(Table2[[#This Row],[Date posted]]&lt; DATE(2015,9,18),"Before Crisis","During Crisis")</f>
        <v>Before Crisis</v>
      </c>
      <c r="G135" s="27">
        <f t="shared" si="12"/>
        <v>42200</v>
      </c>
      <c r="H135" s="7" t="str">
        <f t="shared" si="13"/>
        <v>23:53:05</v>
      </c>
      <c r="I135" s="8" t="str">
        <f t="shared" si="14"/>
        <v>Evening</v>
      </c>
      <c r="J135" t="s">
        <v>2370</v>
      </c>
      <c r="K135" t="s">
        <v>2370</v>
      </c>
      <c r="L135">
        <v>24</v>
      </c>
      <c r="M135">
        <v>1</v>
      </c>
      <c r="N135">
        <v>12</v>
      </c>
      <c r="O135" s="4">
        <f t="shared" si="15"/>
        <v>37</v>
      </c>
      <c r="P135" s="5" t="str">
        <f t="shared" si="16"/>
        <v>High engagement</v>
      </c>
      <c r="Q135" t="b">
        <v>1</v>
      </c>
      <c r="R135" t="b">
        <v>0</v>
      </c>
      <c r="S135" t="b">
        <v>0</v>
      </c>
      <c r="T135" s="24" t="str">
        <f t="shared" si="17"/>
        <v>Photo</v>
      </c>
    </row>
    <row r="136" spans="1:20" hidden="1" x14ac:dyDescent="0.2">
      <c r="A136" t="s">
        <v>6271</v>
      </c>
      <c r="B136" t="s">
        <v>2365</v>
      </c>
      <c r="C136" t="s">
        <v>2366</v>
      </c>
      <c r="D136" t="s">
        <v>6272</v>
      </c>
      <c r="E136" t="s">
        <v>6273</v>
      </c>
      <c r="F136" t="str">
        <f>IF(Table2[[#This Row],[Date posted]]&lt; DATE(2015,9,18),"Before Crisis","During Crisis")</f>
        <v>Before Crisis</v>
      </c>
      <c r="G136" s="27">
        <f t="shared" si="12"/>
        <v>42203</v>
      </c>
      <c r="H136" s="7" t="str">
        <f t="shared" si="13"/>
        <v>17:36:36</v>
      </c>
      <c r="I136" s="8" t="str">
        <f t="shared" si="14"/>
        <v>Afternoon</v>
      </c>
      <c r="J136" t="s">
        <v>2370</v>
      </c>
      <c r="K136" t="s">
        <v>2370</v>
      </c>
      <c r="L136">
        <v>41</v>
      </c>
      <c r="M136">
        <v>3</v>
      </c>
      <c r="N136">
        <v>12</v>
      </c>
      <c r="O136" s="4">
        <f t="shared" si="15"/>
        <v>56</v>
      </c>
      <c r="P136" s="5" t="str">
        <f t="shared" si="16"/>
        <v>High engagement</v>
      </c>
      <c r="Q136" t="b">
        <v>1</v>
      </c>
      <c r="R136" t="b">
        <v>0</v>
      </c>
      <c r="S136" t="b">
        <v>0</v>
      </c>
      <c r="T136" s="24" t="str">
        <f t="shared" si="17"/>
        <v>Photo</v>
      </c>
    </row>
    <row r="137" spans="1:20" hidden="1" x14ac:dyDescent="0.2">
      <c r="A137" t="s">
        <v>6147</v>
      </c>
      <c r="B137" t="s">
        <v>2365</v>
      </c>
      <c r="C137" t="s">
        <v>2366</v>
      </c>
      <c r="D137" t="s">
        <v>6148</v>
      </c>
      <c r="E137" t="s">
        <v>6149</v>
      </c>
      <c r="F137" t="str">
        <f>IF(Table2[[#This Row],[Date posted]]&lt; DATE(2015,9,18),"Before Crisis","During Crisis")</f>
        <v>Before Crisis</v>
      </c>
      <c r="G137" s="27">
        <f t="shared" si="12"/>
        <v>42206</v>
      </c>
      <c r="H137" s="7" t="str">
        <f t="shared" si="13"/>
        <v>21:25:05</v>
      </c>
      <c r="I137" s="8" t="str">
        <f t="shared" si="14"/>
        <v>Evening</v>
      </c>
      <c r="J137" t="s">
        <v>2370</v>
      </c>
      <c r="K137" t="s">
        <v>2370</v>
      </c>
      <c r="L137">
        <v>21</v>
      </c>
      <c r="M137" s="3">
        <v>0</v>
      </c>
      <c r="N137">
        <v>12</v>
      </c>
      <c r="O137" s="4">
        <f t="shared" si="15"/>
        <v>33</v>
      </c>
      <c r="P137" s="5" t="str">
        <f t="shared" si="16"/>
        <v>High engagement</v>
      </c>
      <c r="Q137" t="b">
        <v>1</v>
      </c>
      <c r="R137" t="b">
        <v>0</v>
      </c>
      <c r="S137" t="b">
        <v>1</v>
      </c>
      <c r="T137" s="24" t="str">
        <f t="shared" si="17"/>
        <v>Photo</v>
      </c>
    </row>
    <row r="138" spans="1:20" hidden="1" x14ac:dyDescent="0.2">
      <c r="A138" t="s">
        <v>4984</v>
      </c>
      <c r="B138" t="s">
        <v>2365</v>
      </c>
      <c r="C138" t="s">
        <v>2366</v>
      </c>
      <c r="D138" t="s">
        <v>4985</v>
      </c>
      <c r="E138" t="s">
        <v>4986</v>
      </c>
      <c r="F138" t="str">
        <f>IF(Table2[[#This Row],[Date posted]]&lt; DATE(2015,9,18),"Before Crisis","During Crisis")</f>
        <v>Before Crisis</v>
      </c>
      <c r="G138" s="27">
        <f t="shared" si="12"/>
        <v>42259</v>
      </c>
      <c r="H138" s="7" t="str">
        <f t="shared" si="13"/>
        <v>23:04:54</v>
      </c>
      <c r="I138" s="8" t="str">
        <f t="shared" si="14"/>
        <v>Evening</v>
      </c>
      <c r="J138" t="s">
        <v>2370</v>
      </c>
      <c r="K138" t="s">
        <v>2370</v>
      </c>
      <c r="L138">
        <v>31</v>
      </c>
      <c r="M138">
        <v>1</v>
      </c>
      <c r="N138">
        <v>12</v>
      </c>
      <c r="O138" s="4">
        <f t="shared" si="15"/>
        <v>44</v>
      </c>
      <c r="P138" s="5" t="str">
        <f t="shared" si="16"/>
        <v>High engagement</v>
      </c>
      <c r="Q138" t="b">
        <v>1</v>
      </c>
      <c r="R138" t="b">
        <v>0</v>
      </c>
      <c r="S138" t="b">
        <v>0</v>
      </c>
      <c r="T138" s="24" t="str">
        <f t="shared" si="17"/>
        <v>Photo</v>
      </c>
    </row>
    <row r="139" spans="1:20" hidden="1" x14ac:dyDescent="0.2">
      <c r="A139" t="s">
        <v>4975</v>
      </c>
      <c r="B139" t="s">
        <v>2365</v>
      </c>
      <c r="C139" t="s">
        <v>2366</v>
      </c>
      <c r="D139" t="s">
        <v>4976</v>
      </c>
      <c r="E139" t="s">
        <v>4977</v>
      </c>
      <c r="F139" t="str">
        <f>IF(Table2[[#This Row],[Date posted]]&lt; DATE(2015,9,18),"Before Crisis","During Crisis")</f>
        <v>Before Crisis</v>
      </c>
      <c r="G139" s="27">
        <f t="shared" si="12"/>
        <v>42260</v>
      </c>
      <c r="H139" s="7" t="str">
        <f t="shared" si="13"/>
        <v>17:51:00</v>
      </c>
      <c r="I139" s="8" t="str">
        <f t="shared" si="14"/>
        <v>Afternoon</v>
      </c>
      <c r="J139" t="s">
        <v>2370</v>
      </c>
      <c r="K139" t="s">
        <v>2370</v>
      </c>
      <c r="L139">
        <v>32</v>
      </c>
      <c r="M139">
        <v>2</v>
      </c>
      <c r="N139">
        <v>12</v>
      </c>
      <c r="O139" s="4">
        <f t="shared" si="15"/>
        <v>46</v>
      </c>
      <c r="P139" s="5" t="str">
        <f t="shared" si="16"/>
        <v>High engagement</v>
      </c>
      <c r="Q139" t="b">
        <v>1</v>
      </c>
      <c r="R139" t="b">
        <v>0</v>
      </c>
      <c r="S139" t="b">
        <v>0</v>
      </c>
      <c r="T139" s="24" t="str">
        <f t="shared" si="17"/>
        <v>Photo</v>
      </c>
    </row>
    <row r="140" spans="1:20" hidden="1" x14ac:dyDescent="0.2">
      <c r="A140" t="s">
        <v>7198</v>
      </c>
      <c r="B140" t="s">
        <v>2365</v>
      </c>
      <c r="C140" t="s">
        <v>2366</v>
      </c>
      <c r="D140" t="s">
        <v>7199</v>
      </c>
      <c r="E140" t="s">
        <v>7200</v>
      </c>
      <c r="F140" t="str">
        <f>IF(Table2[[#This Row],[Date posted]]&lt; DATE(2015,9,18),"Before Crisis","During Crisis")</f>
        <v>Before Crisis</v>
      </c>
      <c r="G140" s="27">
        <f t="shared" si="12"/>
        <v>42175</v>
      </c>
      <c r="H140" s="7" t="str">
        <f t="shared" si="13"/>
        <v>17:13:54</v>
      </c>
      <c r="I140" s="8" t="str">
        <f t="shared" si="14"/>
        <v>Afternoon</v>
      </c>
      <c r="J140" t="s">
        <v>2370</v>
      </c>
      <c r="K140" t="s">
        <v>2370</v>
      </c>
      <c r="L140">
        <v>13</v>
      </c>
      <c r="M140">
        <v>4</v>
      </c>
      <c r="N140">
        <v>11</v>
      </c>
      <c r="O140" s="4">
        <f t="shared" si="15"/>
        <v>28</v>
      </c>
      <c r="P140" s="5" t="str">
        <f t="shared" si="16"/>
        <v>High engagement</v>
      </c>
      <c r="Q140" t="b">
        <v>1</v>
      </c>
      <c r="R140" t="b">
        <v>0</v>
      </c>
      <c r="S140" t="b">
        <v>0</v>
      </c>
      <c r="T140" s="24" t="str">
        <f t="shared" si="17"/>
        <v>Photo</v>
      </c>
    </row>
    <row r="141" spans="1:20" hidden="1" x14ac:dyDescent="0.2">
      <c r="A141" t="s">
        <v>5993</v>
      </c>
      <c r="B141" t="s">
        <v>2365</v>
      </c>
      <c r="C141" t="s">
        <v>2366</v>
      </c>
      <c r="D141" t="s">
        <v>5994</v>
      </c>
      <c r="E141" t="s">
        <v>5995</v>
      </c>
      <c r="F141" t="str">
        <f>IF(Table2[[#This Row],[Date posted]]&lt; DATE(2015,9,18),"Before Crisis","During Crisis")</f>
        <v>Before Crisis</v>
      </c>
      <c r="G141" s="27">
        <f t="shared" si="12"/>
        <v>42211</v>
      </c>
      <c r="H141" s="7" t="str">
        <f t="shared" si="13"/>
        <v>16:58:49</v>
      </c>
      <c r="I141" s="8" t="str">
        <f t="shared" si="14"/>
        <v>Afternoon</v>
      </c>
      <c r="J141" t="s">
        <v>2370</v>
      </c>
      <c r="K141" t="s">
        <v>2370</v>
      </c>
      <c r="L141">
        <v>27</v>
      </c>
      <c r="M141" s="3">
        <v>0</v>
      </c>
      <c r="N141">
        <v>11</v>
      </c>
      <c r="O141" s="4">
        <f t="shared" si="15"/>
        <v>38</v>
      </c>
      <c r="P141" s="5" t="str">
        <f t="shared" si="16"/>
        <v>High engagement</v>
      </c>
      <c r="Q141" t="b">
        <v>1</v>
      </c>
      <c r="R141" t="b">
        <v>0</v>
      </c>
      <c r="S141" t="b">
        <v>0</v>
      </c>
      <c r="T141" s="24" t="str">
        <f t="shared" si="17"/>
        <v>Photo</v>
      </c>
    </row>
    <row r="142" spans="1:20" hidden="1" x14ac:dyDescent="0.2">
      <c r="A142" t="s">
        <v>5990</v>
      </c>
      <c r="B142" t="s">
        <v>2365</v>
      </c>
      <c r="C142" t="s">
        <v>2366</v>
      </c>
      <c r="D142" t="s">
        <v>5991</v>
      </c>
      <c r="E142" t="s">
        <v>5992</v>
      </c>
      <c r="F142" t="str">
        <f>IF(Table2[[#This Row],[Date posted]]&lt; DATE(2015,9,18),"Before Crisis","During Crisis")</f>
        <v>Before Crisis</v>
      </c>
      <c r="G142" s="27">
        <f t="shared" si="12"/>
        <v>42211</v>
      </c>
      <c r="H142" s="7" t="str">
        <f t="shared" si="13"/>
        <v>17:24:43</v>
      </c>
      <c r="I142" s="8" t="str">
        <f t="shared" si="14"/>
        <v>Afternoon</v>
      </c>
      <c r="J142" t="s">
        <v>2370</v>
      </c>
      <c r="K142" t="s">
        <v>2370</v>
      </c>
      <c r="L142">
        <v>23</v>
      </c>
      <c r="M142" s="3">
        <v>0</v>
      </c>
      <c r="N142">
        <v>11</v>
      </c>
      <c r="O142" s="4">
        <f t="shared" si="15"/>
        <v>34</v>
      </c>
      <c r="P142" s="5" t="str">
        <f t="shared" si="16"/>
        <v>High engagement</v>
      </c>
      <c r="Q142" t="b">
        <v>1</v>
      </c>
      <c r="R142" t="b">
        <v>0</v>
      </c>
      <c r="S142" t="b">
        <v>0</v>
      </c>
      <c r="T142" s="24" t="str">
        <f t="shared" si="17"/>
        <v>Photo</v>
      </c>
    </row>
    <row r="143" spans="1:20" x14ac:dyDescent="0.2">
      <c r="A143" t="s">
        <v>5002</v>
      </c>
      <c r="B143" t="s">
        <v>2365</v>
      </c>
      <c r="C143" t="s">
        <v>2366</v>
      </c>
      <c r="D143" t="s">
        <v>5003</v>
      </c>
      <c r="E143" t="s">
        <v>5004</v>
      </c>
      <c r="F143" t="str">
        <f>IF(Table2[[#This Row],[Date posted]]&lt; DATE(2015,9,18),"Before Crisis","During Crisis")</f>
        <v>Before Crisis</v>
      </c>
      <c r="G143" s="27">
        <f t="shared" si="12"/>
        <v>42259</v>
      </c>
      <c r="H143" s="7" t="str">
        <f t="shared" si="13"/>
        <v>00:01:57</v>
      </c>
      <c r="I143" s="8" t="str">
        <f t="shared" si="14"/>
        <v>Early morning</v>
      </c>
      <c r="J143" t="s">
        <v>2370</v>
      </c>
      <c r="K143" t="s">
        <v>2370</v>
      </c>
      <c r="L143">
        <v>32</v>
      </c>
      <c r="M143" s="3">
        <v>0</v>
      </c>
      <c r="N143">
        <v>11</v>
      </c>
      <c r="O143" s="4">
        <f t="shared" si="15"/>
        <v>43</v>
      </c>
      <c r="P143" s="5" t="str">
        <f t="shared" si="16"/>
        <v>High engagement</v>
      </c>
      <c r="Q143" t="b">
        <v>1</v>
      </c>
      <c r="R143" t="b">
        <v>0</v>
      </c>
      <c r="S143" t="b">
        <v>0</v>
      </c>
      <c r="T143" s="24" t="str">
        <f t="shared" si="17"/>
        <v>Photo</v>
      </c>
    </row>
    <row r="144" spans="1:20" hidden="1" x14ac:dyDescent="0.2">
      <c r="A144" t="s">
        <v>7267</v>
      </c>
      <c r="B144" t="s">
        <v>2365</v>
      </c>
      <c r="C144" t="s">
        <v>2366</v>
      </c>
      <c r="D144" t="s">
        <v>7268</v>
      </c>
      <c r="E144" t="s">
        <v>7269</v>
      </c>
      <c r="F144" t="str">
        <f>IF(Table2[[#This Row],[Date posted]]&lt; DATE(2015,9,18),"Before Crisis","During Crisis")</f>
        <v>Before Crisis</v>
      </c>
      <c r="G144" s="27">
        <f t="shared" si="12"/>
        <v>42174</v>
      </c>
      <c r="H144" s="7" t="str">
        <f t="shared" si="13"/>
        <v>13:33:15</v>
      </c>
      <c r="I144" s="8" t="str">
        <f t="shared" si="14"/>
        <v>Mid-day</v>
      </c>
      <c r="J144" t="s">
        <v>2370</v>
      </c>
      <c r="K144" t="s">
        <v>2370</v>
      </c>
      <c r="L144">
        <v>25</v>
      </c>
      <c r="M144">
        <v>2</v>
      </c>
      <c r="N144">
        <v>10</v>
      </c>
      <c r="O144" s="4">
        <f t="shared" si="15"/>
        <v>37</v>
      </c>
      <c r="P144" s="5" t="str">
        <f t="shared" si="16"/>
        <v>High engagement</v>
      </c>
      <c r="Q144" t="b">
        <v>1</v>
      </c>
      <c r="R144" t="b">
        <v>0</v>
      </c>
      <c r="S144" t="b">
        <v>0</v>
      </c>
      <c r="T144" s="24" t="str">
        <f t="shared" si="17"/>
        <v>Photo</v>
      </c>
    </row>
    <row r="145" spans="1:20" hidden="1" x14ac:dyDescent="0.2">
      <c r="A145" t="s">
        <v>7180</v>
      </c>
      <c r="B145" t="s">
        <v>2365</v>
      </c>
      <c r="C145" t="s">
        <v>2366</v>
      </c>
      <c r="D145" t="s">
        <v>7181</v>
      </c>
      <c r="E145" t="s">
        <v>7182</v>
      </c>
      <c r="F145" t="str">
        <f>IF(Table2[[#This Row],[Date posted]]&lt; DATE(2015,9,18),"Before Crisis","During Crisis")</f>
        <v>Before Crisis</v>
      </c>
      <c r="G145" s="27">
        <f t="shared" si="12"/>
        <v>42176</v>
      </c>
      <c r="H145" s="7" t="str">
        <f t="shared" si="13"/>
        <v>13:15:57</v>
      </c>
      <c r="I145" s="8" t="str">
        <f t="shared" si="14"/>
        <v>Mid-day</v>
      </c>
      <c r="J145" t="s">
        <v>2370</v>
      </c>
      <c r="K145" t="s">
        <v>2370</v>
      </c>
      <c r="L145">
        <v>15</v>
      </c>
      <c r="M145" s="3">
        <v>0</v>
      </c>
      <c r="N145">
        <v>10</v>
      </c>
      <c r="O145" s="4">
        <f t="shared" si="15"/>
        <v>25</v>
      </c>
      <c r="P145" s="5" t="str">
        <f t="shared" si="16"/>
        <v>High engagement</v>
      </c>
      <c r="Q145" t="b">
        <v>1</v>
      </c>
      <c r="R145" t="b">
        <v>0</v>
      </c>
      <c r="S145" t="b">
        <v>0</v>
      </c>
      <c r="T145" s="24" t="str">
        <f t="shared" si="17"/>
        <v>Photo</v>
      </c>
    </row>
    <row r="146" spans="1:20" hidden="1" x14ac:dyDescent="0.2">
      <c r="A146" t="s">
        <v>6719</v>
      </c>
      <c r="B146" t="s">
        <v>2365</v>
      </c>
      <c r="C146" t="s">
        <v>2366</v>
      </c>
      <c r="D146" t="s">
        <v>6720</v>
      </c>
      <c r="E146" t="s">
        <v>6721</v>
      </c>
      <c r="F146" t="str">
        <f>IF(Table2[[#This Row],[Date posted]]&lt; DATE(2015,9,18),"Before Crisis","During Crisis")</f>
        <v>Before Crisis</v>
      </c>
      <c r="G146" s="27">
        <f t="shared" si="12"/>
        <v>42190</v>
      </c>
      <c r="H146" s="7" t="str">
        <f t="shared" si="13"/>
        <v>18:10:01</v>
      </c>
      <c r="I146" s="8" t="str">
        <f t="shared" si="14"/>
        <v>Evening</v>
      </c>
      <c r="J146" t="s">
        <v>2370</v>
      </c>
      <c r="K146" t="s">
        <v>2370</v>
      </c>
      <c r="L146">
        <v>18</v>
      </c>
      <c r="M146" s="3">
        <v>0</v>
      </c>
      <c r="N146">
        <v>10</v>
      </c>
      <c r="O146" s="4">
        <f t="shared" si="15"/>
        <v>28</v>
      </c>
      <c r="P146" s="5" t="str">
        <f t="shared" si="16"/>
        <v>High engagement</v>
      </c>
      <c r="Q146" t="b">
        <v>1</v>
      </c>
      <c r="R146" t="b">
        <v>0</v>
      </c>
      <c r="S146" t="b">
        <v>0</v>
      </c>
      <c r="T146" s="24" t="str">
        <f t="shared" si="17"/>
        <v>Photo</v>
      </c>
    </row>
    <row r="147" spans="1:20" x14ac:dyDescent="0.2">
      <c r="A147" t="s">
        <v>6338</v>
      </c>
      <c r="B147" t="s">
        <v>2365</v>
      </c>
      <c r="C147" t="s">
        <v>2366</v>
      </c>
      <c r="D147" t="s">
        <v>6339</v>
      </c>
      <c r="E147" t="s">
        <v>6340</v>
      </c>
      <c r="F147" t="str">
        <f>IF(Table2[[#This Row],[Date posted]]&lt; DATE(2015,9,18),"Before Crisis","During Crisis")</f>
        <v>Before Crisis</v>
      </c>
      <c r="G147" s="27">
        <f t="shared" si="12"/>
        <v>42202</v>
      </c>
      <c r="H147" s="7" t="str">
        <f t="shared" si="13"/>
        <v>00:18:12</v>
      </c>
      <c r="I147" s="8" t="str">
        <f t="shared" si="14"/>
        <v>Early morning</v>
      </c>
      <c r="J147" t="s">
        <v>2370</v>
      </c>
      <c r="K147" t="s">
        <v>2370</v>
      </c>
      <c r="L147">
        <v>42</v>
      </c>
      <c r="M147" s="3">
        <v>0</v>
      </c>
      <c r="N147">
        <v>10</v>
      </c>
      <c r="O147" s="4">
        <f t="shared" si="15"/>
        <v>52</v>
      </c>
      <c r="P147" s="5" t="str">
        <f t="shared" si="16"/>
        <v>High engagement</v>
      </c>
      <c r="Q147" t="b">
        <v>1</v>
      </c>
      <c r="R147" t="b">
        <v>0</v>
      </c>
      <c r="S147" t="b">
        <v>0</v>
      </c>
      <c r="T147" s="24" t="str">
        <f t="shared" si="17"/>
        <v>Photo</v>
      </c>
    </row>
    <row r="148" spans="1:20" hidden="1" x14ac:dyDescent="0.2">
      <c r="A148" t="s">
        <v>6305</v>
      </c>
      <c r="B148" t="s">
        <v>2365</v>
      </c>
      <c r="C148" t="s">
        <v>2366</v>
      </c>
      <c r="D148" t="s">
        <v>6306</v>
      </c>
      <c r="E148" t="s">
        <v>6307</v>
      </c>
      <c r="F148" t="str">
        <f>IF(Table2[[#This Row],[Date posted]]&lt; DATE(2015,9,18),"Before Crisis","During Crisis")</f>
        <v>Before Crisis</v>
      </c>
      <c r="G148" s="27">
        <f t="shared" si="12"/>
        <v>42202</v>
      </c>
      <c r="H148" s="7" t="str">
        <f t="shared" si="13"/>
        <v>19:25:28</v>
      </c>
      <c r="I148" s="8" t="str">
        <f t="shared" si="14"/>
        <v>Evening</v>
      </c>
      <c r="J148" t="s">
        <v>2370</v>
      </c>
      <c r="K148" t="s">
        <v>2370</v>
      </c>
      <c r="L148">
        <v>26</v>
      </c>
      <c r="M148" s="3">
        <v>0</v>
      </c>
      <c r="N148">
        <v>10</v>
      </c>
      <c r="O148" s="4">
        <f t="shared" si="15"/>
        <v>36</v>
      </c>
      <c r="P148" s="5" t="str">
        <f t="shared" si="16"/>
        <v>High engagement</v>
      </c>
      <c r="Q148" t="b">
        <v>1</v>
      </c>
      <c r="R148" t="b">
        <v>0</v>
      </c>
      <c r="S148" t="b">
        <v>0</v>
      </c>
      <c r="T148" s="24" t="str">
        <f t="shared" si="17"/>
        <v>Photo</v>
      </c>
    </row>
    <row r="149" spans="1:20" hidden="1" x14ac:dyDescent="0.2">
      <c r="A149" t="s">
        <v>6277</v>
      </c>
      <c r="B149" t="s">
        <v>2365</v>
      </c>
      <c r="C149" t="s">
        <v>2366</v>
      </c>
      <c r="D149" t="s">
        <v>6278</v>
      </c>
      <c r="E149" t="s">
        <v>6279</v>
      </c>
      <c r="F149" t="str">
        <f>IF(Table2[[#This Row],[Date posted]]&lt; DATE(2015,9,18),"Before Crisis","During Crisis")</f>
        <v>Before Crisis</v>
      </c>
      <c r="G149" s="27">
        <f t="shared" si="12"/>
        <v>42203</v>
      </c>
      <c r="H149" s="7" t="str">
        <f t="shared" si="13"/>
        <v>14:21:51</v>
      </c>
      <c r="I149" s="8" t="str">
        <f t="shared" si="14"/>
        <v>Afternoon</v>
      </c>
      <c r="J149" t="s">
        <v>2370</v>
      </c>
      <c r="K149" t="s">
        <v>2370</v>
      </c>
      <c r="L149">
        <v>34</v>
      </c>
      <c r="M149">
        <v>4</v>
      </c>
      <c r="N149">
        <v>10</v>
      </c>
      <c r="O149" s="4">
        <f t="shared" si="15"/>
        <v>48</v>
      </c>
      <c r="P149" s="5" t="str">
        <f t="shared" si="16"/>
        <v>High engagement</v>
      </c>
      <c r="Q149" t="b">
        <v>1</v>
      </c>
      <c r="R149" t="b">
        <v>0</v>
      </c>
      <c r="S149" t="b">
        <v>0</v>
      </c>
      <c r="T149" s="24" t="str">
        <f t="shared" si="17"/>
        <v>Photo</v>
      </c>
    </row>
    <row r="150" spans="1:20" hidden="1" x14ac:dyDescent="0.2">
      <c r="A150" t="s">
        <v>6159</v>
      </c>
      <c r="B150" t="s">
        <v>2365</v>
      </c>
      <c r="C150" t="s">
        <v>2366</v>
      </c>
      <c r="D150" t="s">
        <v>6160</v>
      </c>
      <c r="E150" t="s">
        <v>6161</v>
      </c>
      <c r="F150" t="str">
        <f>IF(Table2[[#This Row],[Date posted]]&lt; DATE(2015,9,18),"Before Crisis","During Crisis")</f>
        <v>Before Crisis</v>
      </c>
      <c r="G150" s="27">
        <f t="shared" si="12"/>
        <v>42206</v>
      </c>
      <c r="H150" s="7" t="str">
        <f t="shared" si="13"/>
        <v>18:35:45</v>
      </c>
      <c r="I150" s="8" t="str">
        <f t="shared" si="14"/>
        <v>Evening</v>
      </c>
      <c r="J150" t="s">
        <v>2370</v>
      </c>
      <c r="K150" t="s">
        <v>2370</v>
      </c>
      <c r="L150">
        <v>14</v>
      </c>
      <c r="M150">
        <v>1</v>
      </c>
      <c r="N150">
        <v>10</v>
      </c>
      <c r="O150" s="4">
        <f t="shared" si="15"/>
        <v>25</v>
      </c>
      <c r="P150" s="5" t="str">
        <f t="shared" si="16"/>
        <v>High engagement</v>
      </c>
      <c r="Q150" t="b">
        <v>0</v>
      </c>
      <c r="R150" t="b">
        <v>0</v>
      </c>
      <c r="S150" t="b">
        <v>1</v>
      </c>
      <c r="T150" s="24" t="str">
        <f t="shared" si="17"/>
        <v>Link</v>
      </c>
    </row>
    <row r="151" spans="1:20" hidden="1" x14ac:dyDescent="0.2">
      <c r="A151" t="s">
        <v>6056</v>
      </c>
      <c r="B151" t="s">
        <v>2365</v>
      </c>
      <c r="C151" t="s">
        <v>2366</v>
      </c>
      <c r="D151" t="s">
        <v>6057</v>
      </c>
      <c r="E151" t="s">
        <v>6058</v>
      </c>
      <c r="F151" t="str">
        <f>IF(Table2[[#This Row],[Date posted]]&lt; DATE(2015,9,18),"Before Crisis","During Crisis")</f>
        <v>Before Crisis</v>
      </c>
      <c r="G151" s="27">
        <f t="shared" si="12"/>
        <v>42209</v>
      </c>
      <c r="H151" s="7" t="str">
        <f t="shared" si="13"/>
        <v>18:14:32</v>
      </c>
      <c r="I151" s="8" t="str">
        <f t="shared" si="14"/>
        <v>Evening</v>
      </c>
      <c r="J151" t="s">
        <v>2370</v>
      </c>
      <c r="K151" t="s">
        <v>2370</v>
      </c>
      <c r="L151">
        <v>24</v>
      </c>
      <c r="M151" s="3">
        <v>0</v>
      </c>
      <c r="N151">
        <v>10</v>
      </c>
      <c r="O151" s="4">
        <f t="shared" si="15"/>
        <v>34</v>
      </c>
      <c r="P151" s="5" t="str">
        <f t="shared" si="16"/>
        <v>High engagement</v>
      </c>
      <c r="Q151" t="b">
        <v>1</v>
      </c>
      <c r="R151" t="b">
        <v>0</v>
      </c>
      <c r="S151" t="b">
        <v>0</v>
      </c>
      <c r="T151" s="24" t="str">
        <f t="shared" si="17"/>
        <v>Photo</v>
      </c>
    </row>
    <row r="152" spans="1:20" hidden="1" x14ac:dyDescent="0.2">
      <c r="A152" t="s">
        <v>6017</v>
      </c>
      <c r="B152" t="s">
        <v>2365</v>
      </c>
      <c r="C152" t="s">
        <v>2366</v>
      </c>
      <c r="D152" t="s">
        <v>6018</v>
      </c>
      <c r="E152" t="s">
        <v>6019</v>
      </c>
      <c r="F152" t="str">
        <f>IF(Table2[[#This Row],[Date posted]]&lt; DATE(2015,9,18),"Before Crisis","During Crisis")</f>
        <v>Before Crisis</v>
      </c>
      <c r="G152" s="27">
        <f t="shared" si="12"/>
        <v>42210</v>
      </c>
      <c r="H152" s="7" t="str">
        <f t="shared" si="13"/>
        <v>17:37:54</v>
      </c>
      <c r="I152" s="8" t="str">
        <f t="shared" si="14"/>
        <v>Afternoon</v>
      </c>
      <c r="J152" t="s">
        <v>2370</v>
      </c>
      <c r="K152" t="s">
        <v>2370</v>
      </c>
      <c r="L152">
        <v>28</v>
      </c>
      <c r="M152" s="3">
        <v>0</v>
      </c>
      <c r="N152">
        <v>10</v>
      </c>
      <c r="O152" s="4">
        <f t="shared" si="15"/>
        <v>38</v>
      </c>
      <c r="P152" s="5" t="str">
        <f t="shared" si="16"/>
        <v>High engagement</v>
      </c>
      <c r="Q152" t="b">
        <v>1</v>
      </c>
      <c r="R152" t="b">
        <v>0</v>
      </c>
      <c r="S152" t="b">
        <v>0</v>
      </c>
      <c r="T152" s="24" t="str">
        <f t="shared" si="17"/>
        <v>Photo</v>
      </c>
    </row>
    <row r="153" spans="1:20" hidden="1" x14ac:dyDescent="0.2">
      <c r="A153" t="s">
        <v>5981</v>
      </c>
      <c r="B153" t="s">
        <v>2365</v>
      </c>
      <c r="C153" t="s">
        <v>2366</v>
      </c>
      <c r="D153" t="s">
        <v>5982</v>
      </c>
      <c r="E153" t="s">
        <v>5983</v>
      </c>
      <c r="F153" t="str">
        <f>IF(Table2[[#This Row],[Date posted]]&lt; DATE(2015,9,18),"Before Crisis","During Crisis")</f>
        <v>Before Crisis</v>
      </c>
      <c r="G153" s="27">
        <f t="shared" si="12"/>
        <v>42211</v>
      </c>
      <c r="H153" s="7" t="str">
        <f t="shared" si="13"/>
        <v>19:15:20</v>
      </c>
      <c r="I153" s="8" t="str">
        <f t="shared" si="14"/>
        <v>Evening</v>
      </c>
      <c r="J153" t="s">
        <v>2370</v>
      </c>
      <c r="K153" t="s">
        <v>2370</v>
      </c>
      <c r="L153">
        <v>37</v>
      </c>
      <c r="M153">
        <v>1</v>
      </c>
      <c r="N153">
        <v>10</v>
      </c>
      <c r="O153" s="4">
        <f t="shared" si="15"/>
        <v>48</v>
      </c>
      <c r="P153" s="5" t="str">
        <f t="shared" si="16"/>
        <v>High engagement</v>
      </c>
      <c r="Q153" t="b">
        <v>1</v>
      </c>
      <c r="R153" t="b">
        <v>0</v>
      </c>
      <c r="S153" t="b">
        <v>0</v>
      </c>
      <c r="T153" s="24" t="str">
        <f t="shared" si="17"/>
        <v>Photo</v>
      </c>
    </row>
    <row r="154" spans="1:20" hidden="1" x14ac:dyDescent="0.2">
      <c r="A154" t="s">
        <v>5757</v>
      </c>
      <c r="B154" t="s">
        <v>2365</v>
      </c>
      <c r="C154" t="s">
        <v>2366</v>
      </c>
      <c r="D154" t="s">
        <v>5758</v>
      </c>
      <c r="E154" t="s">
        <v>5759</v>
      </c>
      <c r="F154" t="str">
        <f>IF(Table2[[#This Row],[Date posted]]&lt; DATE(2015,9,18),"Before Crisis","During Crisis")</f>
        <v>Before Crisis</v>
      </c>
      <c r="G154" s="27">
        <f t="shared" si="12"/>
        <v>42222</v>
      </c>
      <c r="H154" s="7" t="str">
        <f t="shared" si="13"/>
        <v>14:49:02</v>
      </c>
      <c r="I154" s="8" t="str">
        <f t="shared" si="14"/>
        <v>Afternoon</v>
      </c>
      <c r="J154" t="s">
        <v>2370</v>
      </c>
      <c r="K154" t="s">
        <v>2370</v>
      </c>
      <c r="L154">
        <v>20</v>
      </c>
      <c r="M154">
        <v>2</v>
      </c>
      <c r="N154">
        <v>10</v>
      </c>
      <c r="O154" s="4">
        <f t="shared" si="15"/>
        <v>32</v>
      </c>
      <c r="P154" s="5" t="str">
        <f t="shared" si="16"/>
        <v>High engagement</v>
      </c>
      <c r="Q154" t="b">
        <v>1</v>
      </c>
      <c r="R154" t="b">
        <v>0</v>
      </c>
      <c r="S154" t="b">
        <v>1</v>
      </c>
      <c r="T154" s="24" t="str">
        <f t="shared" si="17"/>
        <v>Photo</v>
      </c>
    </row>
    <row r="155" spans="1:20" hidden="1" x14ac:dyDescent="0.2">
      <c r="A155" t="s">
        <v>4981</v>
      </c>
      <c r="B155" t="s">
        <v>2365</v>
      </c>
      <c r="C155" t="s">
        <v>2366</v>
      </c>
      <c r="D155" t="s">
        <v>4982</v>
      </c>
      <c r="E155" t="s">
        <v>4983</v>
      </c>
      <c r="F155" t="str">
        <f>IF(Table2[[#This Row],[Date posted]]&lt; DATE(2015,9,18),"Before Crisis","During Crisis")</f>
        <v>Before Crisis</v>
      </c>
      <c r="G155" s="27">
        <f t="shared" si="12"/>
        <v>42259</v>
      </c>
      <c r="H155" s="7" t="str">
        <f t="shared" si="13"/>
        <v>23:13:57</v>
      </c>
      <c r="I155" s="8" t="str">
        <f t="shared" si="14"/>
        <v>Evening</v>
      </c>
      <c r="J155" t="s">
        <v>2370</v>
      </c>
      <c r="K155" t="s">
        <v>2370</v>
      </c>
      <c r="L155">
        <v>36</v>
      </c>
      <c r="M155">
        <v>1</v>
      </c>
      <c r="N155">
        <v>10</v>
      </c>
      <c r="O155" s="4">
        <f t="shared" si="15"/>
        <v>47</v>
      </c>
      <c r="P155" s="5" t="str">
        <f t="shared" si="16"/>
        <v>High engagement</v>
      </c>
      <c r="Q155" t="b">
        <v>1</v>
      </c>
      <c r="R155" t="b">
        <v>0</v>
      </c>
      <c r="S155" t="b">
        <v>0</v>
      </c>
      <c r="T155" s="24" t="str">
        <f t="shared" si="17"/>
        <v>Photo</v>
      </c>
    </row>
    <row r="156" spans="1:20" hidden="1" x14ac:dyDescent="0.2">
      <c r="A156" t="s">
        <v>7195</v>
      </c>
      <c r="B156" t="s">
        <v>2365</v>
      </c>
      <c r="C156" t="s">
        <v>2366</v>
      </c>
      <c r="D156" t="s">
        <v>7196</v>
      </c>
      <c r="E156" t="s">
        <v>7197</v>
      </c>
      <c r="F156" t="str">
        <f>IF(Table2[[#This Row],[Date posted]]&lt; DATE(2015,9,18),"Before Crisis","During Crisis")</f>
        <v>Before Crisis</v>
      </c>
      <c r="G156" s="27">
        <f t="shared" si="12"/>
        <v>42175</v>
      </c>
      <c r="H156" s="7" t="str">
        <f t="shared" si="13"/>
        <v>18:17:34</v>
      </c>
      <c r="I156" s="8" t="str">
        <f t="shared" si="14"/>
        <v>Evening</v>
      </c>
      <c r="J156" t="s">
        <v>2370</v>
      </c>
      <c r="K156" t="s">
        <v>2370</v>
      </c>
      <c r="L156">
        <v>24</v>
      </c>
      <c r="M156" s="3">
        <v>0</v>
      </c>
      <c r="N156">
        <v>9</v>
      </c>
      <c r="O156" s="4">
        <f t="shared" si="15"/>
        <v>33</v>
      </c>
      <c r="P156" s="5" t="str">
        <f t="shared" si="16"/>
        <v>High engagement</v>
      </c>
      <c r="Q156" t="b">
        <v>1</v>
      </c>
      <c r="R156" t="b">
        <v>0</v>
      </c>
      <c r="S156" t="b">
        <v>0</v>
      </c>
      <c r="T156" s="24" t="str">
        <f t="shared" si="17"/>
        <v>Photo</v>
      </c>
    </row>
    <row r="157" spans="1:20" hidden="1" x14ac:dyDescent="0.2">
      <c r="A157" t="s">
        <v>6728</v>
      </c>
      <c r="B157" t="s">
        <v>2365</v>
      </c>
      <c r="C157" t="s">
        <v>2366</v>
      </c>
      <c r="D157" t="s">
        <v>6729</v>
      </c>
      <c r="E157" t="s">
        <v>6730</v>
      </c>
      <c r="F157" t="str">
        <f>IF(Table2[[#This Row],[Date posted]]&lt; DATE(2015,9,18),"Before Crisis","During Crisis")</f>
        <v>Before Crisis</v>
      </c>
      <c r="G157" s="27">
        <f t="shared" si="12"/>
        <v>42190</v>
      </c>
      <c r="H157" s="7" t="str">
        <f t="shared" si="13"/>
        <v>15:12:27</v>
      </c>
      <c r="I157" s="8" t="str">
        <f t="shared" si="14"/>
        <v>Afternoon</v>
      </c>
      <c r="J157" t="s">
        <v>2370</v>
      </c>
      <c r="K157" t="s">
        <v>2370</v>
      </c>
      <c r="L157">
        <v>25</v>
      </c>
      <c r="M157">
        <v>1</v>
      </c>
      <c r="N157">
        <v>9</v>
      </c>
      <c r="O157" s="4">
        <f t="shared" si="15"/>
        <v>35</v>
      </c>
      <c r="P157" s="5" t="str">
        <f t="shared" si="16"/>
        <v>High engagement</v>
      </c>
      <c r="Q157" t="b">
        <v>1</v>
      </c>
      <c r="R157" t="b">
        <v>0</v>
      </c>
      <c r="S157" t="b">
        <v>0</v>
      </c>
      <c r="T157" s="24" t="str">
        <f t="shared" si="17"/>
        <v>Photo</v>
      </c>
    </row>
    <row r="158" spans="1:20" hidden="1" x14ac:dyDescent="0.2">
      <c r="A158" t="s">
        <v>6026</v>
      </c>
      <c r="B158" t="s">
        <v>2365</v>
      </c>
      <c r="C158" t="s">
        <v>2366</v>
      </c>
      <c r="D158" t="s">
        <v>6027</v>
      </c>
      <c r="E158" t="s">
        <v>6028</v>
      </c>
      <c r="F158" t="str">
        <f>IF(Table2[[#This Row],[Date posted]]&lt; DATE(2015,9,18),"Before Crisis","During Crisis")</f>
        <v>Before Crisis</v>
      </c>
      <c r="G158" s="27">
        <f t="shared" si="12"/>
        <v>42210</v>
      </c>
      <c r="H158" s="7" t="str">
        <f t="shared" si="13"/>
        <v>15:57:45</v>
      </c>
      <c r="I158" s="8" t="str">
        <f t="shared" si="14"/>
        <v>Afternoon</v>
      </c>
      <c r="J158" t="s">
        <v>2370</v>
      </c>
      <c r="K158" t="s">
        <v>2370</v>
      </c>
      <c r="L158">
        <v>15</v>
      </c>
      <c r="M158" s="3">
        <v>0</v>
      </c>
      <c r="N158">
        <v>9</v>
      </c>
      <c r="O158" s="4">
        <f t="shared" si="15"/>
        <v>24</v>
      </c>
      <c r="P158" s="5" t="str">
        <f t="shared" si="16"/>
        <v>High engagement</v>
      </c>
      <c r="Q158" t="b">
        <v>1</v>
      </c>
      <c r="R158" t="b">
        <v>0</v>
      </c>
      <c r="S158" t="b">
        <v>0</v>
      </c>
      <c r="T158" s="24" t="str">
        <f t="shared" si="17"/>
        <v>Photo</v>
      </c>
    </row>
    <row r="159" spans="1:20" hidden="1" x14ac:dyDescent="0.2">
      <c r="A159" t="s">
        <v>5849</v>
      </c>
      <c r="B159" t="s">
        <v>2365</v>
      </c>
      <c r="C159" t="s">
        <v>2366</v>
      </c>
      <c r="D159" t="s">
        <v>5850</v>
      </c>
      <c r="E159" t="s">
        <v>5851</v>
      </c>
      <c r="F159" t="str">
        <f>IF(Table2[[#This Row],[Date posted]]&lt; DATE(2015,9,18),"Before Crisis","During Crisis")</f>
        <v>Before Crisis</v>
      </c>
      <c r="G159" s="27">
        <f t="shared" si="12"/>
        <v>42217</v>
      </c>
      <c r="H159" s="7" t="str">
        <f t="shared" si="13"/>
        <v>17:19:16</v>
      </c>
      <c r="I159" s="8" t="str">
        <f t="shared" si="14"/>
        <v>Afternoon</v>
      </c>
      <c r="J159" t="s">
        <v>2370</v>
      </c>
      <c r="K159" t="s">
        <v>2370</v>
      </c>
      <c r="L159">
        <v>27</v>
      </c>
      <c r="M159">
        <v>2</v>
      </c>
      <c r="N159">
        <v>9</v>
      </c>
      <c r="O159" s="4">
        <f t="shared" si="15"/>
        <v>38</v>
      </c>
      <c r="P159" s="5" t="str">
        <f t="shared" si="16"/>
        <v>High engagement</v>
      </c>
      <c r="Q159" t="b">
        <v>1</v>
      </c>
      <c r="R159" t="b">
        <v>0</v>
      </c>
      <c r="S159" t="b">
        <v>0</v>
      </c>
      <c r="T159" s="24" t="str">
        <f t="shared" si="17"/>
        <v>Photo</v>
      </c>
    </row>
    <row r="160" spans="1:20" hidden="1" x14ac:dyDescent="0.2">
      <c r="A160" t="s">
        <v>5579</v>
      </c>
      <c r="B160" t="s">
        <v>2365</v>
      </c>
      <c r="C160" t="s">
        <v>2366</v>
      </c>
      <c r="D160" t="s">
        <v>5580</v>
      </c>
      <c r="E160" t="s">
        <v>5581</v>
      </c>
      <c r="F160" t="str">
        <f>IF(Table2[[#This Row],[Date posted]]&lt; DATE(2015,9,18),"Before Crisis","During Crisis")</f>
        <v>Before Crisis</v>
      </c>
      <c r="G160" s="27">
        <f t="shared" si="12"/>
        <v>42230</v>
      </c>
      <c r="H160" s="7" t="str">
        <f t="shared" si="13"/>
        <v>21:19:46</v>
      </c>
      <c r="I160" s="8" t="str">
        <f t="shared" si="14"/>
        <v>Evening</v>
      </c>
      <c r="J160" t="s">
        <v>2370</v>
      </c>
      <c r="K160" t="s">
        <v>2370</v>
      </c>
      <c r="L160">
        <v>24</v>
      </c>
      <c r="M160" s="3">
        <v>0</v>
      </c>
      <c r="N160">
        <v>9</v>
      </c>
      <c r="O160" s="4">
        <f t="shared" si="15"/>
        <v>33</v>
      </c>
      <c r="P160" s="5" t="str">
        <f t="shared" si="16"/>
        <v>High engagement</v>
      </c>
      <c r="Q160" t="b">
        <v>1</v>
      </c>
      <c r="R160" t="b">
        <v>0</v>
      </c>
      <c r="S160" t="b">
        <v>0</v>
      </c>
      <c r="T160" s="24" t="str">
        <f t="shared" si="17"/>
        <v>Photo</v>
      </c>
    </row>
    <row r="161" spans="1:20" hidden="1" x14ac:dyDescent="0.2">
      <c r="A161" t="s">
        <v>7165</v>
      </c>
      <c r="B161" t="s">
        <v>2365</v>
      </c>
      <c r="C161" t="s">
        <v>2366</v>
      </c>
      <c r="D161" t="s">
        <v>7166</v>
      </c>
      <c r="E161" t="s">
        <v>7167</v>
      </c>
      <c r="F161" t="str">
        <f>IF(Table2[[#This Row],[Date posted]]&lt; DATE(2015,9,18),"Before Crisis","During Crisis")</f>
        <v>Before Crisis</v>
      </c>
      <c r="G161" s="27">
        <f t="shared" si="12"/>
        <v>42176</v>
      </c>
      <c r="H161" s="7" t="str">
        <f t="shared" si="13"/>
        <v>17:40:24</v>
      </c>
      <c r="I161" s="8" t="str">
        <f t="shared" si="14"/>
        <v>Afternoon</v>
      </c>
      <c r="J161" t="s">
        <v>2370</v>
      </c>
      <c r="K161" t="s">
        <v>2370</v>
      </c>
      <c r="L161">
        <v>36</v>
      </c>
      <c r="M161">
        <v>2</v>
      </c>
      <c r="N161">
        <v>8</v>
      </c>
      <c r="O161" s="4">
        <f t="shared" si="15"/>
        <v>46</v>
      </c>
      <c r="P161" s="5" t="str">
        <f t="shared" si="16"/>
        <v>High engagement</v>
      </c>
      <c r="Q161" t="b">
        <v>1</v>
      </c>
      <c r="R161" t="b">
        <v>0</v>
      </c>
      <c r="S161" t="b">
        <v>0</v>
      </c>
      <c r="T161" s="24" t="str">
        <f t="shared" si="17"/>
        <v>Photo</v>
      </c>
    </row>
    <row r="162" spans="1:20" hidden="1" x14ac:dyDescent="0.2">
      <c r="A162" t="s">
        <v>6318</v>
      </c>
      <c r="B162" t="s">
        <v>2365</v>
      </c>
      <c r="C162" t="s">
        <v>2366</v>
      </c>
      <c r="D162" t="s">
        <v>6319</v>
      </c>
      <c r="E162" t="s">
        <v>6320</v>
      </c>
      <c r="F162" t="str">
        <f>IF(Table2[[#This Row],[Date posted]]&lt; DATE(2015,9,18),"Before Crisis","During Crisis")</f>
        <v>Before Crisis</v>
      </c>
      <c r="G162" s="27">
        <f t="shared" si="12"/>
        <v>42202</v>
      </c>
      <c r="H162" s="7" t="str">
        <f t="shared" si="13"/>
        <v>16:49:02</v>
      </c>
      <c r="I162" s="8" t="str">
        <f t="shared" si="14"/>
        <v>Afternoon</v>
      </c>
      <c r="J162" t="s">
        <v>2370</v>
      </c>
      <c r="K162" t="s">
        <v>2370</v>
      </c>
      <c r="L162">
        <v>9</v>
      </c>
      <c r="M162" s="3">
        <v>0</v>
      </c>
      <c r="N162">
        <v>8</v>
      </c>
      <c r="O162" s="4">
        <f t="shared" si="15"/>
        <v>17</v>
      </c>
      <c r="P162" s="5" t="str">
        <f t="shared" si="16"/>
        <v>High engagement</v>
      </c>
      <c r="Q162" t="b">
        <v>0</v>
      </c>
      <c r="R162" t="b">
        <v>0</v>
      </c>
      <c r="S162" t="b">
        <v>1</v>
      </c>
      <c r="T162" s="24" t="str">
        <f t="shared" si="17"/>
        <v>Link</v>
      </c>
    </row>
    <row r="163" spans="1:20" hidden="1" x14ac:dyDescent="0.2">
      <c r="A163" t="s">
        <v>6011</v>
      </c>
      <c r="B163" t="s">
        <v>2365</v>
      </c>
      <c r="C163" t="s">
        <v>2366</v>
      </c>
      <c r="D163" t="s">
        <v>6012</v>
      </c>
      <c r="E163" t="s">
        <v>6013</v>
      </c>
      <c r="F163" t="str">
        <f>IF(Table2[[#This Row],[Date posted]]&lt; DATE(2015,9,18),"Before Crisis","During Crisis")</f>
        <v>Before Crisis</v>
      </c>
      <c r="G163" s="27">
        <f t="shared" si="12"/>
        <v>42210</v>
      </c>
      <c r="H163" s="7" t="str">
        <f t="shared" si="13"/>
        <v>22:09:00</v>
      </c>
      <c r="I163" s="8" t="str">
        <f t="shared" si="14"/>
        <v>Evening</v>
      </c>
      <c r="J163" t="s">
        <v>2370</v>
      </c>
      <c r="K163" t="s">
        <v>2370</v>
      </c>
      <c r="L163">
        <v>10</v>
      </c>
      <c r="M163">
        <v>1</v>
      </c>
      <c r="N163">
        <v>8</v>
      </c>
      <c r="O163" s="4">
        <f t="shared" si="15"/>
        <v>19</v>
      </c>
      <c r="P163" s="5" t="str">
        <f t="shared" si="16"/>
        <v>High engagement</v>
      </c>
      <c r="Q163" t="b">
        <v>1</v>
      </c>
      <c r="R163" t="b">
        <v>0</v>
      </c>
      <c r="S163" t="b">
        <v>0</v>
      </c>
      <c r="T163" s="24" t="str">
        <f t="shared" si="17"/>
        <v>Photo</v>
      </c>
    </row>
    <row r="164" spans="1:20" hidden="1" x14ac:dyDescent="0.2">
      <c r="A164" t="s">
        <v>5590</v>
      </c>
      <c r="B164" t="s">
        <v>2365</v>
      </c>
      <c r="C164" t="s">
        <v>2366</v>
      </c>
      <c r="D164" t="s">
        <v>5591</v>
      </c>
      <c r="E164" t="s">
        <v>5592</v>
      </c>
      <c r="F164" t="str">
        <f>IF(Table2[[#This Row],[Date posted]]&lt; DATE(2015,9,18),"Before Crisis","During Crisis")</f>
        <v>Before Crisis</v>
      </c>
      <c r="G164" s="27">
        <f t="shared" si="12"/>
        <v>42230</v>
      </c>
      <c r="H164" s="7" t="str">
        <f t="shared" si="13"/>
        <v>17:25:03</v>
      </c>
      <c r="I164" s="8" t="str">
        <f t="shared" si="14"/>
        <v>Afternoon</v>
      </c>
      <c r="J164" t="s">
        <v>2370</v>
      </c>
      <c r="K164" t="s">
        <v>2370</v>
      </c>
      <c r="L164">
        <v>17</v>
      </c>
      <c r="M164">
        <v>1</v>
      </c>
      <c r="N164">
        <v>8</v>
      </c>
      <c r="O164" s="4">
        <f t="shared" si="15"/>
        <v>26</v>
      </c>
      <c r="P164" s="5" t="str">
        <f t="shared" si="16"/>
        <v>High engagement</v>
      </c>
      <c r="Q164" t="b">
        <v>1</v>
      </c>
      <c r="R164" t="b">
        <v>0</v>
      </c>
      <c r="S164" t="b">
        <v>0</v>
      </c>
      <c r="T164" s="24" t="str">
        <f t="shared" si="17"/>
        <v>Photo</v>
      </c>
    </row>
    <row r="165" spans="1:20" hidden="1" x14ac:dyDescent="0.2">
      <c r="A165" t="s">
        <v>4972</v>
      </c>
      <c r="B165" t="s">
        <v>2365</v>
      </c>
      <c r="C165" t="s">
        <v>2366</v>
      </c>
      <c r="D165" t="s">
        <v>4973</v>
      </c>
      <c r="E165" t="s">
        <v>4974</v>
      </c>
      <c r="F165" t="str">
        <f>IF(Table2[[#This Row],[Date posted]]&lt; DATE(2015,9,18),"Before Crisis","During Crisis")</f>
        <v>Before Crisis</v>
      </c>
      <c r="G165" s="27">
        <f t="shared" si="12"/>
        <v>42260</v>
      </c>
      <c r="H165" s="7" t="str">
        <f t="shared" si="13"/>
        <v>18:24:54</v>
      </c>
      <c r="I165" s="8" t="str">
        <f t="shared" si="14"/>
        <v>Evening</v>
      </c>
      <c r="J165" t="s">
        <v>2370</v>
      </c>
      <c r="K165" t="s">
        <v>2370</v>
      </c>
      <c r="L165">
        <v>20</v>
      </c>
      <c r="M165" s="3">
        <v>0</v>
      </c>
      <c r="N165">
        <v>8</v>
      </c>
      <c r="O165" s="4">
        <f t="shared" si="15"/>
        <v>28</v>
      </c>
      <c r="P165" s="5" t="str">
        <f t="shared" si="16"/>
        <v>High engagement</v>
      </c>
      <c r="Q165" t="b">
        <v>1</v>
      </c>
      <c r="R165" t="b">
        <v>0</v>
      </c>
      <c r="S165" t="b">
        <v>0</v>
      </c>
      <c r="T165" s="24" t="str">
        <f t="shared" si="17"/>
        <v>Photo</v>
      </c>
    </row>
    <row r="166" spans="1:20" x14ac:dyDescent="0.2">
      <c r="A166" t="s">
        <v>7270</v>
      </c>
      <c r="B166" t="s">
        <v>2365</v>
      </c>
      <c r="C166" t="s">
        <v>2366</v>
      </c>
      <c r="D166" t="s">
        <v>7271</v>
      </c>
      <c r="E166" t="s">
        <v>7272</v>
      </c>
      <c r="F166" t="str">
        <f>IF(Table2[[#This Row],[Date posted]]&lt; DATE(2015,9,18),"Before Crisis","During Crisis")</f>
        <v>Before Crisis</v>
      </c>
      <c r="G166" s="27">
        <f t="shared" si="12"/>
        <v>42174</v>
      </c>
      <c r="H166" s="7" t="str">
        <f t="shared" si="13"/>
        <v>10:34:03</v>
      </c>
      <c r="I166" s="8" t="str">
        <f t="shared" si="14"/>
        <v>Morning</v>
      </c>
      <c r="J166" t="s">
        <v>2370</v>
      </c>
      <c r="K166" t="s">
        <v>2370</v>
      </c>
      <c r="L166">
        <v>13</v>
      </c>
      <c r="M166">
        <v>1</v>
      </c>
      <c r="N166">
        <v>7</v>
      </c>
      <c r="O166" s="4">
        <f t="shared" si="15"/>
        <v>21</v>
      </c>
      <c r="P166" s="5" t="str">
        <f t="shared" si="16"/>
        <v>High engagement</v>
      </c>
      <c r="Q166" t="b">
        <v>1</v>
      </c>
      <c r="R166" t="b">
        <v>0</v>
      </c>
      <c r="S166" t="b">
        <v>1</v>
      </c>
      <c r="T166" s="24" t="str">
        <f t="shared" si="17"/>
        <v>Photo</v>
      </c>
    </row>
    <row r="167" spans="1:20" hidden="1" x14ac:dyDescent="0.2">
      <c r="A167" t="s">
        <v>6321</v>
      </c>
      <c r="B167" t="s">
        <v>2365</v>
      </c>
      <c r="C167" t="s">
        <v>2366</v>
      </c>
      <c r="D167" t="s">
        <v>6322</v>
      </c>
      <c r="E167" t="s">
        <v>6323</v>
      </c>
      <c r="F167" t="str">
        <f>IF(Table2[[#This Row],[Date posted]]&lt; DATE(2015,9,18),"Before Crisis","During Crisis")</f>
        <v>Before Crisis</v>
      </c>
      <c r="G167" s="27">
        <f t="shared" si="12"/>
        <v>42202</v>
      </c>
      <c r="H167" s="7" t="str">
        <f t="shared" si="13"/>
        <v>16:42:15</v>
      </c>
      <c r="I167" s="8" t="str">
        <f t="shared" si="14"/>
        <v>Afternoon</v>
      </c>
      <c r="J167" t="s">
        <v>2370</v>
      </c>
      <c r="K167" t="s">
        <v>2370</v>
      </c>
      <c r="L167">
        <v>29</v>
      </c>
      <c r="M167" s="3">
        <v>0</v>
      </c>
      <c r="N167">
        <v>7</v>
      </c>
      <c r="O167" s="4">
        <f t="shared" si="15"/>
        <v>36</v>
      </c>
      <c r="P167" s="5" t="str">
        <f t="shared" si="16"/>
        <v>High engagement</v>
      </c>
      <c r="Q167" t="b">
        <v>1</v>
      </c>
      <c r="R167" t="b">
        <v>0</v>
      </c>
      <c r="S167" t="b">
        <v>1</v>
      </c>
      <c r="T167" s="24" t="str">
        <f t="shared" si="17"/>
        <v>Photo</v>
      </c>
    </row>
    <row r="168" spans="1:20" hidden="1" x14ac:dyDescent="0.2">
      <c r="A168" t="s">
        <v>6023</v>
      </c>
      <c r="B168" t="s">
        <v>2365</v>
      </c>
      <c r="C168" t="s">
        <v>2366</v>
      </c>
      <c r="D168" t="s">
        <v>6024</v>
      </c>
      <c r="E168" t="s">
        <v>6025</v>
      </c>
      <c r="F168" t="str">
        <f>IF(Table2[[#This Row],[Date posted]]&lt; DATE(2015,9,18),"Before Crisis","During Crisis")</f>
        <v>Before Crisis</v>
      </c>
      <c r="G168" s="27">
        <f t="shared" si="12"/>
        <v>42210</v>
      </c>
      <c r="H168" s="7" t="str">
        <f t="shared" si="13"/>
        <v>16:22:42</v>
      </c>
      <c r="I168" s="8" t="str">
        <f t="shared" si="14"/>
        <v>Afternoon</v>
      </c>
      <c r="J168" t="s">
        <v>2370</v>
      </c>
      <c r="K168" t="s">
        <v>2370</v>
      </c>
      <c r="L168">
        <v>13</v>
      </c>
      <c r="M168" s="3">
        <v>0</v>
      </c>
      <c r="N168">
        <v>7</v>
      </c>
      <c r="O168" s="4">
        <f t="shared" si="15"/>
        <v>20</v>
      </c>
      <c r="P168" s="5" t="str">
        <f t="shared" si="16"/>
        <v>High engagement</v>
      </c>
      <c r="Q168" t="b">
        <v>1</v>
      </c>
      <c r="R168" t="b">
        <v>0</v>
      </c>
      <c r="S168" t="b">
        <v>0</v>
      </c>
      <c r="T168" s="24" t="str">
        <f t="shared" si="17"/>
        <v>Photo</v>
      </c>
    </row>
    <row r="169" spans="1:20" x14ac:dyDescent="0.2">
      <c r="A169" t="s">
        <v>5008</v>
      </c>
      <c r="B169" t="s">
        <v>2365</v>
      </c>
      <c r="C169" t="s">
        <v>2366</v>
      </c>
      <c r="D169" t="s">
        <v>5009</v>
      </c>
      <c r="E169" t="s">
        <v>5010</v>
      </c>
      <c r="F169" t="str">
        <f>IF(Table2[[#This Row],[Date posted]]&lt; DATE(2015,9,18),"Before Crisis","During Crisis")</f>
        <v>Before Crisis</v>
      </c>
      <c r="G169" s="27">
        <f t="shared" si="12"/>
        <v>42258</v>
      </c>
      <c r="H169" s="7" t="str">
        <f t="shared" si="13"/>
        <v>01:59:42</v>
      </c>
      <c r="I169" s="8" t="str">
        <f t="shared" si="14"/>
        <v>Early morning</v>
      </c>
      <c r="J169" t="s">
        <v>2370</v>
      </c>
      <c r="K169" t="s">
        <v>2370</v>
      </c>
      <c r="L169">
        <v>24</v>
      </c>
      <c r="M169" s="3">
        <v>0</v>
      </c>
      <c r="N169">
        <v>7</v>
      </c>
      <c r="O169" s="4">
        <f t="shared" si="15"/>
        <v>31</v>
      </c>
      <c r="P169" s="5" t="str">
        <f t="shared" si="16"/>
        <v>High engagement</v>
      </c>
      <c r="Q169" t="b">
        <v>1</v>
      </c>
      <c r="R169" t="b">
        <v>0</v>
      </c>
      <c r="S169" t="b">
        <v>0</v>
      </c>
      <c r="T169" s="24" t="str">
        <f t="shared" si="17"/>
        <v>Photo</v>
      </c>
    </row>
    <row r="170" spans="1:20" hidden="1" x14ac:dyDescent="0.2">
      <c r="A170" t="s">
        <v>7219</v>
      </c>
      <c r="B170" t="s">
        <v>2365</v>
      </c>
      <c r="C170" t="s">
        <v>2366</v>
      </c>
      <c r="D170" t="s">
        <v>7220</v>
      </c>
      <c r="E170" t="s">
        <v>7221</v>
      </c>
      <c r="F170" t="str">
        <f>IF(Table2[[#This Row],[Date posted]]&lt; DATE(2015,9,18),"Before Crisis","During Crisis")</f>
        <v>Before Crisis</v>
      </c>
      <c r="G170" s="27">
        <f t="shared" si="12"/>
        <v>42175</v>
      </c>
      <c r="H170" s="7" t="str">
        <f t="shared" si="13"/>
        <v>12:52:03</v>
      </c>
      <c r="I170" s="8" t="str">
        <f t="shared" si="14"/>
        <v>Mid-day</v>
      </c>
      <c r="J170" t="s">
        <v>2370</v>
      </c>
      <c r="K170" t="s">
        <v>2370</v>
      </c>
      <c r="L170">
        <v>23</v>
      </c>
      <c r="M170">
        <v>1</v>
      </c>
      <c r="N170">
        <v>6</v>
      </c>
      <c r="O170" s="4">
        <f t="shared" si="15"/>
        <v>30</v>
      </c>
      <c r="P170" s="5" t="str">
        <f t="shared" si="16"/>
        <v>High engagement</v>
      </c>
      <c r="Q170" t="b">
        <v>1</v>
      </c>
      <c r="R170" t="b">
        <v>0</v>
      </c>
      <c r="S170" t="b">
        <v>0</v>
      </c>
      <c r="T170" s="24" t="str">
        <f t="shared" si="17"/>
        <v>Photo</v>
      </c>
    </row>
    <row r="171" spans="1:20" hidden="1" x14ac:dyDescent="0.2">
      <c r="A171" t="s">
        <v>7192</v>
      </c>
      <c r="B171" t="s">
        <v>2365</v>
      </c>
      <c r="C171" t="s">
        <v>2366</v>
      </c>
      <c r="D171" t="s">
        <v>7193</v>
      </c>
      <c r="E171" t="s">
        <v>7194</v>
      </c>
      <c r="F171" t="str">
        <f>IF(Table2[[#This Row],[Date posted]]&lt; DATE(2015,9,18),"Before Crisis","During Crisis")</f>
        <v>Before Crisis</v>
      </c>
      <c r="G171" s="27">
        <f t="shared" si="12"/>
        <v>42175</v>
      </c>
      <c r="H171" s="7" t="str">
        <f t="shared" si="13"/>
        <v>19:21:02</v>
      </c>
      <c r="I171" s="8" t="str">
        <f t="shared" si="14"/>
        <v>Evening</v>
      </c>
      <c r="J171" t="s">
        <v>2370</v>
      </c>
      <c r="K171" t="s">
        <v>2370</v>
      </c>
      <c r="L171">
        <v>5</v>
      </c>
      <c r="M171" s="3">
        <v>0</v>
      </c>
      <c r="N171">
        <v>6</v>
      </c>
      <c r="O171" s="4">
        <f t="shared" si="15"/>
        <v>11</v>
      </c>
      <c r="P171" s="5" t="str">
        <f t="shared" si="16"/>
        <v>High engagement</v>
      </c>
      <c r="Q171" t="b">
        <v>1</v>
      </c>
      <c r="R171" t="b">
        <v>0</v>
      </c>
      <c r="S171" t="b">
        <v>0</v>
      </c>
      <c r="T171" s="24" t="str">
        <f t="shared" si="17"/>
        <v>Photo</v>
      </c>
    </row>
    <row r="172" spans="1:20" hidden="1" x14ac:dyDescent="0.2">
      <c r="A172" t="s">
        <v>6290</v>
      </c>
      <c r="B172" t="s">
        <v>2365</v>
      </c>
      <c r="C172" t="s">
        <v>2366</v>
      </c>
      <c r="D172" t="s">
        <v>6291</v>
      </c>
      <c r="E172" t="s">
        <v>6292</v>
      </c>
      <c r="F172" t="str">
        <f>IF(Table2[[#This Row],[Date posted]]&lt; DATE(2015,9,18),"Before Crisis","During Crisis")</f>
        <v>Before Crisis</v>
      </c>
      <c r="G172" s="27">
        <f t="shared" si="12"/>
        <v>42202</v>
      </c>
      <c r="H172" s="7" t="str">
        <f t="shared" si="13"/>
        <v>23:34:53</v>
      </c>
      <c r="I172" s="8" t="str">
        <f t="shared" si="14"/>
        <v>Evening</v>
      </c>
      <c r="J172" t="s">
        <v>2370</v>
      </c>
      <c r="K172" t="s">
        <v>2370</v>
      </c>
      <c r="L172">
        <v>19</v>
      </c>
      <c r="M172" s="3">
        <v>0</v>
      </c>
      <c r="N172">
        <v>6</v>
      </c>
      <c r="O172" s="4">
        <f t="shared" si="15"/>
        <v>25</v>
      </c>
      <c r="P172" s="5" t="str">
        <f t="shared" si="16"/>
        <v>High engagement</v>
      </c>
      <c r="Q172" t="b">
        <v>1</v>
      </c>
      <c r="R172" t="b">
        <v>0</v>
      </c>
      <c r="S172" t="b">
        <v>0</v>
      </c>
      <c r="T172" s="24" t="str">
        <f t="shared" si="17"/>
        <v>Photo</v>
      </c>
    </row>
    <row r="173" spans="1:20" hidden="1" x14ac:dyDescent="0.2">
      <c r="A173" t="s">
        <v>6176</v>
      </c>
      <c r="B173" t="s">
        <v>2365</v>
      </c>
      <c r="C173" t="s">
        <v>2366</v>
      </c>
      <c r="D173" t="s">
        <v>6177</v>
      </c>
      <c r="E173" t="s">
        <v>6178</v>
      </c>
      <c r="F173" t="str">
        <f>IF(Table2[[#This Row],[Date posted]]&lt; DATE(2015,9,18),"Before Crisis","During Crisis")</f>
        <v>Before Crisis</v>
      </c>
      <c r="G173" s="27">
        <f t="shared" si="12"/>
        <v>42205</v>
      </c>
      <c r="H173" s="7" t="str">
        <f t="shared" si="13"/>
        <v>18:24:47</v>
      </c>
      <c r="I173" s="8" t="str">
        <f t="shared" si="14"/>
        <v>Evening</v>
      </c>
      <c r="J173" t="s">
        <v>2370</v>
      </c>
      <c r="K173" t="s">
        <v>2370</v>
      </c>
      <c r="L173">
        <v>11</v>
      </c>
      <c r="M173" s="3">
        <v>0</v>
      </c>
      <c r="N173">
        <v>6</v>
      </c>
      <c r="O173" s="4">
        <f t="shared" si="15"/>
        <v>17</v>
      </c>
      <c r="P173" s="5" t="str">
        <f t="shared" si="16"/>
        <v>High engagement</v>
      </c>
      <c r="Q173" t="b">
        <v>0</v>
      </c>
      <c r="R173" t="b">
        <v>0</v>
      </c>
      <c r="S173" t="b">
        <v>1</v>
      </c>
      <c r="T173" s="24" t="str">
        <f t="shared" si="17"/>
        <v>Link</v>
      </c>
    </row>
    <row r="174" spans="1:20" hidden="1" x14ac:dyDescent="0.2">
      <c r="A174" t="s">
        <v>5999</v>
      </c>
      <c r="B174" t="s">
        <v>2365</v>
      </c>
      <c r="C174" t="s">
        <v>2366</v>
      </c>
      <c r="D174" t="s">
        <v>6000</v>
      </c>
      <c r="E174" t="s">
        <v>6001</v>
      </c>
      <c r="F174" t="str">
        <f>IF(Table2[[#This Row],[Date posted]]&lt; DATE(2015,9,18),"Before Crisis","During Crisis")</f>
        <v>Before Crisis</v>
      </c>
      <c r="G174" s="27">
        <f t="shared" si="12"/>
        <v>42211</v>
      </c>
      <c r="H174" s="7" t="str">
        <f t="shared" si="13"/>
        <v>16:12:49</v>
      </c>
      <c r="I174" s="8" t="str">
        <f t="shared" si="14"/>
        <v>Afternoon</v>
      </c>
      <c r="J174" t="s">
        <v>2370</v>
      </c>
      <c r="K174" t="s">
        <v>2370</v>
      </c>
      <c r="L174">
        <v>11</v>
      </c>
      <c r="M174" s="3">
        <v>0</v>
      </c>
      <c r="N174">
        <v>6</v>
      </c>
      <c r="O174" s="4">
        <f t="shared" si="15"/>
        <v>17</v>
      </c>
      <c r="P174" s="5" t="str">
        <f t="shared" si="16"/>
        <v>High engagement</v>
      </c>
      <c r="Q174" t="b">
        <v>1</v>
      </c>
      <c r="R174" t="b">
        <v>0</v>
      </c>
      <c r="S174" t="b">
        <v>0</v>
      </c>
      <c r="T174" s="24" t="str">
        <f t="shared" si="17"/>
        <v>Photo</v>
      </c>
    </row>
    <row r="175" spans="1:20" hidden="1" x14ac:dyDescent="0.2">
      <c r="A175" t="s">
        <v>5596</v>
      </c>
      <c r="B175" t="s">
        <v>2365</v>
      </c>
      <c r="C175" t="s">
        <v>2366</v>
      </c>
      <c r="D175" t="s">
        <v>5597</v>
      </c>
      <c r="E175" t="s">
        <v>5598</v>
      </c>
      <c r="F175" t="str">
        <f>IF(Table2[[#This Row],[Date posted]]&lt; DATE(2015,9,18),"Before Crisis","During Crisis")</f>
        <v>Before Crisis</v>
      </c>
      <c r="G175" s="27">
        <f t="shared" si="12"/>
        <v>42230</v>
      </c>
      <c r="H175" s="7" t="str">
        <f t="shared" si="13"/>
        <v>14:03:19</v>
      </c>
      <c r="I175" s="8" t="str">
        <f t="shared" si="14"/>
        <v>Afternoon</v>
      </c>
      <c r="J175" t="s">
        <v>2370</v>
      </c>
      <c r="K175" t="s">
        <v>2370</v>
      </c>
      <c r="L175">
        <v>28</v>
      </c>
      <c r="M175">
        <v>1</v>
      </c>
      <c r="N175">
        <v>6</v>
      </c>
      <c r="O175" s="4">
        <f t="shared" si="15"/>
        <v>35</v>
      </c>
      <c r="P175" s="5" t="str">
        <f t="shared" si="16"/>
        <v>High engagement</v>
      </c>
      <c r="Q175" t="b">
        <v>1</v>
      </c>
      <c r="R175" t="b">
        <v>0</v>
      </c>
      <c r="S175" t="b">
        <v>0</v>
      </c>
      <c r="T175" s="24" t="str">
        <f t="shared" si="17"/>
        <v>Photo</v>
      </c>
    </row>
    <row r="176" spans="1:20" hidden="1" x14ac:dyDescent="0.2">
      <c r="A176" t="s">
        <v>7251</v>
      </c>
      <c r="B176" t="s">
        <v>2365</v>
      </c>
      <c r="C176" t="s">
        <v>2366</v>
      </c>
      <c r="D176" t="s">
        <v>7252</v>
      </c>
      <c r="E176" t="s">
        <v>7253</v>
      </c>
      <c r="F176" t="str">
        <f>IF(Table2[[#This Row],[Date posted]]&lt; DATE(2015,9,18),"Before Crisis","During Crisis")</f>
        <v>Before Crisis</v>
      </c>
      <c r="G176" s="27">
        <f t="shared" si="12"/>
        <v>42174</v>
      </c>
      <c r="H176" s="7" t="str">
        <f t="shared" si="13"/>
        <v>20:50:12</v>
      </c>
      <c r="I176" s="8" t="str">
        <f t="shared" si="14"/>
        <v>Evening</v>
      </c>
      <c r="J176" t="s">
        <v>2370</v>
      </c>
      <c r="K176" t="s">
        <v>2370</v>
      </c>
      <c r="L176">
        <v>10</v>
      </c>
      <c r="M176" s="3">
        <v>0</v>
      </c>
      <c r="N176">
        <v>5</v>
      </c>
      <c r="O176" s="4">
        <f t="shared" si="15"/>
        <v>15</v>
      </c>
      <c r="P176" s="5" t="str">
        <f t="shared" si="16"/>
        <v>High engagement</v>
      </c>
      <c r="Q176" t="b">
        <v>1</v>
      </c>
      <c r="R176" t="b">
        <v>0</v>
      </c>
      <c r="S176" t="b">
        <v>0</v>
      </c>
      <c r="T176" s="24" t="str">
        <f t="shared" si="17"/>
        <v>Photo</v>
      </c>
    </row>
    <row r="177" spans="1:20" hidden="1" x14ac:dyDescent="0.2">
      <c r="A177" t="s">
        <v>7213</v>
      </c>
      <c r="B177" t="s">
        <v>2365</v>
      </c>
      <c r="C177" t="s">
        <v>2366</v>
      </c>
      <c r="D177" t="s">
        <v>7214</v>
      </c>
      <c r="E177" t="s">
        <v>7215</v>
      </c>
      <c r="F177" t="str">
        <f>IF(Table2[[#This Row],[Date posted]]&lt; DATE(2015,9,18),"Before Crisis","During Crisis")</f>
        <v>Before Crisis</v>
      </c>
      <c r="G177" s="27">
        <f t="shared" si="12"/>
        <v>42175</v>
      </c>
      <c r="H177" s="7" t="str">
        <f t="shared" si="13"/>
        <v>14:31:11</v>
      </c>
      <c r="I177" s="8" t="str">
        <f t="shared" si="14"/>
        <v>Afternoon</v>
      </c>
      <c r="J177" t="s">
        <v>2370</v>
      </c>
      <c r="K177" t="s">
        <v>2370</v>
      </c>
      <c r="L177">
        <v>10</v>
      </c>
      <c r="M177" s="3">
        <v>0</v>
      </c>
      <c r="N177">
        <v>5</v>
      </c>
      <c r="O177" s="4">
        <f t="shared" si="15"/>
        <v>15</v>
      </c>
      <c r="P177" s="5" t="str">
        <f t="shared" si="16"/>
        <v>High engagement</v>
      </c>
      <c r="Q177" t="b">
        <v>1</v>
      </c>
      <c r="R177" t="b">
        <v>0</v>
      </c>
      <c r="S177" t="b">
        <v>0</v>
      </c>
      <c r="T177" s="24" t="str">
        <f t="shared" si="17"/>
        <v>Photo</v>
      </c>
    </row>
    <row r="178" spans="1:20" hidden="1" x14ac:dyDescent="0.2">
      <c r="A178" t="s">
        <v>6268</v>
      </c>
      <c r="B178" t="s">
        <v>2365</v>
      </c>
      <c r="C178" t="s">
        <v>2366</v>
      </c>
      <c r="D178" t="s">
        <v>6269</v>
      </c>
      <c r="E178" t="s">
        <v>6270</v>
      </c>
      <c r="F178" t="str">
        <f>IF(Table2[[#This Row],[Date posted]]&lt; DATE(2015,9,18),"Before Crisis","During Crisis")</f>
        <v>Before Crisis</v>
      </c>
      <c r="G178" s="27">
        <f t="shared" si="12"/>
        <v>42203</v>
      </c>
      <c r="H178" s="7" t="str">
        <f t="shared" si="13"/>
        <v>17:50:37</v>
      </c>
      <c r="I178" s="8" t="str">
        <f t="shared" si="14"/>
        <v>Afternoon</v>
      </c>
      <c r="J178" t="s">
        <v>2370</v>
      </c>
      <c r="K178" t="s">
        <v>2370</v>
      </c>
      <c r="L178">
        <v>8</v>
      </c>
      <c r="M178">
        <v>1</v>
      </c>
      <c r="N178">
        <v>5</v>
      </c>
      <c r="O178" s="4">
        <f t="shared" si="15"/>
        <v>14</v>
      </c>
      <c r="P178" s="5" t="str">
        <f t="shared" si="16"/>
        <v>High engagement</v>
      </c>
      <c r="Q178" t="b">
        <v>1</v>
      </c>
      <c r="R178" t="b">
        <v>0</v>
      </c>
      <c r="S178" t="b">
        <v>0</v>
      </c>
      <c r="T178" s="24" t="str">
        <f t="shared" si="17"/>
        <v>Photo</v>
      </c>
    </row>
    <row r="179" spans="1:20" hidden="1" x14ac:dyDescent="0.2">
      <c r="A179" t="s">
        <v>6020</v>
      </c>
      <c r="B179" t="s">
        <v>2365</v>
      </c>
      <c r="C179" t="s">
        <v>2366</v>
      </c>
      <c r="D179" t="s">
        <v>6021</v>
      </c>
      <c r="E179" t="s">
        <v>6022</v>
      </c>
      <c r="F179" t="str">
        <f>IF(Table2[[#This Row],[Date posted]]&lt; DATE(2015,9,18),"Before Crisis","During Crisis")</f>
        <v>Before Crisis</v>
      </c>
      <c r="G179" s="27">
        <f t="shared" si="12"/>
        <v>42210</v>
      </c>
      <c r="H179" s="7" t="str">
        <f t="shared" si="13"/>
        <v>16:42:05</v>
      </c>
      <c r="I179" s="8" t="str">
        <f t="shared" si="14"/>
        <v>Afternoon</v>
      </c>
      <c r="J179" t="s">
        <v>2370</v>
      </c>
      <c r="K179" t="s">
        <v>2370</v>
      </c>
      <c r="L179">
        <v>19</v>
      </c>
      <c r="M179">
        <v>1</v>
      </c>
      <c r="N179">
        <v>5</v>
      </c>
      <c r="O179" s="4">
        <f t="shared" si="15"/>
        <v>25</v>
      </c>
      <c r="P179" s="5" t="str">
        <f t="shared" si="16"/>
        <v>High engagement</v>
      </c>
      <c r="Q179" t="b">
        <v>1</v>
      </c>
      <c r="R179" t="b">
        <v>0</v>
      </c>
      <c r="S179" t="b">
        <v>0</v>
      </c>
      <c r="T179" s="24" t="str">
        <f t="shared" si="17"/>
        <v>Photo</v>
      </c>
    </row>
    <row r="180" spans="1:20" hidden="1" x14ac:dyDescent="0.2">
      <c r="A180" t="s">
        <v>7210</v>
      </c>
      <c r="B180" t="s">
        <v>2365</v>
      </c>
      <c r="C180" t="s">
        <v>2366</v>
      </c>
      <c r="D180" t="s">
        <v>7211</v>
      </c>
      <c r="E180" t="s">
        <v>7212</v>
      </c>
      <c r="F180" t="str">
        <f>IF(Table2[[#This Row],[Date posted]]&lt; DATE(2015,9,18),"Before Crisis","During Crisis")</f>
        <v>Before Crisis</v>
      </c>
      <c r="G180" s="27">
        <f t="shared" si="12"/>
        <v>42175</v>
      </c>
      <c r="H180" s="7" t="str">
        <f t="shared" si="13"/>
        <v>15:49:49</v>
      </c>
      <c r="I180" s="8" t="str">
        <f t="shared" si="14"/>
        <v>Afternoon</v>
      </c>
      <c r="J180" t="s">
        <v>2370</v>
      </c>
      <c r="K180" t="s">
        <v>2370</v>
      </c>
      <c r="L180">
        <v>16</v>
      </c>
      <c r="M180" s="3">
        <v>0</v>
      </c>
      <c r="N180">
        <v>4</v>
      </c>
      <c r="O180" s="4">
        <f t="shared" si="15"/>
        <v>20</v>
      </c>
      <c r="P180" s="5" t="str">
        <f t="shared" si="16"/>
        <v>High engagement</v>
      </c>
      <c r="Q180" t="b">
        <v>1</v>
      </c>
      <c r="R180" t="b">
        <v>0</v>
      </c>
      <c r="S180" t="b">
        <v>0</v>
      </c>
      <c r="T180" s="24" t="str">
        <f t="shared" si="17"/>
        <v>Photo</v>
      </c>
    </row>
    <row r="181" spans="1:20" hidden="1" x14ac:dyDescent="0.2">
      <c r="A181" t="s">
        <v>7174</v>
      </c>
      <c r="B181" t="s">
        <v>2365</v>
      </c>
      <c r="C181" t="s">
        <v>2366</v>
      </c>
      <c r="D181" t="s">
        <v>7175</v>
      </c>
      <c r="E181" t="s">
        <v>7176</v>
      </c>
      <c r="F181" t="str">
        <f>IF(Table2[[#This Row],[Date posted]]&lt; DATE(2015,9,18),"Before Crisis","During Crisis")</f>
        <v>Before Crisis</v>
      </c>
      <c r="G181" s="27">
        <f t="shared" si="12"/>
        <v>42176</v>
      </c>
      <c r="H181" s="7" t="str">
        <f t="shared" si="13"/>
        <v>14:46:24</v>
      </c>
      <c r="I181" s="8" t="str">
        <f t="shared" si="14"/>
        <v>Afternoon</v>
      </c>
      <c r="J181" t="s">
        <v>2370</v>
      </c>
      <c r="K181" t="s">
        <v>2370</v>
      </c>
      <c r="L181">
        <v>11</v>
      </c>
      <c r="M181" s="3">
        <v>0</v>
      </c>
      <c r="N181">
        <v>4</v>
      </c>
      <c r="O181" s="4">
        <f t="shared" si="15"/>
        <v>15</v>
      </c>
      <c r="P181" s="5" t="str">
        <f t="shared" si="16"/>
        <v>High engagement</v>
      </c>
      <c r="Q181" t="b">
        <v>1</v>
      </c>
      <c r="R181" t="b">
        <v>0</v>
      </c>
      <c r="S181" t="b">
        <v>0</v>
      </c>
      <c r="T181" s="24" t="str">
        <f t="shared" si="17"/>
        <v>Photo</v>
      </c>
    </row>
    <row r="182" spans="1:20" hidden="1" x14ac:dyDescent="0.2">
      <c r="A182" t="s">
        <v>7168</v>
      </c>
      <c r="B182" t="s">
        <v>2365</v>
      </c>
      <c r="C182" t="s">
        <v>2366</v>
      </c>
      <c r="D182" t="s">
        <v>7169</v>
      </c>
      <c r="E182" t="s">
        <v>7170</v>
      </c>
      <c r="F182" t="str">
        <f>IF(Table2[[#This Row],[Date posted]]&lt; DATE(2015,9,18),"Before Crisis","During Crisis")</f>
        <v>Before Crisis</v>
      </c>
      <c r="G182" s="27">
        <f t="shared" si="12"/>
        <v>42176</v>
      </c>
      <c r="H182" s="7" t="str">
        <f t="shared" si="13"/>
        <v>17:16:14</v>
      </c>
      <c r="I182" s="8" t="str">
        <f t="shared" si="14"/>
        <v>Afternoon</v>
      </c>
      <c r="J182" t="s">
        <v>2370</v>
      </c>
      <c r="K182" t="s">
        <v>2370</v>
      </c>
      <c r="L182">
        <v>5</v>
      </c>
      <c r="M182" s="3">
        <v>0</v>
      </c>
      <c r="N182">
        <v>4</v>
      </c>
      <c r="O182" s="4">
        <f t="shared" si="15"/>
        <v>9</v>
      </c>
      <c r="P182" s="5" t="str">
        <f t="shared" si="16"/>
        <v>Moderate engagement</v>
      </c>
      <c r="Q182" t="b">
        <v>1</v>
      </c>
      <c r="R182" t="b">
        <v>0</v>
      </c>
      <c r="S182" t="b">
        <v>0</v>
      </c>
      <c r="T182" s="24" t="str">
        <f t="shared" si="17"/>
        <v>Photo</v>
      </c>
    </row>
    <row r="183" spans="1:20" hidden="1" x14ac:dyDescent="0.2">
      <c r="A183" t="s">
        <v>7162</v>
      </c>
      <c r="B183" t="s">
        <v>2365</v>
      </c>
      <c r="C183" t="s">
        <v>2366</v>
      </c>
      <c r="D183" t="s">
        <v>7163</v>
      </c>
      <c r="E183" t="s">
        <v>7164</v>
      </c>
      <c r="F183" t="str">
        <f>IF(Table2[[#This Row],[Date posted]]&lt; DATE(2015,9,18),"Before Crisis","During Crisis")</f>
        <v>Before Crisis</v>
      </c>
      <c r="G183" s="27">
        <f t="shared" si="12"/>
        <v>42176</v>
      </c>
      <c r="H183" s="7" t="str">
        <f t="shared" si="13"/>
        <v>18:16:02</v>
      </c>
      <c r="I183" s="8" t="str">
        <f t="shared" si="14"/>
        <v>Evening</v>
      </c>
      <c r="J183" t="s">
        <v>2370</v>
      </c>
      <c r="K183" t="s">
        <v>2370</v>
      </c>
      <c r="L183">
        <v>11</v>
      </c>
      <c r="M183" s="3">
        <v>0</v>
      </c>
      <c r="N183">
        <v>4</v>
      </c>
      <c r="O183" s="4">
        <f t="shared" si="15"/>
        <v>15</v>
      </c>
      <c r="P183" s="5" t="str">
        <f t="shared" si="16"/>
        <v>High engagement</v>
      </c>
      <c r="Q183" t="b">
        <v>1</v>
      </c>
      <c r="R183" t="b">
        <v>0</v>
      </c>
      <c r="S183" t="b">
        <v>0</v>
      </c>
      <c r="T183" s="24" t="str">
        <f t="shared" si="17"/>
        <v>Photo</v>
      </c>
    </row>
    <row r="184" spans="1:20" hidden="1" x14ac:dyDescent="0.2">
      <c r="A184" t="s">
        <v>6402</v>
      </c>
      <c r="B184" t="s">
        <v>2365</v>
      </c>
      <c r="C184" t="s">
        <v>2366</v>
      </c>
      <c r="D184" t="s">
        <v>6403</v>
      </c>
      <c r="E184" t="s">
        <v>6404</v>
      </c>
      <c r="F184" t="str">
        <f>IF(Table2[[#This Row],[Date posted]]&lt; DATE(2015,9,18),"Before Crisis","During Crisis")</f>
        <v>Before Crisis</v>
      </c>
      <c r="G184" s="27">
        <f t="shared" si="12"/>
        <v>42200</v>
      </c>
      <c r="H184" s="7" t="str">
        <f t="shared" si="13"/>
        <v>13:59:32</v>
      </c>
      <c r="I184" s="8" t="str">
        <f t="shared" si="14"/>
        <v>Mid-day</v>
      </c>
      <c r="J184" t="s">
        <v>2370</v>
      </c>
      <c r="K184" t="s">
        <v>2370</v>
      </c>
      <c r="L184">
        <v>10</v>
      </c>
      <c r="M184">
        <v>1</v>
      </c>
      <c r="N184">
        <v>4</v>
      </c>
      <c r="O184" s="4">
        <f t="shared" si="15"/>
        <v>15</v>
      </c>
      <c r="P184" s="5" t="str">
        <f t="shared" si="16"/>
        <v>High engagement</v>
      </c>
      <c r="Q184" t="b">
        <v>1</v>
      </c>
      <c r="R184" t="b">
        <v>0</v>
      </c>
      <c r="S184" t="b">
        <v>1</v>
      </c>
      <c r="T184" s="24" t="str">
        <f t="shared" si="17"/>
        <v>Photo</v>
      </c>
    </row>
    <row r="185" spans="1:20" x14ac:dyDescent="0.2">
      <c r="A185" t="s">
        <v>4551</v>
      </c>
      <c r="B185" t="s">
        <v>2365</v>
      </c>
      <c r="C185" t="s">
        <v>2366</v>
      </c>
      <c r="D185" t="s">
        <v>4552</v>
      </c>
      <c r="E185" t="s">
        <v>4553</v>
      </c>
      <c r="F185" t="str">
        <f>IF(Table2[[#This Row],[Date posted]]&lt; DATE(2015,9,18),"Before Crisis","During Crisis")</f>
        <v>During Crisis</v>
      </c>
      <c r="G185" s="27">
        <f t="shared" si="12"/>
        <v>42270</v>
      </c>
      <c r="H185" s="7" t="str">
        <f t="shared" si="13"/>
        <v>03:02:02</v>
      </c>
      <c r="I185" s="8" t="str">
        <f t="shared" si="14"/>
        <v>Early morning</v>
      </c>
      <c r="J185" t="s">
        <v>4554</v>
      </c>
      <c r="K185" t="s">
        <v>2370</v>
      </c>
      <c r="L185">
        <v>1</v>
      </c>
      <c r="M185">
        <v>2</v>
      </c>
      <c r="N185">
        <v>4</v>
      </c>
      <c r="O185" s="4">
        <f t="shared" si="15"/>
        <v>7</v>
      </c>
      <c r="P185" s="5" t="str">
        <f t="shared" si="16"/>
        <v>Moderate engagement</v>
      </c>
      <c r="Q185" t="b">
        <v>0</v>
      </c>
      <c r="R185" t="b">
        <v>0</v>
      </c>
      <c r="S185" t="b">
        <v>1</v>
      </c>
      <c r="T185" s="24" t="str">
        <f t="shared" si="17"/>
        <v>Link</v>
      </c>
    </row>
    <row r="186" spans="1:20" hidden="1" x14ac:dyDescent="0.2">
      <c r="A186" t="s">
        <v>2558</v>
      </c>
      <c r="B186" t="s">
        <v>2365</v>
      </c>
      <c r="C186" t="s">
        <v>2366</v>
      </c>
      <c r="D186" t="s">
        <v>2559</v>
      </c>
      <c r="E186" t="s">
        <v>2560</v>
      </c>
      <c r="F186" t="str">
        <f>IF(Table2[[#This Row],[Date posted]]&lt; DATE(2015,9,18),"Before Crisis","During Crisis")</f>
        <v>During Crisis</v>
      </c>
      <c r="G186" s="27">
        <f t="shared" si="12"/>
        <v>42348</v>
      </c>
      <c r="H186" s="7" t="str">
        <f t="shared" si="13"/>
        <v>17:54:28</v>
      </c>
      <c r="I186" s="8" t="str">
        <f t="shared" si="14"/>
        <v>Afternoon</v>
      </c>
      <c r="J186" t="s">
        <v>2561</v>
      </c>
      <c r="K186" t="s">
        <v>2370</v>
      </c>
      <c r="L186">
        <v>1</v>
      </c>
      <c r="M186">
        <v>1</v>
      </c>
      <c r="N186">
        <v>4</v>
      </c>
      <c r="O186" s="4">
        <f t="shared" si="15"/>
        <v>6</v>
      </c>
      <c r="P186" s="5" t="str">
        <f t="shared" si="16"/>
        <v>Moderate engagement</v>
      </c>
      <c r="Q186" t="b">
        <v>0</v>
      </c>
      <c r="R186" t="b">
        <v>0</v>
      </c>
      <c r="S186" t="b">
        <v>0</v>
      </c>
      <c r="T186" s="24" t="str">
        <f t="shared" si="17"/>
        <v>Text only</v>
      </c>
    </row>
    <row r="187" spans="1:20" hidden="1" x14ac:dyDescent="0.2">
      <c r="A187" t="s">
        <v>7242</v>
      </c>
      <c r="B187" t="s">
        <v>2365</v>
      </c>
      <c r="C187" t="s">
        <v>2366</v>
      </c>
      <c r="D187" t="s">
        <v>7243</v>
      </c>
      <c r="E187" t="s">
        <v>7244</v>
      </c>
      <c r="F187" t="str">
        <f>IF(Table2[[#This Row],[Date posted]]&lt; DATE(2015,9,18),"Before Crisis","During Crisis")</f>
        <v>Before Crisis</v>
      </c>
      <c r="G187" s="27">
        <f t="shared" si="12"/>
        <v>42174</v>
      </c>
      <c r="H187" s="7" t="str">
        <f t="shared" si="13"/>
        <v>23:29:40</v>
      </c>
      <c r="I187" s="8" t="str">
        <f t="shared" si="14"/>
        <v>Evening</v>
      </c>
      <c r="J187" t="s">
        <v>2370</v>
      </c>
      <c r="K187" t="s">
        <v>2370</v>
      </c>
      <c r="L187">
        <v>5</v>
      </c>
      <c r="M187" s="3">
        <v>0</v>
      </c>
      <c r="N187">
        <v>3</v>
      </c>
      <c r="O187" s="4">
        <f t="shared" si="15"/>
        <v>8</v>
      </c>
      <c r="P187" s="5" t="str">
        <f t="shared" si="16"/>
        <v>Moderate engagement</v>
      </c>
      <c r="Q187" t="b">
        <v>1</v>
      </c>
      <c r="R187" t="b">
        <v>0</v>
      </c>
      <c r="S187" t="b">
        <v>0</v>
      </c>
      <c r="T187" s="24" t="str">
        <f t="shared" si="17"/>
        <v>Photo</v>
      </c>
    </row>
    <row r="188" spans="1:20" hidden="1" x14ac:dyDescent="0.2">
      <c r="A188" t="s">
        <v>7171</v>
      </c>
      <c r="B188" t="s">
        <v>2365</v>
      </c>
      <c r="C188" t="s">
        <v>2366</v>
      </c>
      <c r="D188" t="s">
        <v>7172</v>
      </c>
      <c r="E188" t="s">
        <v>7173</v>
      </c>
      <c r="F188" t="str">
        <f>IF(Table2[[#This Row],[Date posted]]&lt; DATE(2015,9,18),"Before Crisis","During Crisis")</f>
        <v>Before Crisis</v>
      </c>
      <c r="G188" s="27">
        <f t="shared" si="12"/>
        <v>42176</v>
      </c>
      <c r="H188" s="7" t="str">
        <f t="shared" si="13"/>
        <v>15:40:09</v>
      </c>
      <c r="I188" s="8" t="str">
        <f t="shared" si="14"/>
        <v>Afternoon</v>
      </c>
      <c r="J188" t="s">
        <v>2370</v>
      </c>
      <c r="K188" t="s">
        <v>2370</v>
      </c>
      <c r="L188">
        <v>14</v>
      </c>
      <c r="M188" s="3">
        <v>0</v>
      </c>
      <c r="N188">
        <v>3</v>
      </c>
      <c r="O188" s="4">
        <f t="shared" si="15"/>
        <v>17</v>
      </c>
      <c r="P188" s="5" t="str">
        <f t="shared" si="16"/>
        <v>High engagement</v>
      </c>
      <c r="Q188" t="b">
        <v>1</v>
      </c>
      <c r="R188" t="b">
        <v>0</v>
      </c>
      <c r="S188" t="b">
        <v>0</v>
      </c>
      <c r="T188" s="24" t="str">
        <f t="shared" si="17"/>
        <v>Photo</v>
      </c>
    </row>
    <row r="189" spans="1:20" hidden="1" x14ac:dyDescent="0.2">
      <c r="A189" t="s">
        <v>5080</v>
      </c>
      <c r="B189" t="s">
        <v>2365</v>
      </c>
      <c r="C189" t="s">
        <v>2366</v>
      </c>
      <c r="D189" t="s">
        <v>5081</v>
      </c>
      <c r="E189" t="s">
        <v>5082</v>
      </c>
      <c r="F189" t="str">
        <f>IF(Table2[[#This Row],[Date posted]]&lt; DATE(2015,9,18),"Before Crisis","During Crisis")</f>
        <v>Before Crisis</v>
      </c>
      <c r="G189" s="27">
        <f t="shared" si="12"/>
        <v>42256</v>
      </c>
      <c r="H189" s="7" t="str">
        <f t="shared" si="13"/>
        <v>21:11:03</v>
      </c>
      <c r="I189" s="8" t="str">
        <f t="shared" si="14"/>
        <v>Evening</v>
      </c>
      <c r="J189" t="s">
        <v>5083</v>
      </c>
      <c r="K189" t="s">
        <v>2370</v>
      </c>
      <c r="L189">
        <v>2</v>
      </c>
      <c r="M189" s="3">
        <v>0</v>
      </c>
      <c r="N189">
        <v>3</v>
      </c>
      <c r="O189" s="4">
        <f t="shared" si="15"/>
        <v>5</v>
      </c>
      <c r="P189" s="5" t="str">
        <f t="shared" si="16"/>
        <v>Moderate engagement</v>
      </c>
      <c r="Q189" t="b">
        <v>0</v>
      </c>
      <c r="R189" t="b">
        <v>0</v>
      </c>
      <c r="S189" t="b">
        <v>0</v>
      </c>
      <c r="T189" s="24" t="str">
        <f t="shared" si="17"/>
        <v>Text only</v>
      </c>
    </row>
    <row r="190" spans="1:20" hidden="1" x14ac:dyDescent="0.2">
      <c r="A190" t="s">
        <v>4896</v>
      </c>
      <c r="B190" t="s">
        <v>2365</v>
      </c>
      <c r="C190" t="s">
        <v>2366</v>
      </c>
      <c r="D190" t="s">
        <v>4897</v>
      </c>
      <c r="E190" t="s">
        <v>4898</v>
      </c>
      <c r="F190" t="str">
        <f>IF(Table2[[#This Row],[Date posted]]&lt; DATE(2015,9,18),"Before Crisis","During Crisis")</f>
        <v>Before Crisis</v>
      </c>
      <c r="G190" s="27">
        <f t="shared" si="12"/>
        <v>42261</v>
      </c>
      <c r="H190" s="7" t="str">
        <f t="shared" si="13"/>
        <v>13:28:46</v>
      </c>
      <c r="I190" s="8" t="str">
        <f t="shared" si="14"/>
        <v>Mid-day</v>
      </c>
      <c r="J190" t="s">
        <v>4899</v>
      </c>
      <c r="K190" t="s">
        <v>2370</v>
      </c>
      <c r="L190">
        <v>3</v>
      </c>
      <c r="M190" s="3">
        <v>0</v>
      </c>
      <c r="N190">
        <v>3</v>
      </c>
      <c r="O190" s="4">
        <f t="shared" si="15"/>
        <v>6</v>
      </c>
      <c r="P190" s="5" t="str">
        <f t="shared" si="16"/>
        <v>Moderate engagement</v>
      </c>
      <c r="Q190" t="b">
        <v>0</v>
      </c>
      <c r="R190" t="b">
        <v>0</v>
      </c>
      <c r="S190" t="b">
        <v>0</v>
      </c>
      <c r="T190" s="24" t="str">
        <f t="shared" si="17"/>
        <v>Text only</v>
      </c>
    </row>
    <row r="191" spans="1:20" hidden="1" x14ac:dyDescent="0.2">
      <c r="A191" t="s">
        <v>3110</v>
      </c>
      <c r="B191" t="s">
        <v>2365</v>
      </c>
      <c r="C191" t="s">
        <v>2366</v>
      </c>
      <c r="D191" t="s">
        <v>3111</v>
      </c>
      <c r="E191" t="s">
        <v>3112</v>
      </c>
      <c r="F191" t="str">
        <f>IF(Table2[[#This Row],[Date posted]]&lt; DATE(2015,9,18),"Before Crisis","During Crisis")</f>
        <v>During Crisis</v>
      </c>
      <c r="G191" s="27">
        <f t="shared" si="12"/>
        <v>42326</v>
      </c>
      <c r="H191" s="7" t="str">
        <f t="shared" si="13"/>
        <v>21:15:06</v>
      </c>
      <c r="I191" s="8" t="str">
        <f t="shared" si="14"/>
        <v>Evening</v>
      </c>
      <c r="J191" t="s">
        <v>3113</v>
      </c>
      <c r="K191" t="s">
        <v>2370</v>
      </c>
      <c r="L191">
        <v>1</v>
      </c>
      <c r="M191" s="3">
        <v>0</v>
      </c>
      <c r="N191">
        <v>3</v>
      </c>
      <c r="O191" s="4">
        <f t="shared" si="15"/>
        <v>4</v>
      </c>
      <c r="P191" s="5" t="str">
        <f t="shared" si="16"/>
        <v>Low engagement</v>
      </c>
      <c r="Q191" t="b">
        <v>0</v>
      </c>
      <c r="R191" t="b">
        <v>0</v>
      </c>
      <c r="S191" t="b">
        <v>0</v>
      </c>
      <c r="T191" s="24" t="str">
        <f t="shared" si="17"/>
        <v>Text only</v>
      </c>
    </row>
    <row r="192" spans="1:20" hidden="1" x14ac:dyDescent="0.2">
      <c r="A192" t="s">
        <v>2715</v>
      </c>
      <c r="B192" t="s">
        <v>2365</v>
      </c>
      <c r="C192" t="s">
        <v>2366</v>
      </c>
      <c r="D192" t="s">
        <v>2716</v>
      </c>
      <c r="E192" t="s">
        <v>2717</v>
      </c>
      <c r="F192" t="str">
        <f>IF(Table2[[#This Row],[Date posted]]&lt; DATE(2015,9,18),"Before Crisis","During Crisis")</f>
        <v>During Crisis</v>
      </c>
      <c r="G192" s="27">
        <f t="shared" si="12"/>
        <v>42342</v>
      </c>
      <c r="H192" s="7" t="str">
        <f t="shared" si="13"/>
        <v>22:19:28</v>
      </c>
      <c r="I192" s="8" t="str">
        <f t="shared" si="14"/>
        <v>Evening</v>
      </c>
      <c r="J192" t="s">
        <v>2718</v>
      </c>
      <c r="K192" t="s">
        <v>2370</v>
      </c>
      <c r="L192">
        <v>2</v>
      </c>
      <c r="M192" s="3">
        <v>0</v>
      </c>
      <c r="N192">
        <v>3</v>
      </c>
      <c r="O192" s="4">
        <f t="shared" si="15"/>
        <v>5</v>
      </c>
      <c r="P192" s="5" t="str">
        <f t="shared" si="16"/>
        <v>Moderate engagement</v>
      </c>
      <c r="Q192" t="b">
        <v>0</v>
      </c>
      <c r="R192" t="b">
        <v>0</v>
      </c>
      <c r="S192" t="b">
        <v>0</v>
      </c>
      <c r="T192" s="24" t="str">
        <f t="shared" si="17"/>
        <v>Text only</v>
      </c>
    </row>
    <row r="193" spans="1:20" hidden="1" x14ac:dyDescent="0.2">
      <c r="A193" t="s">
        <v>2667</v>
      </c>
      <c r="B193" t="s">
        <v>2365</v>
      </c>
      <c r="C193" t="s">
        <v>2366</v>
      </c>
      <c r="D193" t="s">
        <v>2668</v>
      </c>
      <c r="E193" t="s">
        <v>2669</v>
      </c>
      <c r="F193" t="str">
        <f>IF(Table2[[#This Row],[Date posted]]&lt; DATE(2015,9,18),"Before Crisis","During Crisis")</f>
        <v>During Crisis</v>
      </c>
      <c r="G193" s="27">
        <f t="shared" si="12"/>
        <v>42345</v>
      </c>
      <c r="H193" s="7" t="str">
        <f t="shared" si="13"/>
        <v>21:46:15</v>
      </c>
      <c r="I193" s="8" t="str">
        <f t="shared" si="14"/>
        <v>Evening</v>
      </c>
      <c r="J193" t="s">
        <v>2670</v>
      </c>
      <c r="K193" t="s">
        <v>2370</v>
      </c>
      <c r="L193" s="3">
        <v>0</v>
      </c>
      <c r="M193">
        <v>1</v>
      </c>
      <c r="N193">
        <v>3</v>
      </c>
      <c r="O193" s="4">
        <f t="shared" si="15"/>
        <v>4</v>
      </c>
      <c r="P193" s="5" t="str">
        <f t="shared" si="16"/>
        <v>Low engagement</v>
      </c>
      <c r="Q193" t="b">
        <v>0</v>
      </c>
      <c r="R193" t="b">
        <v>0</v>
      </c>
      <c r="S193" t="b">
        <v>0</v>
      </c>
      <c r="T193" s="24" t="str">
        <f t="shared" si="17"/>
        <v>Text only</v>
      </c>
    </row>
    <row r="194" spans="1:20" hidden="1" x14ac:dyDescent="0.2">
      <c r="A194" t="s">
        <v>2609</v>
      </c>
      <c r="B194" t="s">
        <v>2365</v>
      </c>
      <c r="C194" t="s">
        <v>2366</v>
      </c>
      <c r="D194" t="s">
        <v>2610</v>
      </c>
      <c r="E194" t="s">
        <v>2611</v>
      </c>
      <c r="F194" t="str">
        <f>IF(Table2[[#This Row],[Date posted]]&lt; DATE(2015,9,18),"Before Crisis","During Crisis")</f>
        <v>During Crisis</v>
      </c>
      <c r="G194" s="27">
        <f t="shared" ref="G194:G257" si="18">DATEVALUE(LEFT(E194,10))</f>
        <v>42347</v>
      </c>
      <c r="H194" s="7" t="str">
        <f t="shared" ref="H194:H257" si="19">MID(E194,12,8)</f>
        <v>19:20:00</v>
      </c>
      <c r="I194" s="8" t="str">
        <f t="shared" ref="I194:I257" si="20">IF(HOUR(H194)&lt;7,"Early morning",
IF(HOUR(H194)&lt;11,"Morning",
IF(HOUR(H194)&lt;14,"Mid-day",
IF(HOUR(H194)&lt;18,"Afternoon","Evening"))))</f>
        <v>Evening</v>
      </c>
      <c r="J194" t="s">
        <v>2612</v>
      </c>
      <c r="K194" t="s">
        <v>2370</v>
      </c>
      <c r="L194" s="3">
        <v>0</v>
      </c>
      <c r="M194" s="3">
        <v>0</v>
      </c>
      <c r="N194">
        <v>3</v>
      </c>
      <c r="O194" s="4">
        <f t="shared" ref="O194:O257" si="21">L194+M194+N194</f>
        <v>3</v>
      </c>
      <c r="P194" s="5" t="str">
        <f t="shared" ref="P194:P257" si="22">IF(O194&lt;1,"No engagement", IF(O194&lt;5,"Low engagement", IF(O194&lt;10,"Moderate engagement", "High engagement")))</f>
        <v>Low engagement</v>
      </c>
      <c r="Q194" t="b">
        <v>0</v>
      </c>
      <c r="R194" t="b">
        <v>0</v>
      </c>
      <c r="S194" t="b">
        <v>0</v>
      </c>
      <c r="T194" s="24" t="str">
        <f t="shared" ref="T194:T257" si="23">IF(Q194=TRUE,"Photo",
    IF(R194=TRUE,"Video",
        IF(S194=TRUE,"Link","Text only")))</f>
        <v>Text only</v>
      </c>
    </row>
    <row r="195" spans="1:20" hidden="1" x14ac:dyDescent="0.2">
      <c r="A195" t="s">
        <v>2536</v>
      </c>
      <c r="B195" t="s">
        <v>2365</v>
      </c>
      <c r="C195" t="s">
        <v>2366</v>
      </c>
      <c r="D195" t="s">
        <v>2537</v>
      </c>
      <c r="E195" t="s">
        <v>2538</v>
      </c>
      <c r="F195" t="str">
        <f>IF(Table2[[#This Row],[Date posted]]&lt; DATE(2015,9,18),"Before Crisis","During Crisis")</f>
        <v>During Crisis</v>
      </c>
      <c r="G195" s="27">
        <f t="shared" si="18"/>
        <v>42349</v>
      </c>
      <c r="H195" s="7" t="str">
        <f t="shared" si="19"/>
        <v>19:42:49</v>
      </c>
      <c r="I195" s="8" t="str">
        <f t="shared" si="20"/>
        <v>Evening</v>
      </c>
      <c r="J195" t="s">
        <v>2539</v>
      </c>
      <c r="K195" t="s">
        <v>2370</v>
      </c>
      <c r="L195" s="3">
        <v>0</v>
      </c>
      <c r="M195" s="3">
        <v>0</v>
      </c>
      <c r="N195">
        <v>3</v>
      </c>
      <c r="O195" s="4">
        <f t="shared" si="21"/>
        <v>3</v>
      </c>
      <c r="P195" s="5" t="str">
        <f t="shared" si="22"/>
        <v>Low engagement</v>
      </c>
      <c r="Q195" t="b">
        <v>0</v>
      </c>
      <c r="R195" t="b">
        <v>0</v>
      </c>
      <c r="S195" t="b">
        <v>0</v>
      </c>
      <c r="T195" s="24" t="str">
        <f t="shared" si="23"/>
        <v>Text only</v>
      </c>
    </row>
    <row r="196" spans="1:20" hidden="1" x14ac:dyDescent="0.2">
      <c r="A196" t="s">
        <v>7096</v>
      </c>
      <c r="B196" t="s">
        <v>2365</v>
      </c>
      <c r="C196" t="s">
        <v>2366</v>
      </c>
      <c r="D196" t="s">
        <v>7097</v>
      </c>
      <c r="E196" t="s">
        <v>7098</v>
      </c>
      <c r="F196" t="str">
        <f>IF(Table2[[#This Row],[Date posted]]&lt; DATE(2015,9,18),"Before Crisis","During Crisis")</f>
        <v>Before Crisis</v>
      </c>
      <c r="G196" s="27">
        <f t="shared" si="18"/>
        <v>42178</v>
      </c>
      <c r="H196" s="7" t="str">
        <f t="shared" si="19"/>
        <v>14:26:11</v>
      </c>
      <c r="I196" s="8" t="str">
        <f t="shared" si="20"/>
        <v>Afternoon</v>
      </c>
      <c r="J196" t="s">
        <v>2370</v>
      </c>
      <c r="K196" t="s">
        <v>2370</v>
      </c>
      <c r="L196" s="3">
        <v>0</v>
      </c>
      <c r="M196" s="3">
        <v>0</v>
      </c>
      <c r="N196">
        <v>2</v>
      </c>
      <c r="O196" s="4">
        <f t="shared" si="21"/>
        <v>2</v>
      </c>
      <c r="P196" s="5" t="str">
        <f t="shared" si="22"/>
        <v>Low engagement</v>
      </c>
      <c r="Q196" t="b">
        <v>0</v>
      </c>
      <c r="R196" t="b">
        <v>0</v>
      </c>
      <c r="S196" t="b">
        <v>0</v>
      </c>
      <c r="T196" s="24" t="str">
        <f t="shared" si="23"/>
        <v>Text only</v>
      </c>
    </row>
    <row r="197" spans="1:20" hidden="1" x14ac:dyDescent="0.2">
      <c r="A197" t="s">
        <v>7072</v>
      </c>
      <c r="B197" t="s">
        <v>2365</v>
      </c>
      <c r="C197" t="s">
        <v>2366</v>
      </c>
      <c r="D197" t="s">
        <v>7073</v>
      </c>
      <c r="E197" t="s">
        <v>7074</v>
      </c>
      <c r="F197" t="str">
        <f>IF(Table2[[#This Row],[Date posted]]&lt; DATE(2015,9,18),"Before Crisis","During Crisis")</f>
        <v>Before Crisis</v>
      </c>
      <c r="G197" s="27">
        <f t="shared" si="18"/>
        <v>42178</v>
      </c>
      <c r="H197" s="7" t="str">
        <f t="shared" si="19"/>
        <v>21:46:02</v>
      </c>
      <c r="I197" s="8" t="str">
        <f t="shared" si="20"/>
        <v>Evening</v>
      </c>
      <c r="J197" t="s">
        <v>7075</v>
      </c>
      <c r="K197" t="s">
        <v>2370</v>
      </c>
      <c r="L197">
        <v>2</v>
      </c>
      <c r="M197" s="3">
        <v>0</v>
      </c>
      <c r="N197">
        <v>2</v>
      </c>
      <c r="O197" s="4">
        <f t="shared" si="21"/>
        <v>4</v>
      </c>
      <c r="P197" s="5" t="str">
        <f t="shared" si="22"/>
        <v>Low engagement</v>
      </c>
      <c r="Q197" t="b">
        <v>0</v>
      </c>
      <c r="R197" t="b">
        <v>0</v>
      </c>
      <c r="S197" t="b">
        <v>0</v>
      </c>
      <c r="T197" s="24" t="str">
        <f t="shared" si="23"/>
        <v>Text only</v>
      </c>
    </row>
    <row r="198" spans="1:20" hidden="1" x14ac:dyDescent="0.2">
      <c r="A198" t="s">
        <v>6716</v>
      </c>
      <c r="B198" t="s">
        <v>2365</v>
      </c>
      <c r="C198" t="s">
        <v>2366</v>
      </c>
      <c r="D198" t="s">
        <v>6717</v>
      </c>
      <c r="E198" t="s">
        <v>6718</v>
      </c>
      <c r="F198" t="str">
        <f>IF(Table2[[#This Row],[Date posted]]&lt; DATE(2015,9,18),"Before Crisis","During Crisis")</f>
        <v>Before Crisis</v>
      </c>
      <c r="G198" s="27">
        <f t="shared" si="18"/>
        <v>42190</v>
      </c>
      <c r="H198" s="7" t="str">
        <f t="shared" si="19"/>
        <v>18:48:11</v>
      </c>
      <c r="I198" s="8" t="str">
        <f t="shared" si="20"/>
        <v>Evening</v>
      </c>
      <c r="J198" t="s">
        <v>2370</v>
      </c>
      <c r="K198" t="s">
        <v>2370</v>
      </c>
      <c r="L198">
        <v>6</v>
      </c>
      <c r="M198" s="3">
        <v>0</v>
      </c>
      <c r="N198">
        <v>2</v>
      </c>
      <c r="O198" s="4">
        <f t="shared" si="21"/>
        <v>8</v>
      </c>
      <c r="P198" s="5" t="str">
        <f t="shared" si="22"/>
        <v>Moderate engagement</v>
      </c>
      <c r="Q198" t="b">
        <v>1</v>
      </c>
      <c r="R198" t="b">
        <v>0</v>
      </c>
      <c r="S198" t="b">
        <v>0</v>
      </c>
      <c r="T198" s="24" t="str">
        <f t="shared" si="23"/>
        <v>Photo</v>
      </c>
    </row>
    <row r="199" spans="1:20" hidden="1" x14ac:dyDescent="0.2">
      <c r="A199" t="s">
        <v>6690</v>
      </c>
      <c r="B199" t="s">
        <v>2365</v>
      </c>
      <c r="C199" t="s">
        <v>2366</v>
      </c>
      <c r="D199" t="s">
        <v>6691</v>
      </c>
      <c r="E199" t="s">
        <v>6688</v>
      </c>
      <c r="F199" t="str">
        <f>IF(Table2[[#This Row],[Date posted]]&lt; DATE(2015,9,18),"Before Crisis","During Crisis")</f>
        <v>Before Crisis</v>
      </c>
      <c r="G199" s="27">
        <f t="shared" si="18"/>
        <v>42191</v>
      </c>
      <c r="H199" s="7" t="str">
        <f t="shared" si="19"/>
        <v>19:00:54</v>
      </c>
      <c r="I199" s="8" t="str">
        <f t="shared" si="20"/>
        <v>Evening</v>
      </c>
      <c r="J199" t="s">
        <v>6689</v>
      </c>
      <c r="K199" t="s">
        <v>2370</v>
      </c>
      <c r="L199">
        <v>1</v>
      </c>
      <c r="M199">
        <v>2</v>
      </c>
      <c r="N199">
        <v>2</v>
      </c>
      <c r="O199" s="4">
        <f t="shared" si="21"/>
        <v>5</v>
      </c>
      <c r="P199" s="5" t="str">
        <f t="shared" si="22"/>
        <v>Moderate engagement</v>
      </c>
      <c r="Q199" t="b">
        <v>0</v>
      </c>
      <c r="R199" t="b">
        <v>0</v>
      </c>
      <c r="S199" t="b">
        <v>0</v>
      </c>
      <c r="T199" s="24" t="str">
        <f t="shared" si="23"/>
        <v>Text only</v>
      </c>
    </row>
    <row r="200" spans="1:20" hidden="1" x14ac:dyDescent="0.2">
      <c r="A200" t="s">
        <v>6692</v>
      </c>
      <c r="B200" t="s">
        <v>2365</v>
      </c>
      <c r="C200" t="s">
        <v>2366</v>
      </c>
      <c r="D200" t="s">
        <v>6693</v>
      </c>
      <c r="E200" t="s">
        <v>6688</v>
      </c>
      <c r="F200" t="str">
        <f>IF(Table2[[#This Row],[Date posted]]&lt; DATE(2015,9,18),"Before Crisis","During Crisis")</f>
        <v>Before Crisis</v>
      </c>
      <c r="G200" s="27">
        <f t="shared" si="18"/>
        <v>42191</v>
      </c>
      <c r="H200" s="7" t="str">
        <f t="shared" si="19"/>
        <v>19:00:54</v>
      </c>
      <c r="I200" s="8" t="str">
        <f t="shared" si="20"/>
        <v>Evening</v>
      </c>
      <c r="J200" t="s">
        <v>6689</v>
      </c>
      <c r="K200" t="s">
        <v>2370</v>
      </c>
      <c r="L200">
        <v>5</v>
      </c>
      <c r="M200">
        <v>2</v>
      </c>
      <c r="N200">
        <v>2</v>
      </c>
      <c r="O200" s="4">
        <f t="shared" si="21"/>
        <v>9</v>
      </c>
      <c r="P200" s="5" t="str">
        <f t="shared" si="22"/>
        <v>Moderate engagement</v>
      </c>
      <c r="Q200" t="b">
        <v>0</v>
      </c>
      <c r="R200" t="b">
        <v>0</v>
      </c>
      <c r="S200" t="b">
        <v>0</v>
      </c>
      <c r="T200" s="24" t="str">
        <f t="shared" si="23"/>
        <v>Text only</v>
      </c>
    </row>
    <row r="201" spans="1:20" hidden="1" x14ac:dyDescent="0.2">
      <c r="A201" t="s">
        <v>6599</v>
      </c>
      <c r="B201" t="s">
        <v>2365</v>
      </c>
      <c r="C201" t="s">
        <v>2366</v>
      </c>
      <c r="D201" t="s">
        <v>6600</v>
      </c>
      <c r="E201" t="s">
        <v>6601</v>
      </c>
      <c r="F201" t="str">
        <f>IF(Table2[[#This Row],[Date posted]]&lt; DATE(2015,9,18),"Before Crisis","During Crisis")</f>
        <v>Before Crisis</v>
      </c>
      <c r="G201" s="27">
        <f t="shared" si="18"/>
        <v>42193</v>
      </c>
      <c r="H201" s="7" t="str">
        <f t="shared" si="19"/>
        <v>12:19:00</v>
      </c>
      <c r="I201" s="8" t="str">
        <f t="shared" si="20"/>
        <v>Mid-day</v>
      </c>
      <c r="J201" t="s">
        <v>6602</v>
      </c>
      <c r="K201" t="s">
        <v>2370</v>
      </c>
      <c r="L201" s="3">
        <v>0</v>
      </c>
      <c r="M201" s="3">
        <v>0</v>
      </c>
      <c r="N201">
        <v>2</v>
      </c>
      <c r="O201" s="4">
        <f t="shared" si="21"/>
        <v>2</v>
      </c>
      <c r="P201" s="5" t="str">
        <f t="shared" si="22"/>
        <v>Low engagement</v>
      </c>
      <c r="Q201" t="b">
        <v>0</v>
      </c>
      <c r="R201" t="b">
        <v>0</v>
      </c>
      <c r="S201" t="b">
        <v>0</v>
      </c>
      <c r="T201" s="24" t="str">
        <f t="shared" si="23"/>
        <v>Text only</v>
      </c>
    </row>
    <row r="202" spans="1:20" hidden="1" x14ac:dyDescent="0.2">
      <c r="A202" t="s">
        <v>6528</v>
      </c>
      <c r="B202" t="s">
        <v>2365</v>
      </c>
      <c r="C202" t="s">
        <v>2366</v>
      </c>
      <c r="D202" t="s">
        <v>6529</v>
      </c>
      <c r="E202" t="s">
        <v>6527</v>
      </c>
      <c r="F202" t="str">
        <f>IF(Table2[[#This Row],[Date posted]]&lt; DATE(2015,9,18),"Before Crisis","During Crisis")</f>
        <v>Before Crisis</v>
      </c>
      <c r="G202" s="27">
        <f t="shared" si="18"/>
        <v>42194</v>
      </c>
      <c r="H202" s="7" t="str">
        <f t="shared" si="19"/>
        <v>19:08:09</v>
      </c>
      <c r="I202" s="8" t="str">
        <f t="shared" si="20"/>
        <v>Evening</v>
      </c>
      <c r="J202" t="s">
        <v>2370</v>
      </c>
      <c r="K202" t="s">
        <v>2370</v>
      </c>
      <c r="L202" s="3">
        <v>0</v>
      </c>
      <c r="M202" s="3">
        <v>0</v>
      </c>
      <c r="N202">
        <v>2</v>
      </c>
      <c r="O202" s="4">
        <f t="shared" si="21"/>
        <v>2</v>
      </c>
      <c r="P202" s="5" t="str">
        <f t="shared" si="22"/>
        <v>Low engagement</v>
      </c>
      <c r="Q202" t="b">
        <v>0</v>
      </c>
      <c r="R202" t="b">
        <v>0</v>
      </c>
      <c r="S202" t="b">
        <v>0</v>
      </c>
      <c r="T202" s="24" t="str">
        <f t="shared" si="23"/>
        <v>Text only</v>
      </c>
    </row>
    <row r="203" spans="1:20" x14ac:dyDescent="0.2">
      <c r="A203" t="s">
        <v>6368</v>
      </c>
      <c r="B203" t="s">
        <v>2365</v>
      </c>
      <c r="C203" t="s">
        <v>2366</v>
      </c>
      <c r="D203" t="s">
        <v>6369</v>
      </c>
      <c r="E203" t="s">
        <v>6370</v>
      </c>
      <c r="F203" t="str">
        <f>IF(Table2[[#This Row],[Date posted]]&lt; DATE(2015,9,18),"Before Crisis","During Crisis")</f>
        <v>Before Crisis</v>
      </c>
      <c r="G203" s="27">
        <f t="shared" si="18"/>
        <v>42201</v>
      </c>
      <c r="H203" s="7" t="str">
        <f t="shared" si="19"/>
        <v>01:40:02</v>
      </c>
      <c r="I203" s="8" t="str">
        <f t="shared" si="20"/>
        <v>Early morning</v>
      </c>
      <c r="J203" t="s">
        <v>6371</v>
      </c>
      <c r="K203" t="s">
        <v>2370</v>
      </c>
      <c r="L203">
        <v>1</v>
      </c>
      <c r="M203" s="3">
        <v>0</v>
      </c>
      <c r="N203">
        <v>2</v>
      </c>
      <c r="O203" s="4">
        <f t="shared" si="21"/>
        <v>3</v>
      </c>
      <c r="P203" s="5" t="str">
        <f t="shared" si="22"/>
        <v>Low engagement</v>
      </c>
      <c r="Q203" t="b">
        <v>0</v>
      </c>
      <c r="R203" t="b">
        <v>0</v>
      </c>
      <c r="S203" t="b">
        <v>0</v>
      </c>
      <c r="T203" s="24" t="str">
        <f t="shared" si="23"/>
        <v>Text only</v>
      </c>
    </row>
    <row r="204" spans="1:20" x14ac:dyDescent="0.2">
      <c r="A204" t="s">
        <v>6372</v>
      </c>
      <c r="B204" t="s">
        <v>2365</v>
      </c>
      <c r="C204" t="s">
        <v>2366</v>
      </c>
      <c r="D204" t="s">
        <v>6373</v>
      </c>
      <c r="E204" t="s">
        <v>6370</v>
      </c>
      <c r="F204" t="str">
        <f>IF(Table2[[#This Row],[Date posted]]&lt; DATE(2015,9,18),"Before Crisis","During Crisis")</f>
        <v>Before Crisis</v>
      </c>
      <c r="G204" s="27">
        <f t="shared" si="18"/>
        <v>42201</v>
      </c>
      <c r="H204" s="7" t="str">
        <f t="shared" si="19"/>
        <v>01:40:02</v>
      </c>
      <c r="I204" s="8" t="str">
        <f t="shared" si="20"/>
        <v>Early morning</v>
      </c>
      <c r="J204" t="s">
        <v>6371</v>
      </c>
      <c r="K204" t="s">
        <v>2370</v>
      </c>
      <c r="L204">
        <v>1</v>
      </c>
      <c r="M204" s="3">
        <v>0</v>
      </c>
      <c r="N204">
        <v>2</v>
      </c>
      <c r="O204" s="4">
        <f t="shared" si="21"/>
        <v>3</v>
      </c>
      <c r="P204" s="5" t="str">
        <f t="shared" si="22"/>
        <v>Low engagement</v>
      </c>
      <c r="Q204" t="b">
        <v>0</v>
      </c>
      <c r="R204" t="b">
        <v>0</v>
      </c>
      <c r="S204" t="b">
        <v>0</v>
      </c>
      <c r="T204" s="24" t="str">
        <f t="shared" si="23"/>
        <v>Text only</v>
      </c>
    </row>
    <row r="205" spans="1:20" hidden="1" x14ac:dyDescent="0.2">
      <c r="A205" t="s">
        <v>5892</v>
      </c>
      <c r="B205" t="s">
        <v>2365</v>
      </c>
      <c r="C205" t="s">
        <v>2366</v>
      </c>
      <c r="D205" t="s">
        <v>5893</v>
      </c>
      <c r="E205" t="s">
        <v>5894</v>
      </c>
      <c r="F205" t="str">
        <f>IF(Table2[[#This Row],[Date posted]]&lt; DATE(2015,9,18),"Before Crisis","During Crisis")</f>
        <v>Before Crisis</v>
      </c>
      <c r="G205" s="27">
        <f t="shared" si="18"/>
        <v>42214</v>
      </c>
      <c r="H205" s="7" t="str">
        <f t="shared" si="19"/>
        <v>20:25:03</v>
      </c>
      <c r="I205" s="8" t="str">
        <f t="shared" si="20"/>
        <v>Evening</v>
      </c>
      <c r="J205" t="s">
        <v>5895</v>
      </c>
      <c r="K205" t="s">
        <v>2370</v>
      </c>
      <c r="L205" s="3">
        <v>0</v>
      </c>
      <c r="M205" s="3">
        <v>0</v>
      </c>
      <c r="N205">
        <v>2</v>
      </c>
      <c r="O205" s="4">
        <f t="shared" si="21"/>
        <v>2</v>
      </c>
      <c r="P205" s="5" t="str">
        <f t="shared" si="22"/>
        <v>Low engagement</v>
      </c>
      <c r="Q205" t="b">
        <v>0</v>
      </c>
      <c r="R205" t="b">
        <v>0</v>
      </c>
      <c r="S205" t="b">
        <v>0</v>
      </c>
      <c r="T205" s="24" t="str">
        <f t="shared" si="23"/>
        <v>Text only</v>
      </c>
    </row>
    <row r="206" spans="1:20" hidden="1" x14ac:dyDescent="0.2">
      <c r="A206" t="s">
        <v>5896</v>
      </c>
      <c r="B206" t="s">
        <v>2365</v>
      </c>
      <c r="C206" t="s">
        <v>2366</v>
      </c>
      <c r="D206" t="s">
        <v>5897</v>
      </c>
      <c r="E206" t="s">
        <v>5894</v>
      </c>
      <c r="F206" t="str">
        <f>IF(Table2[[#This Row],[Date posted]]&lt; DATE(2015,9,18),"Before Crisis","During Crisis")</f>
        <v>Before Crisis</v>
      </c>
      <c r="G206" s="27">
        <f t="shared" si="18"/>
        <v>42214</v>
      </c>
      <c r="H206" s="7" t="str">
        <f t="shared" si="19"/>
        <v>20:25:03</v>
      </c>
      <c r="I206" s="8" t="str">
        <f t="shared" si="20"/>
        <v>Evening</v>
      </c>
      <c r="J206" t="s">
        <v>5895</v>
      </c>
      <c r="K206" t="s">
        <v>2370</v>
      </c>
      <c r="L206" s="3">
        <v>0</v>
      </c>
      <c r="M206" s="3">
        <v>0</v>
      </c>
      <c r="N206">
        <v>2</v>
      </c>
      <c r="O206" s="4">
        <f t="shared" si="21"/>
        <v>2</v>
      </c>
      <c r="P206" s="5" t="str">
        <f t="shared" si="22"/>
        <v>Low engagement</v>
      </c>
      <c r="Q206" t="b">
        <v>0</v>
      </c>
      <c r="R206" t="b">
        <v>0</v>
      </c>
      <c r="S206" t="b">
        <v>0</v>
      </c>
      <c r="T206" s="24" t="str">
        <f t="shared" si="23"/>
        <v>Text only</v>
      </c>
    </row>
    <row r="207" spans="1:20" hidden="1" x14ac:dyDescent="0.2">
      <c r="A207" t="s">
        <v>5681</v>
      </c>
      <c r="B207" t="s">
        <v>2365</v>
      </c>
      <c r="C207" t="s">
        <v>2366</v>
      </c>
      <c r="D207" t="s">
        <v>5682</v>
      </c>
      <c r="E207" t="s">
        <v>5683</v>
      </c>
      <c r="F207" t="str">
        <f>IF(Table2[[#This Row],[Date posted]]&lt; DATE(2015,9,18),"Before Crisis","During Crisis")</f>
        <v>Before Crisis</v>
      </c>
      <c r="G207" s="27">
        <f t="shared" si="18"/>
        <v>42226</v>
      </c>
      <c r="H207" s="7" t="str">
        <f t="shared" si="19"/>
        <v>21:50:32</v>
      </c>
      <c r="I207" s="8" t="str">
        <f t="shared" si="20"/>
        <v>Evening</v>
      </c>
      <c r="J207" t="s">
        <v>5684</v>
      </c>
      <c r="K207" t="s">
        <v>2370</v>
      </c>
      <c r="L207">
        <v>1</v>
      </c>
      <c r="M207">
        <v>1</v>
      </c>
      <c r="N207">
        <v>2</v>
      </c>
      <c r="O207" s="4">
        <f t="shared" si="21"/>
        <v>4</v>
      </c>
      <c r="P207" s="5" t="str">
        <f t="shared" si="22"/>
        <v>Low engagement</v>
      </c>
      <c r="Q207" t="b">
        <v>0</v>
      </c>
      <c r="R207" t="b">
        <v>0</v>
      </c>
      <c r="S207" t="b">
        <v>0</v>
      </c>
      <c r="T207" s="24" t="str">
        <f t="shared" si="23"/>
        <v>Text only</v>
      </c>
    </row>
    <row r="208" spans="1:20" hidden="1" x14ac:dyDescent="0.2">
      <c r="A208" t="s">
        <v>5278</v>
      </c>
      <c r="B208" t="s">
        <v>2365</v>
      </c>
      <c r="C208" t="s">
        <v>2366</v>
      </c>
      <c r="D208" t="s">
        <v>5279</v>
      </c>
      <c r="E208" t="s">
        <v>5276</v>
      </c>
      <c r="F208" t="str">
        <f>IF(Table2[[#This Row],[Date posted]]&lt; DATE(2015,9,18),"Before Crisis","During Crisis")</f>
        <v>Before Crisis</v>
      </c>
      <c r="G208" s="27">
        <f t="shared" si="18"/>
        <v>42244</v>
      </c>
      <c r="H208" s="7" t="str">
        <f t="shared" si="19"/>
        <v>19:18:12</v>
      </c>
      <c r="I208" s="8" t="str">
        <f t="shared" si="20"/>
        <v>Evening</v>
      </c>
      <c r="J208" t="s">
        <v>5280</v>
      </c>
      <c r="K208" t="s">
        <v>2370</v>
      </c>
      <c r="L208" s="3">
        <v>0</v>
      </c>
      <c r="M208" s="3">
        <v>0</v>
      </c>
      <c r="N208">
        <v>2</v>
      </c>
      <c r="O208" s="4">
        <f t="shared" si="21"/>
        <v>2</v>
      </c>
      <c r="P208" s="5" t="str">
        <f t="shared" si="22"/>
        <v>Low engagement</v>
      </c>
      <c r="Q208" t="b">
        <v>0</v>
      </c>
      <c r="R208" t="b">
        <v>0</v>
      </c>
      <c r="S208" t="b">
        <v>1</v>
      </c>
      <c r="T208" s="24" t="str">
        <f t="shared" si="23"/>
        <v>Link</v>
      </c>
    </row>
    <row r="209" spans="1:20" hidden="1" x14ac:dyDescent="0.2">
      <c r="A209" t="s">
        <v>5266</v>
      </c>
      <c r="B209" t="s">
        <v>2365</v>
      </c>
      <c r="C209" t="s">
        <v>2366</v>
      </c>
      <c r="D209" t="s">
        <v>5267</v>
      </c>
      <c r="E209" t="s">
        <v>5268</v>
      </c>
      <c r="F209" t="str">
        <f>IF(Table2[[#This Row],[Date posted]]&lt; DATE(2015,9,18),"Before Crisis","During Crisis")</f>
        <v>Before Crisis</v>
      </c>
      <c r="G209" s="27">
        <f t="shared" si="18"/>
        <v>42245</v>
      </c>
      <c r="H209" s="7" t="str">
        <f t="shared" si="19"/>
        <v>15:37:48</v>
      </c>
      <c r="I209" s="8" t="str">
        <f t="shared" si="20"/>
        <v>Afternoon</v>
      </c>
      <c r="J209" t="s">
        <v>5269</v>
      </c>
      <c r="K209" t="s">
        <v>2370</v>
      </c>
      <c r="L209">
        <v>1</v>
      </c>
      <c r="M209" s="3">
        <v>0</v>
      </c>
      <c r="N209">
        <v>2</v>
      </c>
      <c r="O209" s="4">
        <f t="shared" si="21"/>
        <v>3</v>
      </c>
      <c r="P209" s="5" t="str">
        <f t="shared" si="22"/>
        <v>Low engagement</v>
      </c>
      <c r="Q209" t="b">
        <v>0</v>
      </c>
      <c r="R209" t="b">
        <v>0</v>
      </c>
      <c r="S209" t="b">
        <v>1</v>
      </c>
      <c r="T209" s="24" t="str">
        <f t="shared" si="23"/>
        <v>Link</v>
      </c>
    </row>
    <row r="210" spans="1:20" hidden="1" x14ac:dyDescent="0.2">
      <c r="A210" t="s">
        <v>5076</v>
      </c>
      <c r="B210" t="s">
        <v>2365</v>
      </c>
      <c r="C210" t="s">
        <v>2366</v>
      </c>
      <c r="D210" t="s">
        <v>5077</v>
      </c>
      <c r="E210" t="s">
        <v>5078</v>
      </c>
      <c r="F210" t="str">
        <f>IF(Table2[[#This Row],[Date posted]]&lt; DATE(2015,9,18),"Before Crisis","During Crisis")</f>
        <v>Before Crisis</v>
      </c>
      <c r="G210" s="27">
        <f t="shared" si="18"/>
        <v>42256</v>
      </c>
      <c r="H210" s="7" t="str">
        <f t="shared" si="19"/>
        <v>21:11:04</v>
      </c>
      <c r="I210" s="8" t="str">
        <f t="shared" si="20"/>
        <v>Evening</v>
      </c>
      <c r="J210" t="s">
        <v>5079</v>
      </c>
      <c r="K210" t="s">
        <v>2370</v>
      </c>
      <c r="L210" s="3">
        <v>0</v>
      </c>
      <c r="M210" s="3">
        <v>0</v>
      </c>
      <c r="N210">
        <v>2</v>
      </c>
      <c r="O210" s="4">
        <f t="shared" si="21"/>
        <v>2</v>
      </c>
      <c r="P210" s="5" t="str">
        <f t="shared" si="22"/>
        <v>Low engagement</v>
      </c>
      <c r="Q210" t="b">
        <v>0</v>
      </c>
      <c r="R210" t="b">
        <v>0</v>
      </c>
      <c r="S210" t="b">
        <v>0</v>
      </c>
      <c r="T210" s="24" t="str">
        <f t="shared" si="23"/>
        <v>Text only</v>
      </c>
    </row>
    <row r="211" spans="1:20" hidden="1" x14ac:dyDescent="0.2">
      <c r="A211" t="s">
        <v>4839</v>
      </c>
      <c r="B211" t="s">
        <v>2365</v>
      </c>
      <c r="C211" t="s">
        <v>2366</v>
      </c>
      <c r="D211" t="s">
        <v>4840</v>
      </c>
      <c r="E211" t="s">
        <v>4841</v>
      </c>
      <c r="F211" t="str">
        <f>IF(Table2[[#This Row],[Date posted]]&lt; DATE(2015,9,18),"Before Crisis","During Crisis")</f>
        <v>Before Crisis</v>
      </c>
      <c r="G211" s="27">
        <f t="shared" si="18"/>
        <v>42262</v>
      </c>
      <c r="H211" s="7" t="str">
        <f t="shared" si="19"/>
        <v>17:52:50</v>
      </c>
      <c r="I211" s="8" t="str">
        <f t="shared" si="20"/>
        <v>Afternoon</v>
      </c>
      <c r="J211" t="s">
        <v>4842</v>
      </c>
      <c r="K211" t="s">
        <v>2370</v>
      </c>
      <c r="L211">
        <v>2</v>
      </c>
      <c r="M211" s="3">
        <v>0</v>
      </c>
      <c r="N211">
        <v>2</v>
      </c>
      <c r="O211" s="4">
        <f t="shared" si="21"/>
        <v>4</v>
      </c>
      <c r="P211" s="5" t="str">
        <f t="shared" si="22"/>
        <v>Low engagement</v>
      </c>
      <c r="Q211" t="b">
        <v>0</v>
      </c>
      <c r="R211" t="b">
        <v>0</v>
      </c>
      <c r="S211" t="b">
        <v>0</v>
      </c>
      <c r="T211" s="24" t="str">
        <f t="shared" si="23"/>
        <v>Text only</v>
      </c>
    </row>
    <row r="212" spans="1:20" hidden="1" x14ac:dyDescent="0.2">
      <c r="A212" t="s">
        <v>4731</v>
      </c>
      <c r="B212" t="s">
        <v>2365</v>
      </c>
      <c r="C212" t="s">
        <v>2366</v>
      </c>
      <c r="D212" t="s">
        <v>4732</v>
      </c>
      <c r="E212" t="s">
        <v>4730</v>
      </c>
      <c r="F212" t="str">
        <f>IF(Table2[[#This Row],[Date posted]]&lt; DATE(2015,9,18),"Before Crisis","During Crisis")</f>
        <v>Before Crisis</v>
      </c>
      <c r="G212" s="27">
        <f t="shared" si="18"/>
        <v>42264</v>
      </c>
      <c r="H212" s="7" t="str">
        <f t="shared" si="19"/>
        <v>23:19:27</v>
      </c>
      <c r="I212" s="8" t="str">
        <f t="shared" si="20"/>
        <v>Evening</v>
      </c>
      <c r="J212" t="s">
        <v>4733</v>
      </c>
      <c r="K212" t="s">
        <v>2370</v>
      </c>
      <c r="L212" s="3">
        <v>0</v>
      </c>
      <c r="M212" s="3">
        <v>0</v>
      </c>
      <c r="N212">
        <v>2</v>
      </c>
      <c r="O212" s="4">
        <f t="shared" si="21"/>
        <v>2</v>
      </c>
      <c r="P212" s="5" t="str">
        <f t="shared" si="22"/>
        <v>Low engagement</v>
      </c>
      <c r="Q212" t="b">
        <v>0</v>
      </c>
      <c r="R212" t="b">
        <v>0</v>
      </c>
      <c r="S212" t="b">
        <v>0</v>
      </c>
      <c r="T212" s="24" t="str">
        <f t="shared" si="23"/>
        <v>Text only</v>
      </c>
    </row>
    <row r="213" spans="1:20" hidden="1" x14ac:dyDescent="0.2">
      <c r="A213" t="s">
        <v>4681</v>
      </c>
      <c r="B213" t="s">
        <v>2365</v>
      </c>
      <c r="C213" t="s">
        <v>2366</v>
      </c>
      <c r="D213" t="s">
        <v>4682</v>
      </c>
      <c r="E213" t="s">
        <v>4683</v>
      </c>
      <c r="F213" t="str">
        <f>IF(Table2[[#This Row],[Date posted]]&lt; DATE(2015,9,18),"Before Crisis","During Crisis")</f>
        <v>During Crisis</v>
      </c>
      <c r="G213" s="27">
        <f t="shared" si="18"/>
        <v>42265</v>
      </c>
      <c r="H213" s="7" t="str">
        <f t="shared" si="19"/>
        <v>15:19:46</v>
      </c>
      <c r="I213" s="8" t="str">
        <f t="shared" si="20"/>
        <v>Afternoon</v>
      </c>
      <c r="J213" t="s">
        <v>4684</v>
      </c>
      <c r="K213" t="s">
        <v>2370</v>
      </c>
      <c r="L213">
        <v>2</v>
      </c>
      <c r="M213" s="3">
        <v>0</v>
      </c>
      <c r="N213">
        <v>2</v>
      </c>
      <c r="O213" s="4">
        <f t="shared" si="21"/>
        <v>4</v>
      </c>
      <c r="P213" s="5" t="str">
        <f t="shared" si="22"/>
        <v>Low engagement</v>
      </c>
      <c r="Q213" t="b">
        <v>0</v>
      </c>
      <c r="R213" t="b">
        <v>0</v>
      </c>
      <c r="S213" t="b">
        <v>0</v>
      </c>
      <c r="T213" s="24" t="str">
        <f t="shared" si="23"/>
        <v>Text only</v>
      </c>
    </row>
    <row r="214" spans="1:20" hidden="1" x14ac:dyDescent="0.2">
      <c r="A214" t="s">
        <v>4669</v>
      </c>
      <c r="B214" t="s">
        <v>2365</v>
      </c>
      <c r="C214" t="s">
        <v>2366</v>
      </c>
      <c r="D214" t="s">
        <v>4670</v>
      </c>
      <c r="E214" t="s">
        <v>4671</v>
      </c>
      <c r="F214" t="str">
        <f>IF(Table2[[#This Row],[Date posted]]&lt; DATE(2015,9,18),"Before Crisis","During Crisis")</f>
        <v>During Crisis</v>
      </c>
      <c r="G214" s="27">
        <f t="shared" si="18"/>
        <v>42265</v>
      </c>
      <c r="H214" s="7" t="str">
        <f t="shared" si="19"/>
        <v>21:20:56</v>
      </c>
      <c r="I214" s="8" t="str">
        <f t="shared" si="20"/>
        <v>Evening</v>
      </c>
      <c r="J214" t="s">
        <v>2370</v>
      </c>
      <c r="K214" t="s">
        <v>2370</v>
      </c>
      <c r="L214">
        <v>1</v>
      </c>
      <c r="M214">
        <v>1</v>
      </c>
      <c r="N214">
        <v>2</v>
      </c>
      <c r="O214" s="4">
        <f t="shared" si="21"/>
        <v>4</v>
      </c>
      <c r="P214" s="5" t="str">
        <f t="shared" si="22"/>
        <v>Low engagement</v>
      </c>
      <c r="Q214" t="b">
        <v>0</v>
      </c>
      <c r="R214" t="b">
        <v>0</v>
      </c>
      <c r="S214" t="b">
        <v>0</v>
      </c>
      <c r="T214" s="24" t="str">
        <f t="shared" si="23"/>
        <v>Text only</v>
      </c>
    </row>
    <row r="215" spans="1:20" hidden="1" x14ac:dyDescent="0.2">
      <c r="A215" t="s">
        <v>4662</v>
      </c>
      <c r="B215" t="s">
        <v>2365</v>
      </c>
      <c r="C215" t="s">
        <v>2366</v>
      </c>
      <c r="D215" t="s">
        <v>4663</v>
      </c>
      <c r="E215" t="s">
        <v>4664</v>
      </c>
      <c r="F215" t="str">
        <f>IF(Table2[[#This Row],[Date posted]]&lt; DATE(2015,9,18),"Before Crisis","During Crisis")</f>
        <v>During Crisis</v>
      </c>
      <c r="G215" s="27">
        <f t="shared" si="18"/>
        <v>42265</v>
      </c>
      <c r="H215" s="7" t="str">
        <f t="shared" si="19"/>
        <v>21:20:57</v>
      </c>
      <c r="I215" s="8" t="str">
        <f t="shared" si="20"/>
        <v>Evening</v>
      </c>
      <c r="J215" t="s">
        <v>4665</v>
      </c>
      <c r="K215" t="s">
        <v>2370</v>
      </c>
      <c r="L215" s="3">
        <v>0</v>
      </c>
      <c r="M215">
        <v>2</v>
      </c>
      <c r="N215">
        <v>2</v>
      </c>
      <c r="O215" s="4">
        <f t="shared" si="21"/>
        <v>4</v>
      </c>
      <c r="P215" s="5" t="str">
        <f t="shared" si="22"/>
        <v>Low engagement</v>
      </c>
      <c r="Q215" t="b">
        <v>0</v>
      </c>
      <c r="R215" t="b">
        <v>0</v>
      </c>
      <c r="S215" t="b">
        <v>0</v>
      </c>
      <c r="T215" s="24" t="str">
        <f t="shared" si="23"/>
        <v>Text only</v>
      </c>
    </row>
    <row r="216" spans="1:20" hidden="1" x14ac:dyDescent="0.2">
      <c r="A216" t="s">
        <v>4658</v>
      </c>
      <c r="B216" t="s">
        <v>2365</v>
      </c>
      <c r="C216" t="s">
        <v>2366</v>
      </c>
      <c r="D216" t="s">
        <v>4659</v>
      </c>
      <c r="E216" t="s">
        <v>4657</v>
      </c>
      <c r="F216" t="str">
        <f>IF(Table2[[#This Row],[Date posted]]&lt; DATE(2015,9,18),"Before Crisis","During Crisis")</f>
        <v>During Crisis</v>
      </c>
      <c r="G216" s="27">
        <f t="shared" si="18"/>
        <v>42265</v>
      </c>
      <c r="H216" s="7" t="str">
        <f t="shared" si="19"/>
        <v>21:20:58</v>
      </c>
      <c r="I216" s="8" t="str">
        <f t="shared" si="20"/>
        <v>Evening</v>
      </c>
      <c r="J216" t="s">
        <v>2370</v>
      </c>
      <c r="K216" t="s">
        <v>2370</v>
      </c>
      <c r="L216" s="3">
        <v>0</v>
      </c>
      <c r="M216">
        <v>1</v>
      </c>
      <c r="N216">
        <v>2</v>
      </c>
      <c r="O216" s="4">
        <f t="shared" si="21"/>
        <v>3</v>
      </c>
      <c r="P216" s="5" t="str">
        <f t="shared" si="22"/>
        <v>Low engagement</v>
      </c>
      <c r="Q216" t="b">
        <v>0</v>
      </c>
      <c r="R216" t="b">
        <v>0</v>
      </c>
      <c r="S216" t="b">
        <v>0</v>
      </c>
      <c r="T216" s="24" t="str">
        <f t="shared" si="23"/>
        <v>Text only</v>
      </c>
    </row>
    <row r="217" spans="1:20" hidden="1" x14ac:dyDescent="0.2">
      <c r="A217" t="s">
        <v>4614</v>
      </c>
      <c r="B217" t="s">
        <v>2365</v>
      </c>
      <c r="C217" t="s">
        <v>2366</v>
      </c>
      <c r="D217" t="s">
        <v>4615</v>
      </c>
      <c r="E217" t="s">
        <v>4616</v>
      </c>
      <c r="F217" t="str">
        <f>IF(Table2[[#This Row],[Date posted]]&lt; DATE(2015,9,18),"Before Crisis","During Crisis")</f>
        <v>During Crisis</v>
      </c>
      <c r="G217" s="27">
        <f t="shared" si="18"/>
        <v>42268</v>
      </c>
      <c r="H217" s="7" t="str">
        <f t="shared" si="19"/>
        <v>22:09:04</v>
      </c>
      <c r="I217" s="8" t="str">
        <f t="shared" si="20"/>
        <v>Evening</v>
      </c>
      <c r="J217" t="s">
        <v>4617</v>
      </c>
      <c r="K217" t="s">
        <v>2370</v>
      </c>
      <c r="L217">
        <v>1</v>
      </c>
      <c r="M217">
        <v>8</v>
      </c>
      <c r="N217">
        <v>2</v>
      </c>
      <c r="O217" s="4">
        <f t="shared" si="21"/>
        <v>11</v>
      </c>
      <c r="P217" s="5" t="str">
        <f t="shared" si="22"/>
        <v>High engagement</v>
      </c>
      <c r="Q217" t="b">
        <v>0</v>
      </c>
      <c r="R217" t="b">
        <v>0</v>
      </c>
      <c r="S217" t="b">
        <v>0</v>
      </c>
      <c r="T217" s="24" t="str">
        <f t="shared" si="23"/>
        <v>Text only</v>
      </c>
    </row>
    <row r="218" spans="1:20" hidden="1" x14ac:dyDescent="0.2">
      <c r="A218" t="s">
        <v>4608</v>
      </c>
      <c r="B218" t="s">
        <v>2365</v>
      </c>
      <c r="C218" t="s">
        <v>2366</v>
      </c>
      <c r="D218" t="s">
        <v>4609</v>
      </c>
      <c r="E218" t="s">
        <v>4610</v>
      </c>
      <c r="F218" t="str">
        <f>IF(Table2[[#This Row],[Date posted]]&lt; DATE(2015,9,18),"Before Crisis","During Crisis")</f>
        <v>During Crisis</v>
      </c>
      <c r="G218" s="27">
        <f t="shared" si="18"/>
        <v>42269</v>
      </c>
      <c r="H218" s="7" t="str">
        <f t="shared" si="19"/>
        <v>14:23:41</v>
      </c>
      <c r="I218" s="8" t="str">
        <f t="shared" si="20"/>
        <v>Afternoon</v>
      </c>
      <c r="J218" t="s">
        <v>2370</v>
      </c>
      <c r="K218" t="s">
        <v>2370</v>
      </c>
      <c r="L218" s="3">
        <v>0</v>
      </c>
      <c r="M218" s="3">
        <v>0</v>
      </c>
      <c r="N218">
        <v>2</v>
      </c>
      <c r="O218" s="4">
        <f t="shared" si="21"/>
        <v>2</v>
      </c>
      <c r="P218" s="5" t="str">
        <f t="shared" si="22"/>
        <v>Low engagement</v>
      </c>
      <c r="Q218" t="b">
        <v>0</v>
      </c>
      <c r="R218" t="b">
        <v>0</v>
      </c>
      <c r="S218" t="b">
        <v>0</v>
      </c>
      <c r="T218" s="24" t="str">
        <f t="shared" si="23"/>
        <v>Text only</v>
      </c>
    </row>
    <row r="219" spans="1:20" hidden="1" x14ac:dyDescent="0.2">
      <c r="A219" t="s">
        <v>4582</v>
      </c>
      <c r="B219" t="s">
        <v>2365</v>
      </c>
      <c r="C219" t="s">
        <v>2366</v>
      </c>
      <c r="D219" t="s">
        <v>4583</v>
      </c>
      <c r="E219" t="s">
        <v>4584</v>
      </c>
      <c r="F219" t="str">
        <f>IF(Table2[[#This Row],[Date posted]]&lt; DATE(2015,9,18),"Before Crisis","During Crisis")</f>
        <v>During Crisis</v>
      </c>
      <c r="G219" s="27">
        <f t="shared" si="18"/>
        <v>42269</v>
      </c>
      <c r="H219" s="7" t="str">
        <f t="shared" si="19"/>
        <v>19:02:38</v>
      </c>
      <c r="I219" s="8" t="str">
        <f t="shared" si="20"/>
        <v>Evening</v>
      </c>
      <c r="J219" t="s">
        <v>4585</v>
      </c>
      <c r="K219" t="s">
        <v>2370</v>
      </c>
      <c r="L219" s="3">
        <v>0</v>
      </c>
      <c r="M219">
        <v>2</v>
      </c>
      <c r="N219">
        <v>2</v>
      </c>
      <c r="O219" s="4">
        <f t="shared" si="21"/>
        <v>4</v>
      </c>
      <c r="P219" s="5" t="str">
        <f t="shared" si="22"/>
        <v>Low engagement</v>
      </c>
      <c r="Q219" t="b">
        <v>0</v>
      </c>
      <c r="R219" t="b">
        <v>0</v>
      </c>
      <c r="S219" t="b">
        <v>0</v>
      </c>
      <c r="T219" s="24" t="str">
        <f t="shared" si="23"/>
        <v>Text only</v>
      </c>
    </row>
    <row r="220" spans="1:20" hidden="1" x14ac:dyDescent="0.2">
      <c r="A220" t="s">
        <v>4474</v>
      </c>
      <c r="B220" t="s">
        <v>2365</v>
      </c>
      <c r="C220" t="s">
        <v>2366</v>
      </c>
      <c r="D220" t="s">
        <v>4475</v>
      </c>
      <c r="E220" t="s">
        <v>4476</v>
      </c>
      <c r="F220" t="str">
        <f>IF(Table2[[#This Row],[Date posted]]&lt; DATE(2015,9,18),"Before Crisis","During Crisis")</f>
        <v>During Crisis</v>
      </c>
      <c r="G220" s="27">
        <f t="shared" si="18"/>
        <v>42271</v>
      </c>
      <c r="H220" s="7" t="str">
        <f t="shared" si="19"/>
        <v>23:43:49</v>
      </c>
      <c r="I220" s="8" t="str">
        <f t="shared" si="20"/>
        <v>Evening</v>
      </c>
      <c r="J220" t="s">
        <v>4477</v>
      </c>
      <c r="K220" t="s">
        <v>2370</v>
      </c>
      <c r="L220">
        <v>1</v>
      </c>
      <c r="M220" s="3">
        <v>0</v>
      </c>
      <c r="N220">
        <v>2</v>
      </c>
      <c r="O220" s="4">
        <f t="shared" si="21"/>
        <v>3</v>
      </c>
      <c r="P220" s="5" t="str">
        <f t="shared" si="22"/>
        <v>Low engagement</v>
      </c>
      <c r="Q220" t="b">
        <v>0</v>
      </c>
      <c r="R220" t="b">
        <v>0</v>
      </c>
      <c r="S220" t="b">
        <v>0</v>
      </c>
      <c r="T220" s="24" t="str">
        <f t="shared" si="23"/>
        <v>Text only</v>
      </c>
    </row>
    <row r="221" spans="1:20" hidden="1" x14ac:dyDescent="0.2">
      <c r="A221" t="s">
        <v>4468</v>
      </c>
      <c r="B221" t="s">
        <v>2365</v>
      </c>
      <c r="C221" t="s">
        <v>2366</v>
      </c>
      <c r="D221" t="s">
        <v>4469</v>
      </c>
      <c r="E221" t="s">
        <v>4470</v>
      </c>
      <c r="F221" t="str">
        <f>IF(Table2[[#This Row],[Date posted]]&lt; DATE(2015,9,18),"Before Crisis","During Crisis")</f>
        <v>During Crisis</v>
      </c>
      <c r="G221" s="27">
        <f t="shared" si="18"/>
        <v>42271</v>
      </c>
      <c r="H221" s="7" t="str">
        <f t="shared" si="19"/>
        <v>23:43:50</v>
      </c>
      <c r="I221" s="8" t="str">
        <f t="shared" si="20"/>
        <v>Evening</v>
      </c>
      <c r="J221" t="s">
        <v>4471</v>
      </c>
      <c r="K221" t="s">
        <v>2370</v>
      </c>
      <c r="L221">
        <v>2</v>
      </c>
      <c r="M221">
        <v>2</v>
      </c>
      <c r="N221">
        <v>2</v>
      </c>
      <c r="O221" s="4">
        <f t="shared" si="21"/>
        <v>6</v>
      </c>
      <c r="P221" s="5" t="str">
        <f t="shared" si="22"/>
        <v>Moderate engagement</v>
      </c>
      <c r="Q221" t="b">
        <v>0</v>
      </c>
      <c r="R221" t="b">
        <v>0</v>
      </c>
      <c r="S221" t="b">
        <v>0</v>
      </c>
      <c r="T221" s="24" t="str">
        <f t="shared" si="23"/>
        <v>Text only</v>
      </c>
    </row>
    <row r="222" spans="1:20" hidden="1" x14ac:dyDescent="0.2">
      <c r="A222" t="s">
        <v>4436</v>
      </c>
      <c r="B222" t="s">
        <v>2365</v>
      </c>
      <c r="C222" t="s">
        <v>2366</v>
      </c>
      <c r="D222" t="s">
        <v>4437</v>
      </c>
      <c r="E222" t="s">
        <v>4438</v>
      </c>
      <c r="F222" t="str">
        <f>IF(Table2[[#This Row],[Date posted]]&lt; DATE(2015,9,18),"Before Crisis","During Crisis")</f>
        <v>During Crisis</v>
      </c>
      <c r="G222" s="27">
        <f t="shared" si="18"/>
        <v>42272</v>
      </c>
      <c r="H222" s="7" t="str">
        <f t="shared" si="19"/>
        <v>22:08:39</v>
      </c>
      <c r="I222" s="8" t="str">
        <f t="shared" si="20"/>
        <v>Evening</v>
      </c>
      <c r="J222" t="s">
        <v>4439</v>
      </c>
      <c r="K222" t="s">
        <v>2370</v>
      </c>
      <c r="L222">
        <v>4</v>
      </c>
      <c r="M222">
        <v>5</v>
      </c>
      <c r="N222">
        <v>2</v>
      </c>
      <c r="O222" s="4">
        <f t="shared" si="21"/>
        <v>11</v>
      </c>
      <c r="P222" s="5" t="str">
        <f t="shared" si="22"/>
        <v>High engagement</v>
      </c>
      <c r="Q222" t="b">
        <v>0</v>
      </c>
      <c r="R222" t="b">
        <v>0</v>
      </c>
      <c r="S222" t="b">
        <v>1</v>
      </c>
      <c r="T222" s="24" t="str">
        <f t="shared" si="23"/>
        <v>Link</v>
      </c>
    </row>
    <row r="223" spans="1:20" hidden="1" x14ac:dyDescent="0.2">
      <c r="A223" t="s">
        <v>4169</v>
      </c>
      <c r="B223" t="s">
        <v>2365</v>
      </c>
      <c r="C223" t="s">
        <v>2366</v>
      </c>
      <c r="D223" t="s">
        <v>4170</v>
      </c>
      <c r="E223" t="s">
        <v>4171</v>
      </c>
      <c r="F223" t="str">
        <f>IF(Table2[[#This Row],[Date posted]]&lt; DATE(2015,9,18),"Before Crisis","During Crisis")</f>
        <v>During Crisis</v>
      </c>
      <c r="G223" s="27">
        <f t="shared" si="18"/>
        <v>42283</v>
      </c>
      <c r="H223" s="7" t="str">
        <f t="shared" si="19"/>
        <v>20:54:30</v>
      </c>
      <c r="I223" s="8" t="str">
        <f t="shared" si="20"/>
        <v>Evening</v>
      </c>
      <c r="J223" t="s">
        <v>4172</v>
      </c>
      <c r="K223" t="s">
        <v>2370</v>
      </c>
      <c r="L223" s="3">
        <v>0</v>
      </c>
      <c r="M223" s="3">
        <v>0</v>
      </c>
      <c r="N223">
        <v>2</v>
      </c>
      <c r="O223" s="4">
        <f t="shared" si="21"/>
        <v>2</v>
      </c>
      <c r="P223" s="5" t="str">
        <f t="shared" si="22"/>
        <v>Low engagement</v>
      </c>
      <c r="Q223" t="b">
        <v>0</v>
      </c>
      <c r="R223" t="b">
        <v>0</v>
      </c>
      <c r="S223" t="b">
        <v>1</v>
      </c>
      <c r="T223" s="24" t="str">
        <f t="shared" si="23"/>
        <v>Link</v>
      </c>
    </row>
    <row r="224" spans="1:20" hidden="1" x14ac:dyDescent="0.2">
      <c r="A224" t="s">
        <v>4152</v>
      </c>
      <c r="B224" t="s">
        <v>2365</v>
      </c>
      <c r="C224" t="s">
        <v>2366</v>
      </c>
      <c r="D224" t="s">
        <v>4153</v>
      </c>
      <c r="E224" t="s">
        <v>4154</v>
      </c>
      <c r="F224" t="str">
        <f>IF(Table2[[#This Row],[Date posted]]&lt; DATE(2015,9,18),"Before Crisis","During Crisis")</f>
        <v>During Crisis</v>
      </c>
      <c r="G224" s="27">
        <f t="shared" si="18"/>
        <v>42284</v>
      </c>
      <c r="H224" s="7" t="str">
        <f t="shared" si="19"/>
        <v>15:16:12</v>
      </c>
      <c r="I224" s="8" t="str">
        <f t="shared" si="20"/>
        <v>Afternoon</v>
      </c>
      <c r="J224" t="s">
        <v>4155</v>
      </c>
      <c r="K224" t="s">
        <v>2370</v>
      </c>
      <c r="L224">
        <v>1</v>
      </c>
      <c r="M224">
        <v>1</v>
      </c>
      <c r="N224">
        <v>2</v>
      </c>
      <c r="O224" s="4">
        <f t="shared" si="21"/>
        <v>4</v>
      </c>
      <c r="P224" s="5" t="str">
        <f t="shared" si="22"/>
        <v>Low engagement</v>
      </c>
      <c r="Q224" t="b">
        <v>0</v>
      </c>
      <c r="R224" t="b">
        <v>0</v>
      </c>
      <c r="S224" t="b">
        <v>0</v>
      </c>
      <c r="T224" s="24" t="str">
        <f t="shared" si="23"/>
        <v>Text only</v>
      </c>
    </row>
    <row r="225" spans="1:20" hidden="1" x14ac:dyDescent="0.2">
      <c r="A225" t="s">
        <v>4156</v>
      </c>
      <c r="B225" t="s">
        <v>2365</v>
      </c>
      <c r="C225" t="s">
        <v>2366</v>
      </c>
      <c r="D225" t="s">
        <v>4157</v>
      </c>
      <c r="E225" t="s">
        <v>4154</v>
      </c>
      <c r="F225" t="str">
        <f>IF(Table2[[#This Row],[Date posted]]&lt; DATE(2015,9,18),"Before Crisis","During Crisis")</f>
        <v>During Crisis</v>
      </c>
      <c r="G225" s="27">
        <f t="shared" si="18"/>
        <v>42284</v>
      </c>
      <c r="H225" s="7" t="str">
        <f t="shared" si="19"/>
        <v>15:16:12</v>
      </c>
      <c r="I225" s="8" t="str">
        <f t="shared" si="20"/>
        <v>Afternoon</v>
      </c>
      <c r="J225" t="s">
        <v>4158</v>
      </c>
      <c r="K225" t="s">
        <v>2370</v>
      </c>
      <c r="L225" s="3">
        <v>0</v>
      </c>
      <c r="M225" s="3">
        <v>0</v>
      </c>
      <c r="N225">
        <v>2</v>
      </c>
      <c r="O225" s="4">
        <f t="shared" si="21"/>
        <v>2</v>
      </c>
      <c r="P225" s="5" t="str">
        <f t="shared" si="22"/>
        <v>Low engagement</v>
      </c>
      <c r="Q225" t="b">
        <v>0</v>
      </c>
      <c r="R225" t="b">
        <v>0</v>
      </c>
      <c r="S225" t="b">
        <v>1</v>
      </c>
      <c r="T225" s="24" t="str">
        <f t="shared" si="23"/>
        <v>Link</v>
      </c>
    </row>
    <row r="226" spans="1:20" hidden="1" x14ac:dyDescent="0.2">
      <c r="A226" t="s">
        <v>4149</v>
      </c>
      <c r="B226" t="s">
        <v>2365</v>
      </c>
      <c r="C226" t="s">
        <v>2366</v>
      </c>
      <c r="D226" t="s">
        <v>4150</v>
      </c>
      <c r="E226" t="s">
        <v>4151</v>
      </c>
      <c r="F226" t="str">
        <f>IF(Table2[[#This Row],[Date posted]]&lt; DATE(2015,9,18),"Before Crisis","During Crisis")</f>
        <v>During Crisis</v>
      </c>
      <c r="G226" s="27">
        <f t="shared" si="18"/>
        <v>42284</v>
      </c>
      <c r="H226" s="7" t="str">
        <f t="shared" si="19"/>
        <v>15:44:06</v>
      </c>
      <c r="I226" s="8" t="str">
        <f t="shared" si="20"/>
        <v>Afternoon</v>
      </c>
      <c r="J226" t="s">
        <v>4148</v>
      </c>
      <c r="K226" t="s">
        <v>2370</v>
      </c>
      <c r="L226" s="3">
        <v>0</v>
      </c>
      <c r="M226" s="3">
        <v>0</v>
      </c>
      <c r="N226">
        <v>2</v>
      </c>
      <c r="O226" s="4">
        <f t="shared" si="21"/>
        <v>2</v>
      </c>
      <c r="P226" s="5" t="str">
        <f t="shared" si="22"/>
        <v>Low engagement</v>
      </c>
      <c r="Q226" t="b">
        <v>0</v>
      </c>
      <c r="R226" t="b">
        <v>0</v>
      </c>
      <c r="S226" t="b">
        <v>0</v>
      </c>
      <c r="T226" s="24" t="str">
        <f t="shared" si="23"/>
        <v>Text only</v>
      </c>
    </row>
    <row r="227" spans="1:20" hidden="1" x14ac:dyDescent="0.2">
      <c r="A227" t="s">
        <v>4145</v>
      </c>
      <c r="B227" t="s">
        <v>2365</v>
      </c>
      <c r="C227" t="s">
        <v>2366</v>
      </c>
      <c r="D227" t="s">
        <v>4146</v>
      </c>
      <c r="E227" t="s">
        <v>4147</v>
      </c>
      <c r="F227" t="str">
        <f>IF(Table2[[#This Row],[Date posted]]&lt; DATE(2015,9,18),"Before Crisis","During Crisis")</f>
        <v>During Crisis</v>
      </c>
      <c r="G227" s="27">
        <f t="shared" si="18"/>
        <v>42284</v>
      </c>
      <c r="H227" s="7" t="str">
        <f t="shared" si="19"/>
        <v>15:44:07</v>
      </c>
      <c r="I227" s="8" t="str">
        <f t="shared" si="20"/>
        <v>Afternoon</v>
      </c>
      <c r="J227" t="s">
        <v>4148</v>
      </c>
      <c r="K227" t="s">
        <v>2370</v>
      </c>
      <c r="L227" s="3">
        <v>0</v>
      </c>
      <c r="M227" s="3">
        <v>0</v>
      </c>
      <c r="N227">
        <v>2</v>
      </c>
      <c r="O227" s="4">
        <f t="shared" si="21"/>
        <v>2</v>
      </c>
      <c r="P227" s="5" t="str">
        <f t="shared" si="22"/>
        <v>Low engagement</v>
      </c>
      <c r="Q227" t="b">
        <v>0</v>
      </c>
      <c r="R227" t="b">
        <v>0</v>
      </c>
      <c r="S227" t="b">
        <v>1</v>
      </c>
      <c r="T227" s="24" t="str">
        <f t="shared" si="23"/>
        <v>Link</v>
      </c>
    </row>
    <row r="228" spans="1:20" hidden="1" x14ac:dyDescent="0.2">
      <c r="A228" t="s">
        <v>4141</v>
      </c>
      <c r="B228" t="s">
        <v>2365</v>
      </c>
      <c r="C228" t="s">
        <v>2366</v>
      </c>
      <c r="D228" t="s">
        <v>4142</v>
      </c>
      <c r="E228" t="s">
        <v>4143</v>
      </c>
      <c r="F228" t="str">
        <f>IF(Table2[[#This Row],[Date posted]]&lt; DATE(2015,9,18),"Before Crisis","During Crisis")</f>
        <v>During Crisis</v>
      </c>
      <c r="G228" s="27">
        <f t="shared" si="18"/>
        <v>42284</v>
      </c>
      <c r="H228" s="7" t="str">
        <f t="shared" si="19"/>
        <v>16:49:19</v>
      </c>
      <c r="I228" s="8" t="str">
        <f t="shared" si="20"/>
        <v>Afternoon</v>
      </c>
      <c r="J228" t="s">
        <v>4144</v>
      </c>
      <c r="K228" t="s">
        <v>2370</v>
      </c>
      <c r="L228">
        <v>1</v>
      </c>
      <c r="M228" s="3">
        <v>0</v>
      </c>
      <c r="N228">
        <v>2</v>
      </c>
      <c r="O228" s="4">
        <f t="shared" si="21"/>
        <v>3</v>
      </c>
      <c r="P228" s="5" t="str">
        <f t="shared" si="22"/>
        <v>Low engagement</v>
      </c>
      <c r="Q228" t="b">
        <v>0</v>
      </c>
      <c r="R228" t="b">
        <v>0</v>
      </c>
      <c r="S228" t="b">
        <v>0</v>
      </c>
      <c r="T228" s="24" t="str">
        <f t="shared" si="23"/>
        <v>Text only</v>
      </c>
    </row>
    <row r="229" spans="1:20" hidden="1" x14ac:dyDescent="0.2">
      <c r="A229" t="s">
        <v>4087</v>
      </c>
      <c r="B229" t="s">
        <v>2365</v>
      </c>
      <c r="C229" t="s">
        <v>2366</v>
      </c>
      <c r="D229" t="s">
        <v>4088</v>
      </c>
      <c r="E229" t="s">
        <v>4089</v>
      </c>
      <c r="F229" t="str">
        <f>IF(Table2[[#This Row],[Date posted]]&lt; DATE(2015,9,18),"Before Crisis","During Crisis")</f>
        <v>During Crisis</v>
      </c>
      <c r="G229" s="27">
        <f t="shared" si="18"/>
        <v>42286</v>
      </c>
      <c r="H229" s="7" t="str">
        <f t="shared" si="19"/>
        <v>21:38:52</v>
      </c>
      <c r="I229" s="8" t="str">
        <f t="shared" si="20"/>
        <v>Evening</v>
      </c>
      <c r="J229" t="s">
        <v>4090</v>
      </c>
      <c r="K229" t="s">
        <v>2370</v>
      </c>
      <c r="L229" s="3">
        <v>0</v>
      </c>
      <c r="M229">
        <v>1</v>
      </c>
      <c r="N229">
        <v>2</v>
      </c>
      <c r="O229" s="4">
        <f t="shared" si="21"/>
        <v>3</v>
      </c>
      <c r="P229" s="5" t="str">
        <f t="shared" si="22"/>
        <v>Low engagement</v>
      </c>
      <c r="Q229" t="b">
        <v>0</v>
      </c>
      <c r="R229" t="b">
        <v>0</v>
      </c>
      <c r="S229" t="b">
        <v>0</v>
      </c>
      <c r="T229" s="24" t="str">
        <f t="shared" si="23"/>
        <v>Text only</v>
      </c>
    </row>
    <row r="230" spans="1:20" hidden="1" x14ac:dyDescent="0.2">
      <c r="A230" t="s">
        <v>4039</v>
      </c>
      <c r="B230" t="s">
        <v>2365</v>
      </c>
      <c r="C230" t="s">
        <v>2366</v>
      </c>
      <c r="D230" t="s">
        <v>4040</v>
      </c>
      <c r="E230" t="s">
        <v>4041</v>
      </c>
      <c r="F230" t="str">
        <f>IF(Table2[[#This Row],[Date posted]]&lt; DATE(2015,9,18),"Before Crisis","During Crisis")</f>
        <v>During Crisis</v>
      </c>
      <c r="G230" s="27">
        <f t="shared" si="18"/>
        <v>42289</v>
      </c>
      <c r="H230" s="7" t="str">
        <f t="shared" si="19"/>
        <v>17:48:40</v>
      </c>
      <c r="I230" s="8" t="str">
        <f t="shared" si="20"/>
        <v>Afternoon</v>
      </c>
      <c r="J230" t="s">
        <v>4042</v>
      </c>
      <c r="K230" t="s">
        <v>2370</v>
      </c>
      <c r="L230">
        <v>1</v>
      </c>
      <c r="M230">
        <v>1</v>
      </c>
      <c r="N230">
        <v>2</v>
      </c>
      <c r="O230" s="4">
        <f t="shared" si="21"/>
        <v>4</v>
      </c>
      <c r="P230" s="5" t="str">
        <f t="shared" si="22"/>
        <v>Low engagement</v>
      </c>
      <c r="Q230" t="b">
        <v>0</v>
      </c>
      <c r="R230" t="b">
        <v>0</v>
      </c>
      <c r="S230" t="b">
        <v>0</v>
      </c>
      <c r="T230" s="24" t="str">
        <f t="shared" si="23"/>
        <v>Text only</v>
      </c>
    </row>
    <row r="231" spans="1:20" hidden="1" x14ac:dyDescent="0.2">
      <c r="A231" t="s">
        <v>3878</v>
      </c>
      <c r="B231" t="s">
        <v>2365</v>
      </c>
      <c r="C231" t="s">
        <v>2366</v>
      </c>
      <c r="D231" t="s">
        <v>3879</v>
      </c>
      <c r="E231" t="s">
        <v>3880</v>
      </c>
      <c r="F231" t="str">
        <f>IF(Table2[[#This Row],[Date posted]]&lt; DATE(2015,9,18),"Before Crisis","During Crisis")</f>
        <v>During Crisis</v>
      </c>
      <c r="G231" s="27">
        <f t="shared" si="18"/>
        <v>42293</v>
      </c>
      <c r="H231" s="7" t="str">
        <f t="shared" si="19"/>
        <v>21:22:23</v>
      </c>
      <c r="I231" s="8" t="str">
        <f t="shared" si="20"/>
        <v>Evening</v>
      </c>
      <c r="J231" t="s">
        <v>2370</v>
      </c>
      <c r="K231" t="s">
        <v>2370</v>
      </c>
      <c r="L231" s="3">
        <v>0</v>
      </c>
      <c r="M231">
        <v>2</v>
      </c>
      <c r="N231">
        <v>2</v>
      </c>
      <c r="O231" s="4">
        <f t="shared" si="21"/>
        <v>4</v>
      </c>
      <c r="P231" s="5" t="str">
        <f t="shared" si="22"/>
        <v>Low engagement</v>
      </c>
      <c r="Q231" t="b">
        <v>0</v>
      </c>
      <c r="R231" t="b">
        <v>0</v>
      </c>
      <c r="S231" t="b">
        <v>0</v>
      </c>
      <c r="T231" s="24" t="str">
        <f t="shared" si="23"/>
        <v>Text only</v>
      </c>
    </row>
    <row r="232" spans="1:20" hidden="1" x14ac:dyDescent="0.2">
      <c r="A232" t="s">
        <v>3830</v>
      </c>
      <c r="B232" t="s">
        <v>2365</v>
      </c>
      <c r="C232" t="s">
        <v>2366</v>
      </c>
      <c r="D232" t="s">
        <v>3831</v>
      </c>
      <c r="E232" t="s">
        <v>3826</v>
      </c>
      <c r="F232" t="str">
        <f>IF(Table2[[#This Row],[Date posted]]&lt; DATE(2015,9,18),"Before Crisis","During Crisis")</f>
        <v>During Crisis</v>
      </c>
      <c r="G232" s="27">
        <f t="shared" si="18"/>
        <v>42296</v>
      </c>
      <c r="H232" s="7" t="str">
        <f t="shared" si="19"/>
        <v>20:16:30</v>
      </c>
      <c r="I232" s="8" t="str">
        <f t="shared" si="20"/>
        <v>Evening</v>
      </c>
      <c r="J232" t="s">
        <v>3832</v>
      </c>
      <c r="K232" t="s">
        <v>2370</v>
      </c>
      <c r="L232">
        <v>1</v>
      </c>
      <c r="M232" s="3">
        <v>0</v>
      </c>
      <c r="N232">
        <v>2</v>
      </c>
      <c r="O232" s="4">
        <f t="shared" si="21"/>
        <v>3</v>
      </c>
      <c r="P232" s="5" t="str">
        <f t="shared" si="22"/>
        <v>Low engagement</v>
      </c>
      <c r="Q232" t="b">
        <v>0</v>
      </c>
      <c r="R232" t="b">
        <v>0</v>
      </c>
      <c r="S232" t="b">
        <v>0</v>
      </c>
      <c r="T232" s="24" t="str">
        <f t="shared" si="23"/>
        <v>Text only</v>
      </c>
    </row>
    <row r="233" spans="1:20" hidden="1" x14ac:dyDescent="0.2">
      <c r="A233" t="s">
        <v>3709</v>
      </c>
      <c r="B233" t="s">
        <v>2365</v>
      </c>
      <c r="C233" t="s">
        <v>2366</v>
      </c>
      <c r="D233" t="s">
        <v>3710</v>
      </c>
      <c r="E233" t="s">
        <v>3711</v>
      </c>
      <c r="F233" t="str">
        <f>IF(Table2[[#This Row],[Date posted]]&lt; DATE(2015,9,18),"Before Crisis","During Crisis")</f>
        <v>During Crisis</v>
      </c>
      <c r="G233" s="27">
        <f t="shared" si="18"/>
        <v>42298</v>
      </c>
      <c r="H233" s="7" t="str">
        <f t="shared" si="19"/>
        <v>21:40:17</v>
      </c>
      <c r="I233" s="8" t="str">
        <f t="shared" si="20"/>
        <v>Evening</v>
      </c>
      <c r="J233" t="s">
        <v>3708</v>
      </c>
      <c r="K233" t="s">
        <v>2370</v>
      </c>
      <c r="L233" s="3">
        <v>0</v>
      </c>
      <c r="M233" s="3">
        <v>0</v>
      </c>
      <c r="N233">
        <v>2</v>
      </c>
      <c r="O233" s="4">
        <f t="shared" si="21"/>
        <v>2</v>
      </c>
      <c r="P233" s="5" t="str">
        <f t="shared" si="22"/>
        <v>Low engagement</v>
      </c>
      <c r="Q233" t="b">
        <v>0</v>
      </c>
      <c r="R233" t="b">
        <v>0</v>
      </c>
      <c r="S233" t="b">
        <v>0</v>
      </c>
      <c r="T233" s="24" t="str">
        <f t="shared" si="23"/>
        <v>Text only</v>
      </c>
    </row>
    <row r="234" spans="1:20" hidden="1" x14ac:dyDescent="0.2">
      <c r="A234" t="s">
        <v>3671</v>
      </c>
      <c r="B234" t="s">
        <v>2365</v>
      </c>
      <c r="C234" t="s">
        <v>2366</v>
      </c>
      <c r="D234" t="s">
        <v>3672</v>
      </c>
      <c r="E234" t="s">
        <v>3673</v>
      </c>
      <c r="F234" t="str">
        <f>IF(Table2[[#This Row],[Date posted]]&lt; DATE(2015,9,18),"Before Crisis","During Crisis")</f>
        <v>During Crisis</v>
      </c>
      <c r="G234" s="27">
        <f t="shared" si="18"/>
        <v>42299</v>
      </c>
      <c r="H234" s="7" t="str">
        <f t="shared" si="19"/>
        <v>18:08:10</v>
      </c>
      <c r="I234" s="8" t="str">
        <f t="shared" si="20"/>
        <v>Evening</v>
      </c>
      <c r="J234" t="s">
        <v>3674</v>
      </c>
      <c r="K234" t="s">
        <v>2370</v>
      </c>
      <c r="L234">
        <v>1</v>
      </c>
      <c r="M234">
        <v>1</v>
      </c>
      <c r="N234">
        <v>2</v>
      </c>
      <c r="O234" s="4">
        <f t="shared" si="21"/>
        <v>4</v>
      </c>
      <c r="P234" s="5" t="str">
        <f t="shared" si="22"/>
        <v>Low engagement</v>
      </c>
      <c r="Q234" t="b">
        <v>0</v>
      </c>
      <c r="R234" t="b">
        <v>0</v>
      </c>
      <c r="S234" t="b">
        <v>0</v>
      </c>
      <c r="T234" s="24" t="str">
        <f t="shared" si="23"/>
        <v>Text only</v>
      </c>
    </row>
    <row r="235" spans="1:20" hidden="1" x14ac:dyDescent="0.2">
      <c r="A235" t="s">
        <v>3546</v>
      </c>
      <c r="B235" t="s">
        <v>2365</v>
      </c>
      <c r="C235" t="s">
        <v>2366</v>
      </c>
      <c r="D235" t="s">
        <v>3547</v>
      </c>
      <c r="E235" t="s">
        <v>3548</v>
      </c>
      <c r="F235" t="str">
        <f>IF(Table2[[#This Row],[Date posted]]&lt; DATE(2015,9,18),"Before Crisis","During Crisis")</f>
        <v>During Crisis</v>
      </c>
      <c r="G235" s="27">
        <f t="shared" si="18"/>
        <v>42305</v>
      </c>
      <c r="H235" s="7" t="str">
        <f t="shared" si="19"/>
        <v>15:16:04</v>
      </c>
      <c r="I235" s="8" t="str">
        <f t="shared" si="20"/>
        <v>Afternoon</v>
      </c>
      <c r="J235" t="s">
        <v>3549</v>
      </c>
      <c r="K235" t="s">
        <v>2370</v>
      </c>
      <c r="L235" s="3">
        <v>0</v>
      </c>
      <c r="M235" s="3">
        <v>0</v>
      </c>
      <c r="N235">
        <v>2</v>
      </c>
      <c r="O235" s="4">
        <f t="shared" si="21"/>
        <v>2</v>
      </c>
      <c r="P235" s="5" t="str">
        <f t="shared" si="22"/>
        <v>Low engagement</v>
      </c>
      <c r="Q235" t="b">
        <v>0</v>
      </c>
      <c r="R235" t="b">
        <v>0</v>
      </c>
      <c r="S235" t="b">
        <v>0</v>
      </c>
      <c r="T235" s="24" t="str">
        <f t="shared" si="23"/>
        <v>Text only</v>
      </c>
    </row>
    <row r="236" spans="1:20" hidden="1" x14ac:dyDescent="0.2">
      <c r="A236" t="s">
        <v>3400</v>
      </c>
      <c r="B236" t="s">
        <v>2365</v>
      </c>
      <c r="C236" t="s">
        <v>2366</v>
      </c>
      <c r="D236" t="s">
        <v>3401</v>
      </c>
      <c r="E236" t="s">
        <v>3402</v>
      </c>
      <c r="F236" t="str">
        <f>IF(Table2[[#This Row],[Date posted]]&lt; DATE(2015,9,18),"Before Crisis","During Crisis")</f>
        <v>During Crisis</v>
      </c>
      <c r="G236" s="27">
        <f t="shared" si="18"/>
        <v>42310</v>
      </c>
      <c r="H236" s="7" t="str">
        <f t="shared" si="19"/>
        <v>20:00:01</v>
      </c>
      <c r="I236" s="8" t="str">
        <f t="shared" si="20"/>
        <v>Evening</v>
      </c>
      <c r="J236" t="s">
        <v>3403</v>
      </c>
      <c r="K236" t="s">
        <v>2370</v>
      </c>
      <c r="L236" s="3">
        <v>0</v>
      </c>
      <c r="M236">
        <v>1</v>
      </c>
      <c r="N236">
        <v>2</v>
      </c>
      <c r="O236" s="4">
        <f t="shared" si="21"/>
        <v>3</v>
      </c>
      <c r="P236" s="5" t="str">
        <f t="shared" si="22"/>
        <v>Low engagement</v>
      </c>
      <c r="Q236" t="b">
        <v>0</v>
      </c>
      <c r="R236" t="b">
        <v>0</v>
      </c>
      <c r="S236" t="b">
        <v>0</v>
      </c>
      <c r="T236" s="24" t="str">
        <f t="shared" si="23"/>
        <v>Text only</v>
      </c>
    </row>
    <row r="237" spans="1:20" hidden="1" x14ac:dyDescent="0.2">
      <c r="A237" t="s">
        <v>3307</v>
      </c>
      <c r="B237" t="s">
        <v>2365</v>
      </c>
      <c r="C237" t="s">
        <v>2366</v>
      </c>
      <c r="D237" t="s">
        <v>3308</v>
      </c>
      <c r="E237" t="s">
        <v>3309</v>
      </c>
      <c r="F237" t="str">
        <f>IF(Table2[[#This Row],[Date posted]]&lt; DATE(2015,9,18),"Before Crisis","During Crisis")</f>
        <v>During Crisis</v>
      </c>
      <c r="G237" s="27">
        <f t="shared" si="18"/>
        <v>42317</v>
      </c>
      <c r="H237" s="7" t="str">
        <f t="shared" si="19"/>
        <v>14:10:43</v>
      </c>
      <c r="I237" s="8" t="str">
        <f t="shared" si="20"/>
        <v>Afternoon</v>
      </c>
      <c r="J237" t="s">
        <v>3310</v>
      </c>
      <c r="K237" t="s">
        <v>2370</v>
      </c>
      <c r="L237" s="3">
        <v>0</v>
      </c>
      <c r="M237">
        <v>2</v>
      </c>
      <c r="N237">
        <v>2</v>
      </c>
      <c r="O237" s="4">
        <f t="shared" si="21"/>
        <v>4</v>
      </c>
      <c r="P237" s="5" t="str">
        <f t="shared" si="22"/>
        <v>Low engagement</v>
      </c>
      <c r="Q237" t="b">
        <v>0</v>
      </c>
      <c r="R237" t="b">
        <v>0</v>
      </c>
      <c r="S237" t="b">
        <v>0</v>
      </c>
      <c r="T237" s="24" t="str">
        <f t="shared" si="23"/>
        <v>Text only</v>
      </c>
    </row>
    <row r="238" spans="1:20" hidden="1" x14ac:dyDescent="0.2">
      <c r="A238" t="s">
        <v>3295</v>
      </c>
      <c r="B238" t="s">
        <v>2365</v>
      </c>
      <c r="C238" t="s">
        <v>2366</v>
      </c>
      <c r="D238" t="s">
        <v>3296</v>
      </c>
      <c r="E238" t="s">
        <v>3297</v>
      </c>
      <c r="F238" t="str">
        <f>IF(Table2[[#This Row],[Date posted]]&lt; DATE(2015,9,18),"Before Crisis","During Crisis")</f>
        <v>During Crisis</v>
      </c>
      <c r="G238" s="27">
        <f t="shared" si="18"/>
        <v>42317</v>
      </c>
      <c r="H238" s="7" t="str">
        <f t="shared" si="19"/>
        <v>22:11:19</v>
      </c>
      <c r="I238" s="8" t="str">
        <f t="shared" si="20"/>
        <v>Evening</v>
      </c>
      <c r="J238" t="s">
        <v>3298</v>
      </c>
      <c r="K238" t="s">
        <v>2370</v>
      </c>
      <c r="L238" s="3">
        <v>0</v>
      </c>
      <c r="M238" s="3">
        <v>0</v>
      </c>
      <c r="N238">
        <v>2</v>
      </c>
      <c r="O238" s="4">
        <f t="shared" si="21"/>
        <v>2</v>
      </c>
      <c r="P238" s="5" t="str">
        <f t="shared" si="22"/>
        <v>Low engagement</v>
      </c>
      <c r="Q238" t="b">
        <v>0</v>
      </c>
      <c r="R238" t="b">
        <v>0</v>
      </c>
      <c r="S238" t="b">
        <v>0</v>
      </c>
      <c r="T238" s="24" t="str">
        <f t="shared" si="23"/>
        <v>Text only</v>
      </c>
    </row>
    <row r="239" spans="1:20" hidden="1" x14ac:dyDescent="0.2">
      <c r="A239" t="s">
        <v>3246</v>
      </c>
      <c r="B239" t="s">
        <v>2365</v>
      </c>
      <c r="C239" t="s">
        <v>2366</v>
      </c>
      <c r="D239" t="s">
        <v>3247</v>
      </c>
      <c r="E239" t="s">
        <v>3242</v>
      </c>
      <c r="F239" t="str">
        <f>IF(Table2[[#This Row],[Date posted]]&lt; DATE(2015,9,18),"Before Crisis","During Crisis")</f>
        <v>During Crisis</v>
      </c>
      <c r="G239" s="27">
        <f t="shared" si="18"/>
        <v>42319</v>
      </c>
      <c r="H239" s="7" t="str">
        <f t="shared" si="19"/>
        <v>19:45:11</v>
      </c>
      <c r="I239" s="8" t="str">
        <f t="shared" si="20"/>
        <v>Evening</v>
      </c>
      <c r="J239" t="s">
        <v>3248</v>
      </c>
      <c r="K239" t="s">
        <v>2370</v>
      </c>
      <c r="L239">
        <v>1</v>
      </c>
      <c r="M239" s="3">
        <v>0</v>
      </c>
      <c r="N239">
        <v>2</v>
      </c>
      <c r="O239" s="4">
        <f t="shared" si="21"/>
        <v>3</v>
      </c>
      <c r="P239" s="5" t="str">
        <f t="shared" si="22"/>
        <v>Low engagement</v>
      </c>
      <c r="Q239" t="b">
        <v>0</v>
      </c>
      <c r="R239" t="b">
        <v>0</v>
      </c>
      <c r="S239" t="b">
        <v>0</v>
      </c>
      <c r="T239" s="24" t="str">
        <f t="shared" si="23"/>
        <v>Text only</v>
      </c>
    </row>
    <row r="240" spans="1:20" hidden="1" x14ac:dyDescent="0.2">
      <c r="A240" t="s">
        <v>3213</v>
      </c>
      <c r="B240" t="s">
        <v>2365</v>
      </c>
      <c r="C240" t="s">
        <v>2366</v>
      </c>
      <c r="D240" t="s">
        <v>3214</v>
      </c>
      <c r="E240" t="s">
        <v>3215</v>
      </c>
      <c r="F240" t="str">
        <f>IF(Table2[[#This Row],[Date posted]]&lt; DATE(2015,9,18),"Before Crisis","During Crisis")</f>
        <v>During Crisis</v>
      </c>
      <c r="G240" s="27">
        <f t="shared" si="18"/>
        <v>42320</v>
      </c>
      <c r="H240" s="7" t="str">
        <f t="shared" si="19"/>
        <v>22:07:42</v>
      </c>
      <c r="I240" s="8" t="str">
        <f t="shared" si="20"/>
        <v>Evening</v>
      </c>
      <c r="J240" t="s">
        <v>2370</v>
      </c>
      <c r="K240" t="s">
        <v>2370</v>
      </c>
      <c r="L240" s="3">
        <v>0</v>
      </c>
      <c r="M240" s="3">
        <v>0</v>
      </c>
      <c r="N240">
        <v>2</v>
      </c>
      <c r="O240" s="4">
        <f t="shared" si="21"/>
        <v>2</v>
      </c>
      <c r="P240" s="5" t="str">
        <f t="shared" si="22"/>
        <v>Low engagement</v>
      </c>
      <c r="Q240" t="b">
        <v>0</v>
      </c>
      <c r="R240" t="b">
        <v>0</v>
      </c>
      <c r="S240" t="b">
        <v>0</v>
      </c>
      <c r="T240" s="24" t="str">
        <f t="shared" si="23"/>
        <v>Text only</v>
      </c>
    </row>
    <row r="241" spans="1:20" hidden="1" x14ac:dyDescent="0.2">
      <c r="A241" t="s">
        <v>3162</v>
      </c>
      <c r="B241" t="s">
        <v>2365</v>
      </c>
      <c r="C241" t="s">
        <v>2366</v>
      </c>
      <c r="D241" t="s">
        <v>3163</v>
      </c>
      <c r="E241" t="s">
        <v>3164</v>
      </c>
      <c r="F241" t="str">
        <f>IF(Table2[[#This Row],[Date posted]]&lt; DATE(2015,9,18),"Before Crisis","During Crisis")</f>
        <v>During Crisis</v>
      </c>
      <c r="G241" s="27">
        <f t="shared" si="18"/>
        <v>42325</v>
      </c>
      <c r="H241" s="7" t="str">
        <f t="shared" si="19"/>
        <v>19:27:37</v>
      </c>
      <c r="I241" s="8" t="str">
        <f t="shared" si="20"/>
        <v>Evening</v>
      </c>
      <c r="J241" t="s">
        <v>3165</v>
      </c>
      <c r="K241" t="s">
        <v>2370</v>
      </c>
      <c r="L241">
        <v>2</v>
      </c>
      <c r="M241" s="3">
        <v>0</v>
      </c>
      <c r="N241">
        <v>2</v>
      </c>
      <c r="O241" s="4">
        <f t="shared" si="21"/>
        <v>4</v>
      </c>
      <c r="P241" s="5" t="str">
        <f t="shared" si="22"/>
        <v>Low engagement</v>
      </c>
      <c r="Q241" t="b">
        <v>0</v>
      </c>
      <c r="R241" t="b">
        <v>0</v>
      </c>
      <c r="S241" t="b">
        <v>0</v>
      </c>
      <c r="T241" s="24" t="str">
        <f t="shared" si="23"/>
        <v>Text only</v>
      </c>
    </row>
    <row r="242" spans="1:20" hidden="1" x14ac:dyDescent="0.2">
      <c r="A242" t="s">
        <v>3064</v>
      </c>
      <c r="B242" t="s">
        <v>2365</v>
      </c>
      <c r="C242" t="s">
        <v>2366</v>
      </c>
      <c r="D242" t="s">
        <v>3065</v>
      </c>
      <c r="E242" t="s">
        <v>3066</v>
      </c>
      <c r="F242" t="str">
        <f>IF(Table2[[#This Row],[Date posted]]&lt; DATE(2015,9,18),"Before Crisis","During Crisis")</f>
        <v>During Crisis</v>
      </c>
      <c r="G242" s="27">
        <f t="shared" si="18"/>
        <v>42328</v>
      </c>
      <c r="H242" s="7" t="str">
        <f t="shared" si="19"/>
        <v>16:16:16</v>
      </c>
      <c r="I242" s="8" t="str">
        <f t="shared" si="20"/>
        <v>Afternoon</v>
      </c>
      <c r="J242" t="s">
        <v>2370</v>
      </c>
      <c r="K242" t="s">
        <v>2370</v>
      </c>
      <c r="L242">
        <v>2</v>
      </c>
      <c r="M242" s="3">
        <v>0</v>
      </c>
      <c r="N242">
        <v>2</v>
      </c>
      <c r="O242" s="4">
        <f t="shared" si="21"/>
        <v>4</v>
      </c>
      <c r="P242" s="5" t="str">
        <f t="shared" si="22"/>
        <v>Low engagement</v>
      </c>
      <c r="Q242" t="b">
        <v>0</v>
      </c>
      <c r="R242" t="b">
        <v>0</v>
      </c>
      <c r="S242" t="b">
        <v>0</v>
      </c>
      <c r="T242" s="24" t="str">
        <f t="shared" si="23"/>
        <v>Text only</v>
      </c>
    </row>
    <row r="243" spans="1:20" hidden="1" x14ac:dyDescent="0.2">
      <c r="A243" t="s">
        <v>2944</v>
      </c>
      <c r="B243" t="s">
        <v>2365</v>
      </c>
      <c r="C243" t="s">
        <v>2366</v>
      </c>
      <c r="D243" t="s">
        <v>2945</v>
      </c>
      <c r="E243" t="s">
        <v>2946</v>
      </c>
      <c r="F243" t="str">
        <f>IF(Table2[[#This Row],[Date posted]]&lt; DATE(2015,9,18),"Before Crisis","During Crisis")</f>
        <v>During Crisis</v>
      </c>
      <c r="G243" s="27">
        <f t="shared" si="18"/>
        <v>42332</v>
      </c>
      <c r="H243" s="7" t="str">
        <f t="shared" si="19"/>
        <v>17:52:26</v>
      </c>
      <c r="I243" s="8" t="str">
        <f t="shared" si="20"/>
        <v>Afternoon</v>
      </c>
      <c r="J243" t="s">
        <v>2947</v>
      </c>
      <c r="K243" t="s">
        <v>2370</v>
      </c>
      <c r="L243" s="3">
        <v>0</v>
      </c>
      <c r="M243">
        <v>1</v>
      </c>
      <c r="N243">
        <v>2</v>
      </c>
      <c r="O243" s="4">
        <f t="shared" si="21"/>
        <v>3</v>
      </c>
      <c r="P243" s="5" t="str">
        <f t="shared" si="22"/>
        <v>Low engagement</v>
      </c>
      <c r="Q243" t="b">
        <v>0</v>
      </c>
      <c r="R243" t="b">
        <v>0</v>
      </c>
      <c r="S243" t="b">
        <v>0</v>
      </c>
      <c r="T243" s="24" t="str">
        <f t="shared" si="23"/>
        <v>Text only</v>
      </c>
    </row>
    <row r="244" spans="1:20" hidden="1" x14ac:dyDescent="0.2">
      <c r="A244" t="s">
        <v>2941</v>
      </c>
      <c r="B244" t="s">
        <v>2365</v>
      </c>
      <c r="C244" t="s">
        <v>2366</v>
      </c>
      <c r="D244" t="s">
        <v>2942</v>
      </c>
      <c r="E244" t="s">
        <v>2943</v>
      </c>
      <c r="F244" t="str">
        <f>IF(Table2[[#This Row],[Date posted]]&lt; DATE(2015,9,18),"Before Crisis","During Crisis")</f>
        <v>During Crisis</v>
      </c>
      <c r="G244" s="27">
        <f t="shared" si="18"/>
        <v>42332</v>
      </c>
      <c r="H244" s="7" t="str">
        <f t="shared" si="19"/>
        <v>18:13:09</v>
      </c>
      <c r="I244" s="8" t="str">
        <f t="shared" si="20"/>
        <v>Evening</v>
      </c>
      <c r="J244" t="s">
        <v>2370</v>
      </c>
      <c r="K244" t="s">
        <v>2370</v>
      </c>
      <c r="L244" s="3">
        <v>0</v>
      </c>
      <c r="M244" s="3">
        <v>0</v>
      </c>
      <c r="N244">
        <v>2</v>
      </c>
      <c r="O244" s="4">
        <f t="shared" si="21"/>
        <v>2</v>
      </c>
      <c r="P244" s="5" t="str">
        <f t="shared" si="22"/>
        <v>Low engagement</v>
      </c>
      <c r="Q244" t="b">
        <v>0</v>
      </c>
      <c r="R244" t="b">
        <v>0</v>
      </c>
      <c r="S244" t="b">
        <v>0</v>
      </c>
      <c r="T244" s="24" t="str">
        <f t="shared" si="23"/>
        <v>Text only</v>
      </c>
    </row>
    <row r="245" spans="1:20" hidden="1" x14ac:dyDescent="0.2">
      <c r="A245" t="s">
        <v>2937</v>
      </c>
      <c r="B245" t="s">
        <v>2365</v>
      </c>
      <c r="C245" t="s">
        <v>2366</v>
      </c>
      <c r="D245" t="s">
        <v>2938</v>
      </c>
      <c r="E245" t="s">
        <v>2939</v>
      </c>
      <c r="F245" t="str">
        <f>IF(Table2[[#This Row],[Date posted]]&lt; DATE(2015,9,18),"Before Crisis","During Crisis")</f>
        <v>During Crisis</v>
      </c>
      <c r="G245" s="27">
        <f t="shared" si="18"/>
        <v>42332</v>
      </c>
      <c r="H245" s="7" t="str">
        <f t="shared" si="19"/>
        <v>18:31:05</v>
      </c>
      <c r="I245" s="8" t="str">
        <f t="shared" si="20"/>
        <v>Evening</v>
      </c>
      <c r="J245" t="s">
        <v>2940</v>
      </c>
      <c r="K245" t="s">
        <v>2370</v>
      </c>
      <c r="L245" s="3">
        <v>0</v>
      </c>
      <c r="M245" s="3">
        <v>0</v>
      </c>
      <c r="N245">
        <v>2</v>
      </c>
      <c r="O245" s="4">
        <f t="shared" si="21"/>
        <v>2</v>
      </c>
      <c r="P245" s="5" t="str">
        <f t="shared" si="22"/>
        <v>Low engagement</v>
      </c>
      <c r="Q245" t="b">
        <v>0</v>
      </c>
      <c r="R245" t="b">
        <v>0</v>
      </c>
      <c r="S245" t="b">
        <v>0</v>
      </c>
      <c r="T245" s="24" t="str">
        <f t="shared" si="23"/>
        <v>Text only</v>
      </c>
    </row>
    <row r="246" spans="1:20" hidden="1" x14ac:dyDescent="0.2">
      <c r="A246" t="s">
        <v>2930</v>
      </c>
      <c r="B246" t="s">
        <v>2365</v>
      </c>
      <c r="C246" t="s">
        <v>2366</v>
      </c>
      <c r="D246" t="s">
        <v>2931</v>
      </c>
      <c r="E246" t="s">
        <v>2932</v>
      </c>
      <c r="F246" t="str">
        <f>IF(Table2[[#This Row],[Date posted]]&lt; DATE(2015,9,18),"Before Crisis","During Crisis")</f>
        <v>During Crisis</v>
      </c>
      <c r="G246" s="27">
        <f t="shared" si="18"/>
        <v>42332</v>
      </c>
      <c r="H246" s="7" t="str">
        <f t="shared" si="19"/>
        <v>18:42:03</v>
      </c>
      <c r="I246" s="8" t="str">
        <f t="shared" si="20"/>
        <v>Evening</v>
      </c>
      <c r="J246" t="s">
        <v>2933</v>
      </c>
      <c r="K246" t="s">
        <v>2370</v>
      </c>
      <c r="L246" s="3">
        <v>0</v>
      </c>
      <c r="M246" s="3">
        <v>0</v>
      </c>
      <c r="N246">
        <v>2</v>
      </c>
      <c r="O246" s="4">
        <f t="shared" si="21"/>
        <v>2</v>
      </c>
      <c r="P246" s="5" t="str">
        <f t="shared" si="22"/>
        <v>Low engagement</v>
      </c>
      <c r="Q246" t="b">
        <v>0</v>
      </c>
      <c r="R246" t="b">
        <v>0</v>
      </c>
      <c r="S246" t="b">
        <v>0</v>
      </c>
      <c r="T246" s="24" t="str">
        <f t="shared" si="23"/>
        <v>Text only</v>
      </c>
    </row>
    <row r="247" spans="1:20" hidden="1" x14ac:dyDescent="0.2">
      <c r="A247" t="s">
        <v>2928</v>
      </c>
      <c r="B247" t="s">
        <v>2365</v>
      </c>
      <c r="C247" t="s">
        <v>2366</v>
      </c>
      <c r="D247" t="s">
        <v>2929</v>
      </c>
      <c r="E247" t="s">
        <v>2926</v>
      </c>
      <c r="F247" t="str">
        <f>IF(Table2[[#This Row],[Date posted]]&lt; DATE(2015,9,18),"Before Crisis","During Crisis")</f>
        <v>During Crisis</v>
      </c>
      <c r="G247" s="27">
        <f t="shared" si="18"/>
        <v>42332</v>
      </c>
      <c r="H247" s="7" t="str">
        <f t="shared" si="19"/>
        <v>23:06:30</v>
      </c>
      <c r="I247" s="8" t="str">
        <f t="shared" si="20"/>
        <v>Evening</v>
      </c>
      <c r="J247" t="s">
        <v>2927</v>
      </c>
      <c r="K247" t="s">
        <v>2370</v>
      </c>
      <c r="L247">
        <v>1</v>
      </c>
      <c r="M247" s="3">
        <v>0</v>
      </c>
      <c r="N247">
        <v>2</v>
      </c>
      <c r="O247" s="4">
        <f t="shared" si="21"/>
        <v>3</v>
      </c>
      <c r="P247" s="5" t="str">
        <f t="shared" si="22"/>
        <v>Low engagement</v>
      </c>
      <c r="Q247" t="b">
        <v>0</v>
      </c>
      <c r="R247" t="b">
        <v>0</v>
      </c>
      <c r="S247" t="b">
        <v>0</v>
      </c>
      <c r="T247" s="24" t="str">
        <f t="shared" si="23"/>
        <v>Text only</v>
      </c>
    </row>
    <row r="248" spans="1:20" hidden="1" x14ac:dyDescent="0.2">
      <c r="A248" t="s">
        <v>2911</v>
      </c>
      <c r="B248" t="s">
        <v>2365</v>
      </c>
      <c r="C248" t="s">
        <v>2366</v>
      </c>
      <c r="D248" t="s">
        <v>2912</v>
      </c>
      <c r="E248" t="s">
        <v>2913</v>
      </c>
      <c r="F248" t="str">
        <f>IF(Table2[[#This Row],[Date posted]]&lt; DATE(2015,9,18),"Before Crisis","During Crisis")</f>
        <v>During Crisis</v>
      </c>
      <c r="G248" s="27">
        <f t="shared" si="18"/>
        <v>42333</v>
      </c>
      <c r="H248" s="7" t="str">
        <f t="shared" si="19"/>
        <v>23:29:50</v>
      </c>
      <c r="I248" s="8" t="str">
        <f t="shared" si="20"/>
        <v>Evening</v>
      </c>
      <c r="J248" t="s">
        <v>2914</v>
      </c>
      <c r="K248" t="s">
        <v>2370</v>
      </c>
      <c r="L248" s="3">
        <v>0</v>
      </c>
      <c r="M248">
        <v>2</v>
      </c>
      <c r="N248">
        <v>2</v>
      </c>
      <c r="O248" s="4">
        <f t="shared" si="21"/>
        <v>4</v>
      </c>
      <c r="P248" s="5" t="str">
        <f t="shared" si="22"/>
        <v>Low engagement</v>
      </c>
      <c r="Q248" t="b">
        <v>0</v>
      </c>
      <c r="R248" t="b">
        <v>0</v>
      </c>
      <c r="S248" t="b">
        <v>0</v>
      </c>
      <c r="T248" s="24" t="str">
        <f t="shared" si="23"/>
        <v>Text only</v>
      </c>
    </row>
    <row r="249" spans="1:20" hidden="1" x14ac:dyDescent="0.2">
      <c r="A249" t="s">
        <v>2893</v>
      </c>
      <c r="B249" t="s">
        <v>2365</v>
      </c>
      <c r="C249" t="s">
        <v>2366</v>
      </c>
      <c r="D249" t="s">
        <v>2894</v>
      </c>
      <c r="E249" t="s">
        <v>2895</v>
      </c>
      <c r="F249" t="str">
        <f>IF(Table2[[#This Row],[Date posted]]&lt; DATE(2015,9,18),"Before Crisis","During Crisis")</f>
        <v>During Crisis</v>
      </c>
      <c r="G249" s="27">
        <f t="shared" si="18"/>
        <v>42335</v>
      </c>
      <c r="H249" s="7" t="str">
        <f t="shared" si="19"/>
        <v>23:26:47</v>
      </c>
      <c r="I249" s="8" t="str">
        <f t="shared" si="20"/>
        <v>Evening</v>
      </c>
      <c r="J249" t="s">
        <v>2896</v>
      </c>
      <c r="K249" t="s">
        <v>2370</v>
      </c>
      <c r="L249">
        <v>1</v>
      </c>
      <c r="M249">
        <v>1</v>
      </c>
      <c r="N249">
        <v>2</v>
      </c>
      <c r="O249" s="4">
        <f t="shared" si="21"/>
        <v>4</v>
      </c>
      <c r="P249" s="5" t="str">
        <f t="shared" si="22"/>
        <v>Low engagement</v>
      </c>
      <c r="Q249" t="b">
        <v>0</v>
      </c>
      <c r="R249" t="b">
        <v>0</v>
      </c>
      <c r="S249" t="b">
        <v>0</v>
      </c>
      <c r="T249" s="24" t="str">
        <f t="shared" si="23"/>
        <v>Text only</v>
      </c>
    </row>
    <row r="250" spans="1:20" hidden="1" x14ac:dyDescent="0.2">
      <c r="A250" t="s">
        <v>2889</v>
      </c>
      <c r="B250" t="s">
        <v>2365</v>
      </c>
      <c r="C250" t="s">
        <v>2366</v>
      </c>
      <c r="D250" t="s">
        <v>2890</v>
      </c>
      <c r="E250" t="s">
        <v>2891</v>
      </c>
      <c r="F250" t="str">
        <f>IF(Table2[[#This Row],[Date posted]]&lt; DATE(2015,9,18),"Before Crisis","During Crisis")</f>
        <v>During Crisis</v>
      </c>
      <c r="G250" s="27">
        <f t="shared" si="18"/>
        <v>42335</v>
      </c>
      <c r="H250" s="7" t="str">
        <f t="shared" si="19"/>
        <v>23:33:18</v>
      </c>
      <c r="I250" s="8" t="str">
        <f t="shared" si="20"/>
        <v>Evening</v>
      </c>
      <c r="J250" t="s">
        <v>2892</v>
      </c>
      <c r="K250" t="s">
        <v>2370</v>
      </c>
      <c r="L250">
        <v>1</v>
      </c>
      <c r="M250" s="3">
        <v>0</v>
      </c>
      <c r="N250">
        <v>2</v>
      </c>
      <c r="O250" s="4">
        <f t="shared" si="21"/>
        <v>3</v>
      </c>
      <c r="P250" s="5" t="str">
        <f t="shared" si="22"/>
        <v>Low engagement</v>
      </c>
      <c r="Q250" t="b">
        <v>0</v>
      </c>
      <c r="R250" t="b">
        <v>0</v>
      </c>
      <c r="S250" t="b">
        <v>0</v>
      </c>
      <c r="T250" s="24" t="str">
        <f t="shared" si="23"/>
        <v>Text only</v>
      </c>
    </row>
    <row r="251" spans="1:20" hidden="1" x14ac:dyDescent="0.2">
      <c r="A251" t="s">
        <v>2854</v>
      </c>
      <c r="B251" t="s">
        <v>2365</v>
      </c>
      <c r="C251" t="s">
        <v>2366</v>
      </c>
      <c r="D251" t="s">
        <v>2855</v>
      </c>
      <c r="E251" t="s">
        <v>2856</v>
      </c>
      <c r="F251" t="str">
        <f>IF(Table2[[#This Row],[Date posted]]&lt; DATE(2015,9,18),"Before Crisis","During Crisis")</f>
        <v>During Crisis</v>
      </c>
      <c r="G251" s="27">
        <f t="shared" si="18"/>
        <v>42338</v>
      </c>
      <c r="H251" s="7" t="str">
        <f t="shared" si="19"/>
        <v>18:23:58</v>
      </c>
      <c r="I251" s="8" t="str">
        <f t="shared" si="20"/>
        <v>Evening</v>
      </c>
      <c r="J251" t="s">
        <v>2857</v>
      </c>
      <c r="K251" t="s">
        <v>2370</v>
      </c>
      <c r="L251" s="3">
        <v>0</v>
      </c>
      <c r="M251" s="3">
        <v>0</v>
      </c>
      <c r="N251">
        <v>2</v>
      </c>
      <c r="O251" s="4">
        <f t="shared" si="21"/>
        <v>2</v>
      </c>
      <c r="P251" s="5" t="str">
        <f t="shared" si="22"/>
        <v>Low engagement</v>
      </c>
      <c r="Q251" t="b">
        <v>0</v>
      </c>
      <c r="R251" t="b">
        <v>0</v>
      </c>
      <c r="S251" t="b">
        <v>0</v>
      </c>
      <c r="T251" s="24" t="str">
        <f t="shared" si="23"/>
        <v>Text only</v>
      </c>
    </row>
    <row r="252" spans="1:20" hidden="1" x14ac:dyDescent="0.2">
      <c r="A252" t="s">
        <v>2850</v>
      </c>
      <c r="B252" t="s">
        <v>2365</v>
      </c>
      <c r="C252" t="s">
        <v>2366</v>
      </c>
      <c r="D252" t="s">
        <v>2851</v>
      </c>
      <c r="E252" t="s">
        <v>2852</v>
      </c>
      <c r="F252" t="str">
        <f>IF(Table2[[#This Row],[Date posted]]&lt; DATE(2015,9,18),"Before Crisis","During Crisis")</f>
        <v>During Crisis</v>
      </c>
      <c r="G252" s="27">
        <f t="shared" si="18"/>
        <v>42338</v>
      </c>
      <c r="H252" s="7" t="str">
        <f t="shared" si="19"/>
        <v>19:22:54</v>
      </c>
      <c r="I252" s="8" t="str">
        <f t="shared" si="20"/>
        <v>Evening</v>
      </c>
      <c r="J252" t="s">
        <v>2853</v>
      </c>
      <c r="K252" t="s">
        <v>2370</v>
      </c>
      <c r="L252" s="3">
        <v>0</v>
      </c>
      <c r="M252">
        <v>4</v>
      </c>
      <c r="N252">
        <v>2</v>
      </c>
      <c r="O252" s="4">
        <f t="shared" si="21"/>
        <v>6</v>
      </c>
      <c r="P252" s="5" t="str">
        <f t="shared" si="22"/>
        <v>Moderate engagement</v>
      </c>
      <c r="Q252" t="b">
        <v>0</v>
      </c>
      <c r="R252" t="b">
        <v>0</v>
      </c>
      <c r="S252" t="b">
        <v>0</v>
      </c>
      <c r="T252" s="24" t="str">
        <f t="shared" si="23"/>
        <v>Text only</v>
      </c>
    </row>
    <row r="253" spans="1:20" hidden="1" x14ac:dyDescent="0.2">
      <c r="A253" t="s">
        <v>2824</v>
      </c>
      <c r="B253" t="s">
        <v>2365</v>
      </c>
      <c r="C253" t="s">
        <v>2366</v>
      </c>
      <c r="D253" t="s">
        <v>2825</v>
      </c>
      <c r="E253" t="s">
        <v>2826</v>
      </c>
      <c r="F253" t="str">
        <f>IF(Table2[[#This Row],[Date posted]]&lt; DATE(2015,9,18),"Before Crisis","During Crisis")</f>
        <v>During Crisis</v>
      </c>
      <c r="G253" s="27">
        <f t="shared" si="18"/>
        <v>42339</v>
      </c>
      <c r="H253" s="7" t="str">
        <f t="shared" si="19"/>
        <v>21:24:18</v>
      </c>
      <c r="I253" s="8" t="str">
        <f t="shared" si="20"/>
        <v>Evening</v>
      </c>
      <c r="J253" t="s">
        <v>2370</v>
      </c>
      <c r="K253" t="s">
        <v>2370</v>
      </c>
      <c r="L253" s="3">
        <v>0</v>
      </c>
      <c r="M253" s="3">
        <v>0</v>
      </c>
      <c r="N253">
        <v>2</v>
      </c>
      <c r="O253" s="4">
        <f t="shared" si="21"/>
        <v>2</v>
      </c>
      <c r="P253" s="5" t="str">
        <f t="shared" si="22"/>
        <v>Low engagement</v>
      </c>
      <c r="Q253" t="b">
        <v>0</v>
      </c>
      <c r="R253" t="b">
        <v>0</v>
      </c>
      <c r="S253" t="b">
        <v>0</v>
      </c>
      <c r="T253" s="24" t="str">
        <f t="shared" si="23"/>
        <v>Text only</v>
      </c>
    </row>
    <row r="254" spans="1:20" hidden="1" x14ac:dyDescent="0.2">
      <c r="A254" t="s">
        <v>2820</v>
      </c>
      <c r="B254" t="s">
        <v>2365</v>
      </c>
      <c r="C254" t="s">
        <v>2366</v>
      </c>
      <c r="D254" t="s">
        <v>2821</v>
      </c>
      <c r="E254" t="s">
        <v>2822</v>
      </c>
      <c r="F254" t="str">
        <f>IF(Table2[[#This Row],[Date posted]]&lt; DATE(2015,9,18),"Before Crisis","During Crisis")</f>
        <v>During Crisis</v>
      </c>
      <c r="G254" s="27">
        <f t="shared" si="18"/>
        <v>42339</v>
      </c>
      <c r="H254" s="7" t="str">
        <f t="shared" si="19"/>
        <v>21:27:50</v>
      </c>
      <c r="I254" s="8" t="str">
        <f t="shared" si="20"/>
        <v>Evening</v>
      </c>
      <c r="J254" t="s">
        <v>2823</v>
      </c>
      <c r="K254" t="s">
        <v>2370</v>
      </c>
      <c r="L254" s="3">
        <v>0</v>
      </c>
      <c r="M254" s="3">
        <v>0</v>
      </c>
      <c r="N254">
        <v>2</v>
      </c>
      <c r="O254" s="4">
        <f t="shared" si="21"/>
        <v>2</v>
      </c>
      <c r="P254" s="5" t="str">
        <f t="shared" si="22"/>
        <v>Low engagement</v>
      </c>
      <c r="Q254" t="b">
        <v>0</v>
      </c>
      <c r="R254" t="b">
        <v>0</v>
      </c>
      <c r="S254" t="b">
        <v>0</v>
      </c>
      <c r="T254" s="24" t="str">
        <f t="shared" si="23"/>
        <v>Text only</v>
      </c>
    </row>
    <row r="255" spans="1:20" hidden="1" x14ac:dyDescent="0.2">
      <c r="A255" t="s">
        <v>2817</v>
      </c>
      <c r="B255" t="s">
        <v>2365</v>
      </c>
      <c r="C255" t="s">
        <v>2366</v>
      </c>
      <c r="D255" t="s">
        <v>2818</v>
      </c>
      <c r="E255" t="s">
        <v>2819</v>
      </c>
      <c r="F255" t="str">
        <f>IF(Table2[[#This Row],[Date posted]]&lt; DATE(2015,9,18),"Before Crisis","During Crisis")</f>
        <v>During Crisis</v>
      </c>
      <c r="G255" s="27">
        <f t="shared" si="18"/>
        <v>42339</v>
      </c>
      <c r="H255" s="7" t="str">
        <f t="shared" si="19"/>
        <v>21:34:43</v>
      </c>
      <c r="I255" s="8" t="str">
        <f t="shared" si="20"/>
        <v>Evening</v>
      </c>
      <c r="J255" t="s">
        <v>2816</v>
      </c>
      <c r="K255" t="s">
        <v>2370</v>
      </c>
      <c r="L255" s="3">
        <v>0</v>
      </c>
      <c r="M255" s="3">
        <v>0</v>
      </c>
      <c r="N255">
        <v>2</v>
      </c>
      <c r="O255" s="4">
        <f t="shared" si="21"/>
        <v>2</v>
      </c>
      <c r="P255" s="5" t="str">
        <f t="shared" si="22"/>
        <v>Low engagement</v>
      </c>
      <c r="Q255" t="b">
        <v>0</v>
      </c>
      <c r="R255" t="b">
        <v>0</v>
      </c>
      <c r="S255" t="b">
        <v>0</v>
      </c>
      <c r="T255" s="24" t="str">
        <f t="shared" si="23"/>
        <v>Text only</v>
      </c>
    </row>
    <row r="256" spans="1:20" hidden="1" x14ac:dyDescent="0.2">
      <c r="A256" t="s">
        <v>2813</v>
      </c>
      <c r="B256" t="s">
        <v>2365</v>
      </c>
      <c r="C256" t="s">
        <v>2366</v>
      </c>
      <c r="D256" t="s">
        <v>2814</v>
      </c>
      <c r="E256" t="s">
        <v>2815</v>
      </c>
      <c r="F256" t="str">
        <f>IF(Table2[[#This Row],[Date posted]]&lt; DATE(2015,9,18),"Before Crisis","During Crisis")</f>
        <v>During Crisis</v>
      </c>
      <c r="G256" s="27">
        <f t="shared" si="18"/>
        <v>42339</v>
      </c>
      <c r="H256" s="7" t="str">
        <f t="shared" si="19"/>
        <v>21:34:44</v>
      </c>
      <c r="I256" s="8" t="str">
        <f t="shared" si="20"/>
        <v>Evening</v>
      </c>
      <c r="J256" t="s">
        <v>2816</v>
      </c>
      <c r="K256" t="s">
        <v>2370</v>
      </c>
      <c r="L256" s="3">
        <v>0</v>
      </c>
      <c r="M256" s="3">
        <v>0</v>
      </c>
      <c r="N256">
        <v>2</v>
      </c>
      <c r="O256" s="4">
        <f t="shared" si="21"/>
        <v>2</v>
      </c>
      <c r="P256" s="5" t="str">
        <f t="shared" si="22"/>
        <v>Low engagement</v>
      </c>
      <c r="Q256" t="b">
        <v>0</v>
      </c>
      <c r="R256" t="b">
        <v>0</v>
      </c>
      <c r="S256" t="b">
        <v>1</v>
      </c>
      <c r="T256" s="24" t="str">
        <f t="shared" si="23"/>
        <v>Link</v>
      </c>
    </row>
    <row r="257" spans="1:20" hidden="1" x14ac:dyDescent="0.2">
      <c r="A257" t="s">
        <v>2810</v>
      </c>
      <c r="B257" t="s">
        <v>2365</v>
      </c>
      <c r="C257" t="s">
        <v>2366</v>
      </c>
      <c r="D257" t="s">
        <v>2811</v>
      </c>
      <c r="E257" t="s">
        <v>2812</v>
      </c>
      <c r="F257" t="str">
        <f>IF(Table2[[#This Row],[Date posted]]&lt; DATE(2015,9,18),"Before Crisis","During Crisis")</f>
        <v>During Crisis</v>
      </c>
      <c r="G257" s="27">
        <f t="shared" si="18"/>
        <v>42340</v>
      </c>
      <c r="H257" s="7" t="str">
        <f t="shared" si="19"/>
        <v>17:20:09</v>
      </c>
      <c r="I257" s="8" t="str">
        <f t="shared" si="20"/>
        <v>Afternoon</v>
      </c>
      <c r="J257" t="s">
        <v>2577</v>
      </c>
      <c r="K257" t="s">
        <v>2370</v>
      </c>
      <c r="L257" s="3">
        <v>0</v>
      </c>
      <c r="M257" s="3">
        <v>0</v>
      </c>
      <c r="N257">
        <v>2</v>
      </c>
      <c r="O257" s="4">
        <f t="shared" si="21"/>
        <v>2</v>
      </c>
      <c r="P257" s="5" t="str">
        <f t="shared" si="22"/>
        <v>Low engagement</v>
      </c>
      <c r="Q257" t="b">
        <v>0</v>
      </c>
      <c r="R257" t="b">
        <v>0</v>
      </c>
      <c r="S257" t="b">
        <v>0</v>
      </c>
      <c r="T257" s="24" t="str">
        <f t="shared" si="23"/>
        <v>Text only</v>
      </c>
    </row>
    <row r="258" spans="1:20" hidden="1" x14ac:dyDescent="0.2">
      <c r="A258" t="s">
        <v>2807</v>
      </c>
      <c r="B258" t="s">
        <v>2365</v>
      </c>
      <c r="C258" t="s">
        <v>2366</v>
      </c>
      <c r="D258" t="s">
        <v>2808</v>
      </c>
      <c r="E258" t="s">
        <v>2809</v>
      </c>
      <c r="F258" t="str">
        <f>IF(Table2[[#This Row],[Date posted]]&lt; DATE(2015,9,18),"Before Crisis","During Crisis")</f>
        <v>During Crisis</v>
      </c>
      <c r="G258" s="27">
        <f t="shared" ref="G258:G321" si="24">DATEVALUE(LEFT(E258,10))</f>
        <v>42340</v>
      </c>
      <c r="H258" s="7" t="str">
        <f t="shared" ref="H258:H321" si="25">MID(E258,12,8)</f>
        <v>17:20:10</v>
      </c>
      <c r="I258" s="8" t="str">
        <f t="shared" ref="I258:I321" si="26">IF(HOUR(H258)&lt;7,"Early morning",
IF(HOUR(H258)&lt;11,"Morning",
IF(HOUR(H258)&lt;14,"Mid-day",
IF(HOUR(H258)&lt;18,"Afternoon","Evening"))))</f>
        <v>Afternoon</v>
      </c>
      <c r="J258" t="s">
        <v>2370</v>
      </c>
      <c r="K258" t="s">
        <v>2370</v>
      </c>
      <c r="L258" s="3">
        <v>0</v>
      </c>
      <c r="M258" s="3">
        <v>0</v>
      </c>
      <c r="N258">
        <v>2</v>
      </c>
      <c r="O258" s="4">
        <f t="shared" ref="O258:O321" si="27">L258+M258+N258</f>
        <v>2</v>
      </c>
      <c r="P258" s="5" t="str">
        <f t="shared" ref="P258:P321" si="28">IF(O258&lt;1,"No engagement", IF(O258&lt;5,"Low engagement", IF(O258&lt;10,"Moderate engagement", "High engagement")))</f>
        <v>Low engagement</v>
      </c>
      <c r="Q258" t="b">
        <v>0</v>
      </c>
      <c r="R258" t="b">
        <v>0</v>
      </c>
      <c r="S258" t="b">
        <v>0</v>
      </c>
      <c r="T258" s="24" t="str">
        <f t="shared" ref="T258:T321" si="29">IF(Q258=TRUE,"Photo",
    IF(R258=TRUE,"Video",
        IF(S258=TRUE,"Link","Text only")))</f>
        <v>Text only</v>
      </c>
    </row>
    <row r="259" spans="1:20" hidden="1" x14ac:dyDescent="0.2">
      <c r="A259" t="s">
        <v>2804</v>
      </c>
      <c r="B259" t="s">
        <v>2365</v>
      </c>
      <c r="C259" t="s">
        <v>2366</v>
      </c>
      <c r="D259" t="s">
        <v>2805</v>
      </c>
      <c r="E259" t="s">
        <v>2806</v>
      </c>
      <c r="F259" t="str">
        <f>IF(Table2[[#This Row],[Date posted]]&lt; DATE(2015,9,18),"Before Crisis","During Crisis")</f>
        <v>During Crisis</v>
      </c>
      <c r="G259" s="27">
        <f t="shared" si="24"/>
        <v>42340</v>
      </c>
      <c r="H259" s="7" t="str">
        <f t="shared" si="25"/>
        <v>20:52:56</v>
      </c>
      <c r="I259" s="8" t="str">
        <f t="shared" si="26"/>
        <v>Evening</v>
      </c>
      <c r="J259" t="s">
        <v>2577</v>
      </c>
      <c r="K259" t="s">
        <v>2370</v>
      </c>
      <c r="L259" s="3">
        <v>0</v>
      </c>
      <c r="M259" s="3">
        <v>0</v>
      </c>
      <c r="N259">
        <v>2</v>
      </c>
      <c r="O259" s="4">
        <f t="shared" si="27"/>
        <v>2</v>
      </c>
      <c r="P259" s="5" t="str">
        <f t="shared" si="28"/>
        <v>Low engagement</v>
      </c>
      <c r="Q259" t="b">
        <v>0</v>
      </c>
      <c r="R259" t="b">
        <v>0</v>
      </c>
      <c r="S259" t="b">
        <v>0</v>
      </c>
      <c r="T259" s="24" t="str">
        <f t="shared" si="29"/>
        <v>Text only</v>
      </c>
    </row>
    <row r="260" spans="1:20" hidden="1" x14ac:dyDescent="0.2">
      <c r="A260" t="s">
        <v>2801</v>
      </c>
      <c r="B260" t="s">
        <v>2365</v>
      </c>
      <c r="C260" t="s">
        <v>2366</v>
      </c>
      <c r="D260" t="s">
        <v>2802</v>
      </c>
      <c r="E260" t="s">
        <v>2803</v>
      </c>
      <c r="F260" t="str">
        <f>IF(Table2[[#This Row],[Date posted]]&lt; DATE(2015,9,18),"Before Crisis","During Crisis")</f>
        <v>During Crisis</v>
      </c>
      <c r="G260" s="27">
        <f t="shared" si="24"/>
        <v>42340</v>
      </c>
      <c r="H260" s="7" t="str">
        <f t="shared" si="25"/>
        <v>21:24:53</v>
      </c>
      <c r="I260" s="8" t="str">
        <f t="shared" si="26"/>
        <v>Evening</v>
      </c>
      <c r="J260" t="s">
        <v>2370</v>
      </c>
      <c r="K260" t="s">
        <v>2370</v>
      </c>
      <c r="L260" s="3">
        <v>0</v>
      </c>
      <c r="M260" s="3">
        <v>0</v>
      </c>
      <c r="N260">
        <v>2</v>
      </c>
      <c r="O260" s="4">
        <f t="shared" si="27"/>
        <v>2</v>
      </c>
      <c r="P260" s="5" t="str">
        <f t="shared" si="28"/>
        <v>Low engagement</v>
      </c>
      <c r="Q260" t="b">
        <v>0</v>
      </c>
      <c r="R260" t="b">
        <v>0</v>
      </c>
      <c r="S260" t="b">
        <v>0</v>
      </c>
      <c r="T260" s="24" t="str">
        <f t="shared" si="29"/>
        <v>Text only</v>
      </c>
    </row>
    <row r="261" spans="1:20" hidden="1" x14ac:dyDescent="0.2">
      <c r="A261" t="s">
        <v>2798</v>
      </c>
      <c r="B261" t="s">
        <v>2365</v>
      </c>
      <c r="C261" t="s">
        <v>2366</v>
      </c>
      <c r="D261" t="s">
        <v>2799</v>
      </c>
      <c r="E261" t="s">
        <v>2800</v>
      </c>
      <c r="F261" t="str">
        <f>IF(Table2[[#This Row],[Date posted]]&lt; DATE(2015,9,18),"Before Crisis","During Crisis")</f>
        <v>During Crisis</v>
      </c>
      <c r="G261" s="27">
        <f t="shared" si="24"/>
        <v>42340</v>
      </c>
      <c r="H261" s="7" t="str">
        <f t="shared" si="25"/>
        <v>21:39:13</v>
      </c>
      <c r="I261" s="8" t="str">
        <f t="shared" si="26"/>
        <v>Evening</v>
      </c>
      <c r="J261" t="s">
        <v>2797</v>
      </c>
      <c r="K261" t="s">
        <v>2370</v>
      </c>
      <c r="L261" s="3">
        <v>0</v>
      </c>
      <c r="M261" s="3">
        <v>0</v>
      </c>
      <c r="N261">
        <v>2</v>
      </c>
      <c r="O261" s="4">
        <f t="shared" si="27"/>
        <v>2</v>
      </c>
      <c r="P261" s="5" t="str">
        <f t="shared" si="28"/>
        <v>Low engagement</v>
      </c>
      <c r="Q261" t="b">
        <v>0</v>
      </c>
      <c r="R261" t="b">
        <v>0</v>
      </c>
      <c r="S261" t="b">
        <v>0</v>
      </c>
      <c r="T261" s="24" t="str">
        <f t="shared" si="29"/>
        <v>Text only</v>
      </c>
    </row>
    <row r="262" spans="1:20" hidden="1" x14ac:dyDescent="0.2">
      <c r="A262" t="s">
        <v>2794</v>
      </c>
      <c r="B262" t="s">
        <v>2365</v>
      </c>
      <c r="C262" t="s">
        <v>2366</v>
      </c>
      <c r="D262" t="s">
        <v>2795</v>
      </c>
      <c r="E262" t="s">
        <v>2796</v>
      </c>
      <c r="F262" t="str">
        <f>IF(Table2[[#This Row],[Date posted]]&lt; DATE(2015,9,18),"Before Crisis","During Crisis")</f>
        <v>During Crisis</v>
      </c>
      <c r="G262" s="27">
        <f t="shared" si="24"/>
        <v>42340</v>
      </c>
      <c r="H262" s="7" t="str">
        <f t="shared" si="25"/>
        <v>21:53:29</v>
      </c>
      <c r="I262" s="8" t="str">
        <f t="shared" si="26"/>
        <v>Evening</v>
      </c>
      <c r="J262" t="s">
        <v>2797</v>
      </c>
      <c r="K262" t="s">
        <v>2370</v>
      </c>
      <c r="L262" s="3">
        <v>0</v>
      </c>
      <c r="M262" s="3">
        <v>0</v>
      </c>
      <c r="N262">
        <v>2</v>
      </c>
      <c r="O262" s="4">
        <f t="shared" si="27"/>
        <v>2</v>
      </c>
      <c r="P262" s="5" t="str">
        <f t="shared" si="28"/>
        <v>Low engagement</v>
      </c>
      <c r="Q262" t="b">
        <v>0</v>
      </c>
      <c r="R262" t="b">
        <v>0</v>
      </c>
      <c r="S262" t="b">
        <v>0</v>
      </c>
      <c r="T262" s="24" t="str">
        <f t="shared" si="29"/>
        <v>Text only</v>
      </c>
    </row>
    <row r="263" spans="1:20" hidden="1" x14ac:dyDescent="0.2">
      <c r="A263" t="s">
        <v>2775</v>
      </c>
      <c r="B263" t="s">
        <v>2365</v>
      </c>
      <c r="C263" t="s">
        <v>2366</v>
      </c>
      <c r="D263" t="s">
        <v>2776</v>
      </c>
      <c r="E263" t="s">
        <v>2777</v>
      </c>
      <c r="F263" t="str">
        <f>IF(Table2[[#This Row],[Date posted]]&lt; DATE(2015,9,18),"Before Crisis","During Crisis")</f>
        <v>During Crisis</v>
      </c>
      <c r="G263" s="27">
        <f t="shared" si="24"/>
        <v>42341</v>
      </c>
      <c r="H263" s="7" t="str">
        <f t="shared" si="25"/>
        <v>18:18:08</v>
      </c>
      <c r="I263" s="8" t="str">
        <f t="shared" si="26"/>
        <v>Evening</v>
      </c>
      <c r="J263" t="s">
        <v>2778</v>
      </c>
      <c r="K263" t="s">
        <v>2370</v>
      </c>
      <c r="L263" s="3">
        <v>0</v>
      </c>
      <c r="M263" s="3">
        <v>0</v>
      </c>
      <c r="N263">
        <v>2</v>
      </c>
      <c r="O263" s="4">
        <f t="shared" si="27"/>
        <v>2</v>
      </c>
      <c r="P263" s="5" t="str">
        <f t="shared" si="28"/>
        <v>Low engagement</v>
      </c>
      <c r="Q263" t="b">
        <v>0</v>
      </c>
      <c r="R263" t="b">
        <v>0</v>
      </c>
      <c r="S263" t="b">
        <v>0</v>
      </c>
      <c r="T263" s="24" t="str">
        <f t="shared" si="29"/>
        <v>Text only</v>
      </c>
    </row>
    <row r="264" spans="1:20" hidden="1" x14ac:dyDescent="0.2">
      <c r="A264" t="s">
        <v>2779</v>
      </c>
      <c r="B264" t="s">
        <v>2365</v>
      </c>
      <c r="C264" t="s">
        <v>2366</v>
      </c>
      <c r="D264" t="s">
        <v>2780</v>
      </c>
      <c r="E264" t="s">
        <v>2777</v>
      </c>
      <c r="F264" t="str">
        <f>IF(Table2[[#This Row],[Date posted]]&lt; DATE(2015,9,18),"Before Crisis","During Crisis")</f>
        <v>During Crisis</v>
      </c>
      <c r="G264" s="27">
        <f t="shared" si="24"/>
        <v>42341</v>
      </c>
      <c r="H264" s="7" t="str">
        <f t="shared" si="25"/>
        <v>18:18:08</v>
      </c>
      <c r="I264" s="8" t="str">
        <f t="shared" si="26"/>
        <v>Evening</v>
      </c>
      <c r="J264" t="s">
        <v>2778</v>
      </c>
      <c r="K264" t="s">
        <v>2370</v>
      </c>
      <c r="L264">
        <v>1</v>
      </c>
      <c r="M264" s="3">
        <v>0</v>
      </c>
      <c r="N264">
        <v>2</v>
      </c>
      <c r="O264" s="4">
        <f t="shared" si="27"/>
        <v>3</v>
      </c>
      <c r="P264" s="5" t="str">
        <f t="shared" si="28"/>
        <v>Low engagement</v>
      </c>
      <c r="Q264" t="b">
        <v>0</v>
      </c>
      <c r="R264" t="b">
        <v>0</v>
      </c>
      <c r="S264" t="b">
        <v>0</v>
      </c>
      <c r="T264" s="24" t="str">
        <f t="shared" si="29"/>
        <v>Text only</v>
      </c>
    </row>
    <row r="265" spans="1:20" hidden="1" x14ac:dyDescent="0.2">
      <c r="A265" t="s">
        <v>2771</v>
      </c>
      <c r="B265" t="s">
        <v>2365</v>
      </c>
      <c r="C265" t="s">
        <v>2366</v>
      </c>
      <c r="D265" t="s">
        <v>2772</v>
      </c>
      <c r="E265" t="s">
        <v>2773</v>
      </c>
      <c r="F265" t="str">
        <f>IF(Table2[[#This Row],[Date posted]]&lt; DATE(2015,9,18),"Before Crisis","During Crisis")</f>
        <v>During Crisis</v>
      </c>
      <c r="G265" s="27">
        <f t="shared" si="24"/>
        <v>42341</v>
      </c>
      <c r="H265" s="7" t="str">
        <f t="shared" si="25"/>
        <v>18:18:09</v>
      </c>
      <c r="I265" s="8" t="str">
        <f t="shared" si="26"/>
        <v>Evening</v>
      </c>
      <c r="J265" t="s">
        <v>2774</v>
      </c>
      <c r="K265" t="s">
        <v>2370</v>
      </c>
      <c r="L265">
        <v>1</v>
      </c>
      <c r="M265" s="3">
        <v>0</v>
      </c>
      <c r="N265">
        <v>2</v>
      </c>
      <c r="O265" s="4">
        <f t="shared" si="27"/>
        <v>3</v>
      </c>
      <c r="P265" s="5" t="str">
        <f t="shared" si="28"/>
        <v>Low engagement</v>
      </c>
      <c r="Q265" t="b">
        <v>0</v>
      </c>
      <c r="R265" t="b">
        <v>0</v>
      </c>
      <c r="S265" t="b">
        <v>0</v>
      </c>
      <c r="T265" s="24" t="str">
        <f t="shared" si="29"/>
        <v>Text only</v>
      </c>
    </row>
    <row r="266" spans="1:20" hidden="1" x14ac:dyDescent="0.2">
      <c r="A266" t="s">
        <v>2765</v>
      </c>
      <c r="B266" t="s">
        <v>2365</v>
      </c>
      <c r="C266" t="s">
        <v>2366</v>
      </c>
      <c r="D266" t="s">
        <v>2766</v>
      </c>
      <c r="E266" t="s">
        <v>2767</v>
      </c>
      <c r="F266" t="str">
        <f>IF(Table2[[#This Row],[Date posted]]&lt; DATE(2015,9,18),"Before Crisis","During Crisis")</f>
        <v>During Crisis</v>
      </c>
      <c r="G266" s="27">
        <f t="shared" si="24"/>
        <v>42341</v>
      </c>
      <c r="H266" s="7" t="str">
        <f t="shared" si="25"/>
        <v>22:33:25</v>
      </c>
      <c r="I266" s="8" t="str">
        <f t="shared" si="26"/>
        <v>Evening</v>
      </c>
      <c r="J266" t="s">
        <v>2768</v>
      </c>
      <c r="K266" t="s">
        <v>2370</v>
      </c>
      <c r="L266">
        <v>1</v>
      </c>
      <c r="M266" s="3">
        <v>0</v>
      </c>
      <c r="N266">
        <v>2</v>
      </c>
      <c r="O266" s="4">
        <f t="shared" si="27"/>
        <v>3</v>
      </c>
      <c r="P266" s="5" t="str">
        <f t="shared" si="28"/>
        <v>Low engagement</v>
      </c>
      <c r="Q266" t="b">
        <v>0</v>
      </c>
      <c r="R266" t="b">
        <v>0</v>
      </c>
      <c r="S266" t="b">
        <v>0</v>
      </c>
      <c r="T266" s="24" t="str">
        <f t="shared" si="29"/>
        <v>Text only</v>
      </c>
    </row>
    <row r="267" spans="1:20" hidden="1" x14ac:dyDescent="0.2">
      <c r="A267" t="s">
        <v>2769</v>
      </c>
      <c r="B267" t="s">
        <v>2365</v>
      </c>
      <c r="C267" t="s">
        <v>2366</v>
      </c>
      <c r="D267" t="s">
        <v>2770</v>
      </c>
      <c r="E267" t="s">
        <v>2767</v>
      </c>
      <c r="F267" t="str">
        <f>IF(Table2[[#This Row],[Date posted]]&lt; DATE(2015,9,18),"Before Crisis","During Crisis")</f>
        <v>During Crisis</v>
      </c>
      <c r="G267" s="27">
        <f t="shared" si="24"/>
        <v>42341</v>
      </c>
      <c r="H267" s="7" t="str">
        <f t="shared" si="25"/>
        <v>22:33:25</v>
      </c>
      <c r="I267" s="8" t="str">
        <f t="shared" si="26"/>
        <v>Evening</v>
      </c>
      <c r="J267" t="s">
        <v>2768</v>
      </c>
      <c r="K267" t="s">
        <v>2370</v>
      </c>
      <c r="L267">
        <v>1</v>
      </c>
      <c r="M267" s="3">
        <v>0</v>
      </c>
      <c r="N267">
        <v>2</v>
      </c>
      <c r="O267" s="4">
        <f t="shared" si="27"/>
        <v>3</v>
      </c>
      <c r="P267" s="5" t="str">
        <f t="shared" si="28"/>
        <v>Low engagement</v>
      </c>
      <c r="Q267" t="b">
        <v>0</v>
      </c>
      <c r="R267" t="b">
        <v>0</v>
      </c>
      <c r="S267" t="b">
        <v>0</v>
      </c>
      <c r="T267" s="24" t="str">
        <f t="shared" si="29"/>
        <v>Text only</v>
      </c>
    </row>
    <row r="268" spans="1:20" hidden="1" x14ac:dyDescent="0.2">
      <c r="A268" t="s">
        <v>2761</v>
      </c>
      <c r="B268" t="s">
        <v>2365</v>
      </c>
      <c r="C268" t="s">
        <v>2366</v>
      </c>
      <c r="D268" t="s">
        <v>2762</v>
      </c>
      <c r="E268" t="s">
        <v>2763</v>
      </c>
      <c r="F268" t="str">
        <f>IF(Table2[[#This Row],[Date posted]]&lt; DATE(2015,9,18),"Before Crisis","During Crisis")</f>
        <v>During Crisis</v>
      </c>
      <c r="G268" s="27">
        <f t="shared" si="24"/>
        <v>42341</v>
      </c>
      <c r="H268" s="7" t="str">
        <f t="shared" si="25"/>
        <v>22:43:31</v>
      </c>
      <c r="I268" s="8" t="str">
        <f t="shared" si="26"/>
        <v>Evening</v>
      </c>
      <c r="J268" t="s">
        <v>2764</v>
      </c>
      <c r="K268" t="s">
        <v>2370</v>
      </c>
      <c r="L268" s="3">
        <v>0</v>
      </c>
      <c r="M268" s="3">
        <v>0</v>
      </c>
      <c r="N268">
        <v>2</v>
      </c>
      <c r="O268" s="4">
        <f t="shared" si="27"/>
        <v>2</v>
      </c>
      <c r="P268" s="5" t="str">
        <f t="shared" si="28"/>
        <v>Low engagement</v>
      </c>
      <c r="Q268" t="b">
        <v>0</v>
      </c>
      <c r="R268" t="b">
        <v>0</v>
      </c>
      <c r="S268" t="b">
        <v>0</v>
      </c>
      <c r="T268" s="24" t="str">
        <f t="shared" si="29"/>
        <v>Text only</v>
      </c>
    </row>
    <row r="269" spans="1:20" hidden="1" x14ac:dyDescent="0.2">
      <c r="A269" t="s">
        <v>2754</v>
      </c>
      <c r="B269" t="s">
        <v>2365</v>
      </c>
      <c r="C269" t="s">
        <v>2366</v>
      </c>
      <c r="D269" t="s">
        <v>2755</v>
      </c>
      <c r="E269" t="s">
        <v>2756</v>
      </c>
      <c r="F269" t="str">
        <f>IF(Table2[[#This Row],[Date posted]]&lt; DATE(2015,9,18),"Before Crisis","During Crisis")</f>
        <v>During Crisis</v>
      </c>
      <c r="G269" s="27">
        <f t="shared" si="24"/>
        <v>42342</v>
      </c>
      <c r="H269" s="7" t="str">
        <f t="shared" si="25"/>
        <v>16:33:47</v>
      </c>
      <c r="I269" s="8" t="str">
        <f t="shared" si="26"/>
        <v>Afternoon</v>
      </c>
      <c r="J269" t="s">
        <v>2370</v>
      </c>
      <c r="K269" t="s">
        <v>2370</v>
      </c>
      <c r="L269" s="3">
        <v>0</v>
      </c>
      <c r="M269" s="3">
        <v>0</v>
      </c>
      <c r="N269">
        <v>2</v>
      </c>
      <c r="O269" s="4">
        <f t="shared" si="27"/>
        <v>2</v>
      </c>
      <c r="P269" s="5" t="str">
        <f t="shared" si="28"/>
        <v>Low engagement</v>
      </c>
      <c r="Q269" t="b">
        <v>0</v>
      </c>
      <c r="R269" t="b">
        <v>0</v>
      </c>
      <c r="S269" t="b">
        <v>0</v>
      </c>
      <c r="T269" s="24" t="str">
        <f t="shared" si="29"/>
        <v>Text only</v>
      </c>
    </row>
    <row r="270" spans="1:20" hidden="1" x14ac:dyDescent="0.2">
      <c r="A270" t="s">
        <v>2750</v>
      </c>
      <c r="B270" t="s">
        <v>2365</v>
      </c>
      <c r="C270" t="s">
        <v>2366</v>
      </c>
      <c r="D270" t="s">
        <v>2751</v>
      </c>
      <c r="E270" t="s">
        <v>2752</v>
      </c>
      <c r="F270" t="str">
        <f>IF(Table2[[#This Row],[Date posted]]&lt; DATE(2015,9,18),"Before Crisis","During Crisis")</f>
        <v>During Crisis</v>
      </c>
      <c r="G270" s="27">
        <f t="shared" si="24"/>
        <v>42342</v>
      </c>
      <c r="H270" s="7" t="str">
        <f t="shared" si="25"/>
        <v>16:33:48</v>
      </c>
      <c r="I270" s="8" t="str">
        <f t="shared" si="26"/>
        <v>Afternoon</v>
      </c>
      <c r="J270" t="s">
        <v>2753</v>
      </c>
      <c r="K270" t="s">
        <v>2370</v>
      </c>
      <c r="L270">
        <v>1</v>
      </c>
      <c r="M270">
        <v>1</v>
      </c>
      <c r="N270">
        <v>2</v>
      </c>
      <c r="O270" s="4">
        <f t="shared" si="27"/>
        <v>4</v>
      </c>
      <c r="P270" s="5" t="str">
        <f t="shared" si="28"/>
        <v>Low engagement</v>
      </c>
      <c r="Q270" t="b">
        <v>0</v>
      </c>
      <c r="R270" t="b">
        <v>0</v>
      </c>
      <c r="S270" t="b">
        <v>0</v>
      </c>
      <c r="T270" s="24" t="str">
        <f t="shared" si="29"/>
        <v>Text only</v>
      </c>
    </row>
    <row r="271" spans="1:20" hidden="1" x14ac:dyDescent="0.2">
      <c r="A271" t="s">
        <v>2744</v>
      </c>
      <c r="B271" t="s">
        <v>2365</v>
      </c>
      <c r="C271" t="s">
        <v>2366</v>
      </c>
      <c r="D271" t="s">
        <v>2745</v>
      </c>
      <c r="E271" t="s">
        <v>2746</v>
      </c>
      <c r="F271" t="str">
        <f>IF(Table2[[#This Row],[Date posted]]&lt; DATE(2015,9,18),"Before Crisis","During Crisis")</f>
        <v>During Crisis</v>
      </c>
      <c r="G271" s="27">
        <f t="shared" si="24"/>
        <v>42342</v>
      </c>
      <c r="H271" s="7" t="str">
        <f t="shared" si="25"/>
        <v>16:37:36</v>
      </c>
      <c r="I271" s="8" t="str">
        <f t="shared" si="26"/>
        <v>Afternoon</v>
      </c>
      <c r="J271" t="s">
        <v>2743</v>
      </c>
      <c r="K271" t="s">
        <v>2370</v>
      </c>
      <c r="L271" s="3">
        <v>0</v>
      </c>
      <c r="M271" s="3">
        <v>0</v>
      </c>
      <c r="N271">
        <v>2</v>
      </c>
      <c r="O271" s="4">
        <f t="shared" si="27"/>
        <v>2</v>
      </c>
      <c r="P271" s="5" t="str">
        <f t="shared" si="28"/>
        <v>Low engagement</v>
      </c>
      <c r="Q271" t="b">
        <v>0</v>
      </c>
      <c r="R271" t="b">
        <v>0</v>
      </c>
      <c r="S271" t="b">
        <v>0</v>
      </c>
      <c r="T271" s="24" t="str">
        <f t="shared" si="29"/>
        <v>Text only</v>
      </c>
    </row>
    <row r="272" spans="1:20" hidden="1" x14ac:dyDescent="0.2">
      <c r="A272" t="s">
        <v>2747</v>
      </c>
      <c r="B272" t="s">
        <v>2365</v>
      </c>
      <c r="C272" t="s">
        <v>2366</v>
      </c>
      <c r="D272" t="s">
        <v>2748</v>
      </c>
      <c r="E272" t="s">
        <v>2746</v>
      </c>
      <c r="F272" t="str">
        <f>IF(Table2[[#This Row],[Date posted]]&lt; DATE(2015,9,18),"Before Crisis","During Crisis")</f>
        <v>During Crisis</v>
      </c>
      <c r="G272" s="27">
        <f t="shared" si="24"/>
        <v>42342</v>
      </c>
      <c r="H272" s="7" t="str">
        <f t="shared" si="25"/>
        <v>16:37:36</v>
      </c>
      <c r="I272" s="8" t="str">
        <f t="shared" si="26"/>
        <v>Afternoon</v>
      </c>
      <c r="J272" t="s">
        <v>2749</v>
      </c>
      <c r="K272" t="s">
        <v>2370</v>
      </c>
      <c r="L272">
        <v>1</v>
      </c>
      <c r="M272" s="3">
        <v>0</v>
      </c>
      <c r="N272">
        <v>2</v>
      </c>
      <c r="O272" s="4">
        <f t="shared" si="27"/>
        <v>3</v>
      </c>
      <c r="P272" s="5" t="str">
        <f t="shared" si="28"/>
        <v>Low engagement</v>
      </c>
      <c r="Q272" t="b">
        <v>0</v>
      </c>
      <c r="R272" t="b">
        <v>0</v>
      </c>
      <c r="S272" t="b">
        <v>0</v>
      </c>
      <c r="T272" s="24" t="str">
        <f t="shared" si="29"/>
        <v>Text only</v>
      </c>
    </row>
    <row r="273" spans="1:20" hidden="1" x14ac:dyDescent="0.2">
      <c r="A273" t="s">
        <v>2740</v>
      </c>
      <c r="B273" t="s">
        <v>2365</v>
      </c>
      <c r="C273" t="s">
        <v>2366</v>
      </c>
      <c r="D273" t="s">
        <v>2741</v>
      </c>
      <c r="E273" t="s">
        <v>2742</v>
      </c>
      <c r="F273" t="str">
        <f>IF(Table2[[#This Row],[Date posted]]&lt; DATE(2015,9,18),"Before Crisis","During Crisis")</f>
        <v>During Crisis</v>
      </c>
      <c r="G273" s="27">
        <f t="shared" si="24"/>
        <v>42342</v>
      </c>
      <c r="H273" s="7" t="str">
        <f t="shared" si="25"/>
        <v>16:37:37</v>
      </c>
      <c r="I273" s="8" t="str">
        <f t="shared" si="26"/>
        <v>Afternoon</v>
      </c>
      <c r="J273" t="s">
        <v>2743</v>
      </c>
      <c r="K273" t="s">
        <v>2370</v>
      </c>
      <c r="L273" s="3">
        <v>0</v>
      </c>
      <c r="M273" s="3">
        <v>0</v>
      </c>
      <c r="N273">
        <v>2</v>
      </c>
      <c r="O273" s="4">
        <f t="shared" si="27"/>
        <v>2</v>
      </c>
      <c r="P273" s="5" t="str">
        <f t="shared" si="28"/>
        <v>Low engagement</v>
      </c>
      <c r="Q273" t="b">
        <v>0</v>
      </c>
      <c r="R273" t="b">
        <v>0</v>
      </c>
      <c r="S273" t="b">
        <v>1</v>
      </c>
      <c r="T273" s="24" t="str">
        <f t="shared" si="29"/>
        <v>Link</v>
      </c>
    </row>
    <row r="274" spans="1:20" hidden="1" x14ac:dyDescent="0.2">
      <c r="A274" t="s">
        <v>2736</v>
      </c>
      <c r="B274" t="s">
        <v>2365</v>
      </c>
      <c r="C274" t="s">
        <v>2366</v>
      </c>
      <c r="D274" t="s">
        <v>2737</v>
      </c>
      <c r="E274" t="s">
        <v>2738</v>
      </c>
      <c r="F274" t="str">
        <f>IF(Table2[[#This Row],[Date posted]]&lt; DATE(2015,9,18),"Before Crisis","During Crisis")</f>
        <v>During Crisis</v>
      </c>
      <c r="G274" s="27">
        <f t="shared" si="24"/>
        <v>42342</v>
      </c>
      <c r="H274" s="7" t="str">
        <f t="shared" si="25"/>
        <v>16:40:44</v>
      </c>
      <c r="I274" s="8" t="str">
        <f t="shared" si="26"/>
        <v>Afternoon</v>
      </c>
      <c r="J274" t="s">
        <v>2739</v>
      </c>
      <c r="K274" t="s">
        <v>2370</v>
      </c>
      <c r="L274" s="3">
        <v>0</v>
      </c>
      <c r="M274">
        <v>1</v>
      </c>
      <c r="N274">
        <v>2</v>
      </c>
      <c r="O274" s="4">
        <f t="shared" si="27"/>
        <v>3</v>
      </c>
      <c r="P274" s="5" t="str">
        <f t="shared" si="28"/>
        <v>Low engagement</v>
      </c>
      <c r="Q274" t="b">
        <v>0</v>
      </c>
      <c r="R274" t="b">
        <v>0</v>
      </c>
      <c r="S274" t="b">
        <v>1</v>
      </c>
      <c r="T274" s="24" t="str">
        <f t="shared" si="29"/>
        <v>Link</v>
      </c>
    </row>
    <row r="275" spans="1:20" hidden="1" x14ac:dyDescent="0.2">
      <c r="A275" t="s">
        <v>2732</v>
      </c>
      <c r="B275" t="s">
        <v>2365</v>
      </c>
      <c r="C275" t="s">
        <v>2366</v>
      </c>
      <c r="D275" t="s">
        <v>2733</v>
      </c>
      <c r="E275" t="s">
        <v>2734</v>
      </c>
      <c r="F275" t="str">
        <f>IF(Table2[[#This Row],[Date posted]]&lt; DATE(2015,9,18),"Before Crisis","During Crisis")</f>
        <v>During Crisis</v>
      </c>
      <c r="G275" s="27">
        <f t="shared" si="24"/>
        <v>42342</v>
      </c>
      <c r="H275" s="7" t="str">
        <f t="shared" si="25"/>
        <v>16:54:48</v>
      </c>
      <c r="I275" s="8" t="str">
        <f t="shared" si="26"/>
        <v>Afternoon</v>
      </c>
      <c r="J275" t="s">
        <v>2735</v>
      </c>
      <c r="K275" t="s">
        <v>2370</v>
      </c>
      <c r="L275" s="3">
        <v>0</v>
      </c>
      <c r="M275" s="3">
        <v>0</v>
      </c>
      <c r="N275">
        <v>2</v>
      </c>
      <c r="O275" s="4">
        <f t="shared" si="27"/>
        <v>2</v>
      </c>
      <c r="P275" s="5" t="str">
        <f t="shared" si="28"/>
        <v>Low engagement</v>
      </c>
      <c r="Q275" t="b">
        <v>0</v>
      </c>
      <c r="R275" t="b">
        <v>0</v>
      </c>
      <c r="S275" t="b">
        <v>0</v>
      </c>
      <c r="T275" s="24" t="str">
        <f t="shared" si="29"/>
        <v>Text only</v>
      </c>
    </row>
    <row r="276" spans="1:20" hidden="1" x14ac:dyDescent="0.2">
      <c r="A276" t="s">
        <v>2729</v>
      </c>
      <c r="B276" t="s">
        <v>2365</v>
      </c>
      <c r="C276" t="s">
        <v>2366</v>
      </c>
      <c r="D276" t="s">
        <v>2730</v>
      </c>
      <c r="E276" t="s">
        <v>2731</v>
      </c>
      <c r="F276" t="str">
        <f>IF(Table2[[#This Row],[Date posted]]&lt; DATE(2015,9,18),"Before Crisis","During Crisis")</f>
        <v>During Crisis</v>
      </c>
      <c r="G276" s="27">
        <f t="shared" si="24"/>
        <v>42342</v>
      </c>
      <c r="H276" s="7" t="str">
        <f t="shared" si="25"/>
        <v>19:04:43</v>
      </c>
      <c r="I276" s="8" t="str">
        <f t="shared" si="26"/>
        <v>Evening</v>
      </c>
      <c r="J276" t="s">
        <v>2370</v>
      </c>
      <c r="K276" t="s">
        <v>2370</v>
      </c>
      <c r="L276" s="3">
        <v>0</v>
      </c>
      <c r="M276" s="3">
        <v>0</v>
      </c>
      <c r="N276">
        <v>2</v>
      </c>
      <c r="O276" s="4">
        <f t="shared" si="27"/>
        <v>2</v>
      </c>
      <c r="P276" s="5" t="str">
        <f t="shared" si="28"/>
        <v>Low engagement</v>
      </c>
      <c r="Q276" t="b">
        <v>0</v>
      </c>
      <c r="R276" t="b">
        <v>0</v>
      </c>
      <c r="S276" t="b">
        <v>1</v>
      </c>
      <c r="T276" s="24" t="str">
        <f t="shared" si="29"/>
        <v>Link</v>
      </c>
    </row>
    <row r="277" spans="1:20" hidden="1" x14ac:dyDescent="0.2">
      <c r="A277" t="s">
        <v>2724</v>
      </c>
      <c r="B277" t="s">
        <v>2365</v>
      </c>
      <c r="C277" t="s">
        <v>2366</v>
      </c>
      <c r="D277" t="s">
        <v>2725</v>
      </c>
      <c r="E277" t="s">
        <v>2726</v>
      </c>
      <c r="F277" t="str">
        <f>IF(Table2[[#This Row],[Date posted]]&lt; DATE(2015,9,18),"Before Crisis","During Crisis")</f>
        <v>During Crisis</v>
      </c>
      <c r="G277" s="27">
        <f t="shared" si="24"/>
        <v>42342</v>
      </c>
      <c r="H277" s="7" t="str">
        <f t="shared" si="25"/>
        <v>22:19:27</v>
      </c>
      <c r="I277" s="8" t="str">
        <f t="shared" si="26"/>
        <v>Evening</v>
      </c>
      <c r="J277" t="s">
        <v>2723</v>
      </c>
      <c r="K277" t="s">
        <v>2370</v>
      </c>
      <c r="L277" s="3">
        <v>0</v>
      </c>
      <c r="M277" s="3">
        <v>0</v>
      </c>
      <c r="N277">
        <v>2</v>
      </c>
      <c r="O277" s="4">
        <f t="shared" si="27"/>
        <v>2</v>
      </c>
      <c r="P277" s="5" t="str">
        <f t="shared" si="28"/>
        <v>Low engagement</v>
      </c>
      <c r="Q277" t="b">
        <v>0</v>
      </c>
      <c r="R277" t="b">
        <v>0</v>
      </c>
      <c r="S277" t="b">
        <v>0</v>
      </c>
      <c r="T277" s="24" t="str">
        <f t="shared" si="29"/>
        <v>Text only</v>
      </c>
    </row>
    <row r="278" spans="1:20" hidden="1" x14ac:dyDescent="0.2">
      <c r="A278" t="s">
        <v>2727</v>
      </c>
      <c r="B278" t="s">
        <v>2365</v>
      </c>
      <c r="C278" t="s">
        <v>2366</v>
      </c>
      <c r="D278" t="s">
        <v>2728</v>
      </c>
      <c r="E278" t="s">
        <v>2726</v>
      </c>
      <c r="F278" t="str">
        <f>IF(Table2[[#This Row],[Date posted]]&lt; DATE(2015,9,18),"Before Crisis","During Crisis")</f>
        <v>During Crisis</v>
      </c>
      <c r="G278" s="27">
        <f t="shared" si="24"/>
        <v>42342</v>
      </c>
      <c r="H278" s="7" t="str">
        <f t="shared" si="25"/>
        <v>22:19:27</v>
      </c>
      <c r="I278" s="8" t="str">
        <f t="shared" si="26"/>
        <v>Evening</v>
      </c>
      <c r="J278" t="s">
        <v>2370</v>
      </c>
      <c r="K278" t="s">
        <v>2370</v>
      </c>
      <c r="L278" s="3">
        <v>0</v>
      </c>
      <c r="M278" s="3">
        <v>0</v>
      </c>
      <c r="N278">
        <v>2</v>
      </c>
      <c r="O278" s="4">
        <f t="shared" si="27"/>
        <v>2</v>
      </c>
      <c r="P278" s="5" t="str">
        <f t="shared" si="28"/>
        <v>Low engagement</v>
      </c>
      <c r="Q278" t="b">
        <v>0</v>
      </c>
      <c r="R278" t="b">
        <v>0</v>
      </c>
      <c r="S278" t="b">
        <v>0</v>
      </c>
      <c r="T278" s="24" t="str">
        <f t="shared" si="29"/>
        <v>Text only</v>
      </c>
    </row>
    <row r="279" spans="1:20" hidden="1" x14ac:dyDescent="0.2">
      <c r="A279" t="s">
        <v>2719</v>
      </c>
      <c r="B279" t="s">
        <v>2365</v>
      </c>
      <c r="C279" t="s">
        <v>2366</v>
      </c>
      <c r="D279" t="s">
        <v>2720</v>
      </c>
      <c r="E279" t="s">
        <v>2717</v>
      </c>
      <c r="F279" t="str">
        <f>IF(Table2[[#This Row],[Date posted]]&lt; DATE(2015,9,18),"Before Crisis","During Crisis")</f>
        <v>During Crisis</v>
      </c>
      <c r="G279" s="27">
        <f t="shared" si="24"/>
        <v>42342</v>
      </c>
      <c r="H279" s="7" t="str">
        <f t="shared" si="25"/>
        <v>22:19:28</v>
      </c>
      <c r="I279" s="8" t="str">
        <f t="shared" si="26"/>
        <v>Evening</v>
      </c>
      <c r="J279" t="s">
        <v>2718</v>
      </c>
      <c r="K279" t="s">
        <v>2370</v>
      </c>
      <c r="L279" s="3">
        <v>0</v>
      </c>
      <c r="M279" s="3">
        <v>0</v>
      </c>
      <c r="N279">
        <v>2</v>
      </c>
      <c r="O279" s="4">
        <f t="shared" si="27"/>
        <v>2</v>
      </c>
      <c r="P279" s="5" t="str">
        <f t="shared" si="28"/>
        <v>Low engagement</v>
      </c>
      <c r="Q279" t="b">
        <v>0</v>
      </c>
      <c r="R279" t="b">
        <v>0</v>
      </c>
      <c r="S279" t="b">
        <v>0</v>
      </c>
      <c r="T279" s="24" t="str">
        <f t="shared" si="29"/>
        <v>Text only</v>
      </c>
    </row>
    <row r="280" spans="1:20" hidden="1" x14ac:dyDescent="0.2">
      <c r="A280" t="s">
        <v>2721</v>
      </c>
      <c r="B280" t="s">
        <v>2365</v>
      </c>
      <c r="C280" t="s">
        <v>2366</v>
      </c>
      <c r="D280" t="s">
        <v>2722</v>
      </c>
      <c r="E280" t="s">
        <v>2717</v>
      </c>
      <c r="F280" t="str">
        <f>IF(Table2[[#This Row],[Date posted]]&lt; DATE(2015,9,18),"Before Crisis","During Crisis")</f>
        <v>During Crisis</v>
      </c>
      <c r="G280" s="27">
        <f t="shared" si="24"/>
        <v>42342</v>
      </c>
      <c r="H280" s="7" t="str">
        <f t="shared" si="25"/>
        <v>22:19:28</v>
      </c>
      <c r="I280" s="8" t="str">
        <f t="shared" si="26"/>
        <v>Evening</v>
      </c>
      <c r="J280" t="s">
        <v>2723</v>
      </c>
      <c r="K280" t="s">
        <v>2370</v>
      </c>
      <c r="L280" s="3">
        <v>0</v>
      </c>
      <c r="M280" s="3">
        <v>0</v>
      </c>
      <c r="N280">
        <v>2</v>
      </c>
      <c r="O280" s="4">
        <f t="shared" si="27"/>
        <v>2</v>
      </c>
      <c r="P280" s="5" t="str">
        <f t="shared" si="28"/>
        <v>Low engagement</v>
      </c>
      <c r="Q280" t="b">
        <v>0</v>
      </c>
      <c r="R280" t="b">
        <v>0</v>
      </c>
      <c r="S280" t="b">
        <v>0</v>
      </c>
      <c r="T280" s="24" t="str">
        <f t="shared" si="29"/>
        <v>Text only</v>
      </c>
    </row>
    <row r="281" spans="1:20" hidden="1" x14ac:dyDescent="0.2">
      <c r="A281" t="s">
        <v>2703</v>
      </c>
      <c r="B281" t="s">
        <v>2365</v>
      </c>
      <c r="C281" t="s">
        <v>2366</v>
      </c>
      <c r="D281" t="s">
        <v>2704</v>
      </c>
      <c r="E281" t="s">
        <v>2705</v>
      </c>
      <c r="F281" t="str">
        <f>IF(Table2[[#This Row],[Date posted]]&lt; DATE(2015,9,18),"Before Crisis","During Crisis")</f>
        <v>During Crisis</v>
      </c>
      <c r="G281" s="27">
        <f t="shared" si="24"/>
        <v>42345</v>
      </c>
      <c r="H281" s="7" t="str">
        <f t="shared" si="25"/>
        <v>16:36:56</v>
      </c>
      <c r="I281" s="8" t="str">
        <f t="shared" si="26"/>
        <v>Afternoon</v>
      </c>
      <c r="J281" t="s">
        <v>2706</v>
      </c>
      <c r="K281" t="s">
        <v>2370</v>
      </c>
      <c r="L281" s="3">
        <v>0</v>
      </c>
      <c r="M281" s="3">
        <v>0</v>
      </c>
      <c r="N281">
        <v>2</v>
      </c>
      <c r="O281" s="4">
        <f t="shared" si="27"/>
        <v>2</v>
      </c>
      <c r="P281" s="5" t="str">
        <f t="shared" si="28"/>
        <v>Low engagement</v>
      </c>
      <c r="Q281" t="b">
        <v>0</v>
      </c>
      <c r="R281" t="b">
        <v>0</v>
      </c>
      <c r="S281" t="b">
        <v>0</v>
      </c>
      <c r="T281" s="24" t="str">
        <f t="shared" si="29"/>
        <v>Text only</v>
      </c>
    </row>
    <row r="282" spans="1:20" hidden="1" x14ac:dyDescent="0.2">
      <c r="A282" t="s">
        <v>2675</v>
      </c>
      <c r="B282" t="s">
        <v>2365</v>
      </c>
      <c r="C282" t="s">
        <v>2366</v>
      </c>
      <c r="D282" t="s">
        <v>2676</v>
      </c>
      <c r="E282" t="s">
        <v>2677</v>
      </c>
      <c r="F282" t="str">
        <f>IF(Table2[[#This Row],[Date posted]]&lt; DATE(2015,9,18),"Before Crisis","During Crisis")</f>
        <v>During Crisis</v>
      </c>
      <c r="G282" s="27">
        <f t="shared" si="24"/>
        <v>42345</v>
      </c>
      <c r="H282" s="7" t="str">
        <f t="shared" si="25"/>
        <v>20:49:54</v>
      </c>
      <c r="I282" s="8" t="str">
        <f t="shared" si="26"/>
        <v>Evening</v>
      </c>
      <c r="J282" t="s">
        <v>2678</v>
      </c>
      <c r="K282" t="s">
        <v>2370</v>
      </c>
      <c r="L282" s="3">
        <v>0</v>
      </c>
      <c r="M282" s="3">
        <v>0</v>
      </c>
      <c r="N282">
        <v>2</v>
      </c>
      <c r="O282" s="4">
        <f t="shared" si="27"/>
        <v>2</v>
      </c>
      <c r="P282" s="5" t="str">
        <f t="shared" si="28"/>
        <v>Low engagement</v>
      </c>
      <c r="Q282" t="b">
        <v>0</v>
      </c>
      <c r="R282" t="b">
        <v>0</v>
      </c>
      <c r="S282" t="b">
        <v>0</v>
      </c>
      <c r="T282" s="24" t="str">
        <f t="shared" si="29"/>
        <v>Text only</v>
      </c>
    </row>
    <row r="283" spans="1:20" hidden="1" x14ac:dyDescent="0.2">
      <c r="A283" t="s">
        <v>2671</v>
      </c>
      <c r="B283" t="s">
        <v>2365</v>
      </c>
      <c r="C283" t="s">
        <v>2366</v>
      </c>
      <c r="D283" t="s">
        <v>2672</v>
      </c>
      <c r="E283" t="s">
        <v>2673</v>
      </c>
      <c r="F283" t="str">
        <f>IF(Table2[[#This Row],[Date posted]]&lt; DATE(2015,9,18),"Before Crisis","During Crisis")</f>
        <v>During Crisis</v>
      </c>
      <c r="G283" s="27">
        <f t="shared" si="24"/>
        <v>42345</v>
      </c>
      <c r="H283" s="7" t="str">
        <f t="shared" si="25"/>
        <v>21:32:10</v>
      </c>
      <c r="I283" s="8" t="str">
        <f t="shared" si="26"/>
        <v>Evening</v>
      </c>
      <c r="J283" t="s">
        <v>2674</v>
      </c>
      <c r="K283" t="s">
        <v>2370</v>
      </c>
      <c r="L283" s="3">
        <v>0</v>
      </c>
      <c r="M283" s="3">
        <v>0</v>
      </c>
      <c r="N283">
        <v>2</v>
      </c>
      <c r="O283" s="4">
        <f t="shared" si="27"/>
        <v>2</v>
      </c>
      <c r="P283" s="5" t="str">
        <f t="shared" si="28"/>
        <v>Low engagement</v>
      </c>
      <c r="Q283" t="b">
        <v>0</v>
      </c>
      <c r="R283" t="b">
        <v>0</v>
      </c>
      <c r="S283" t="b">
        <v>0</v>
      </c>
      <c r="T283" s="24" t="str">
        <f t="shared" si="29"/>
        <v>Text only</v>
      </c>
    </row>
    <row r="284" spans="1:20" hidden="1" x14ac:dyDescent="0.2">
      <c r="A284" t="s">
        <v>2663</v>
      </c>
      <c r="B284" t="s">
        <v>2365</v>
      </c>
      <c r="C284" t="s">
        <v>2366</v>
      </c>
      <c r="D284" t="s">
        <v>2664</v>
      </c>
      <c r="E284" t="s">
        <v>2665</v>
      </c>
      <c r="F284" t="str">
        <f>IF(Table2[[#This Row],[Date posted]]&lt; DATE(2015,9,18),"Before Crisis","During Crisis")</f>
        <v>During Crisis</v>
      </c>
      <c r="G284" s="27">
        <f t="shared" si="24"/>
        <v>42345</v>
      </c>
      <c r="H284" s="7" t="str">
        <f t="shared" si="25"/>
        <v>22:17:32</v>
      </c>
      <c r="I284" s="8" t="str">
        <f t="shared" si="26"/>
        <v>Evening</v>
      </c>
      <c r="J284" t="s">
        <v>2666</v>
      </c>
      <c r="K284" t="s">
        <v>2370</v>
      </c>
      <c r="L284" s="3">
        <v>0</v>
      </c>
      <c r="M284" s="3">
        <v>0</v>
      </c>
      <c r="N284">
        <v>2</v>
      </c>
      <c r="O284" s="4">
        <f t="shared" si="27"/>
        <v>2</v>
      </c>
      <c r="P284" s="5" t="str">
        <f t="shared" si="28"/>
        <v>Low engagement</v>
      </c>
      <c r="Q284" t="b">
        <v>0</v>
      </c>
      <c r="R284" t="b">
        <v>0</v>
      </c>
      <c r="S284" t="b">
        <v>0</v>
      </c>
      <c r="T284" s="24" t="str">
        <f t="shared" si="29"/>
        <v>Text only</v>
      </c>
    </row>
    <row r="285" spans="1:20" hidden="1" x14ac:dyDescent="0.2">
      <c r="A285" t="s">
        <v>2648</v>
      </c>
      <c r="B285" t="s">
        <v>2365</v>
      </c>
      <c r="C285" t="s">
        <v>2366</v>
      </c>
      <c r="D285" t="s">
        <v>2649</v>
      </c>
      <c r="E285" t="s">
        <v>2650</v>
      </c>
      <c r="F285" t="str">
        <f>IF(Table2[[#This Row],[Date posted]]&lt; DATE(2015,9,18),"Before Crisis","During Crisis")</f>
        <v>During Crisis</v>
      </c>
      <c r="G285" s="27">
        <f t="shared" si="24"/>
        <v>42346</v>
      </c>
      <c r="H285" s="7" t="str">
        <f t="shared" si="25"/>
        <v>17:10:39</v>
      </c>
      <c r="I285" s="8" t="str">
        <f t="shared" si="26"/>
        <v>Afternoon</v>
      </c>
      <c r="J285" t="s">
        <v>2370</v>
      </c>
      <c r="K285" t="s">
        <v>2370</v>
      </c>
      <c r="L285" s="3">
        <v>0</v>
      </c>
      <c r="M285" s="3">
        <v>0</v>
      </c>
      <c r="N285">
        <v>2</v>
      </c>
      <c r="O285" s="4">
        <f t="shared" si="27"/>
        <v>2</v>
      </c>
      <c r="P285" s="5" t="str">
        <f t="shared" si="28"/>
        <v>Low engagement</v>
      </c>
      <c r="Q285" t="b">
        <v>0</v>
      </c>
      <c r="R285" t="b">
        <v>0</v>
      </c>
      <c r="S285" t="b">
        <v>0</v>
      </c>
      <c r="T285" s="24" t="str">
        <f t="shared" si="29"/>
        <v>Text only</v>
      </c>
    </row>
    <row r="286" spans="1:20" hidden="1" x14ac:dyDescent="0.2">
      <c r="A286" t="s">
        <v>2644</v>
      </c>
      <c r="B286" t="s">
        <v>2365</v>
      </c>
      <c r="C286" t="s">
        <v>2366</v>
      </c>
      <c r="D286" t="s">
        <v>2645</v>
      </c>
      <c r="E286" t="s">
        <v>2646</v>
      </c>
      <c r="F286" t="str">
        <f>IF(Table2[[#This Row],[Date posted]]&lt; DATE(2015,9,18),"Before Crisis","During Crisis")</f>
        <v>During Crisis</v>
      </c>
      <c r="G286" s="27">
        <f t="shared" si="24"/>
        <v>42346</v>
      </c>
      <c r="H286" s="7" t="str">
        <f t="shared" si="25"/>
        <v>17:34:45</v>
      </c>
      <c r="I286" s="8" t="str">
        <f t="shared" si="26"/>
        <v>Afternoon</v>
      </c>
      <c r="J286" t="s">
        <v>2647</v>
      </c>
      <c r="K286" t="s">
        <v>2370</v>
      </c>
      <c r="L286" s="3">
        <v>0</v>
      </c>
      <c r="M286" s="3">
        <v>0</v>
      </c>
      <c r="N286">
        <v>2</v>
      </c>
      <c r="O286" s="4">
        <f t="shared" si="27"/>
        <v>2</v>
      </c>
      <c r="P286" s="5" t="str">
        <f t="shared" si="28"/>
        <v>Low engagement</v>
      </c>
      <c r="Q286" t="b">
        <v>0</v>
      </c>
      <c r="R286" t="b">
        <v>0</v>
      </c>
      <c r="S286" t="b">
        <v>0</v>
      </c>
      <c r="T286" s="24" t="str">
        <f t="shared" si="29"/>
        <v>Text only</v>
      </c>
    </row>
    <row r="287" spans="1:20" hidden="1" x14ac:dyDescent="0.2">
      <c r="A287" t="s">
        <v>2632</v>
      </c>
      <c r="B287" t="s">
        <v>2365</v>
      </c>
      <c r="C287" t="s">
        <v>2366</v>
      </c>
      <c r="D287" t="s">
        <v>2633</v>
      </c>
      <c r="E287" t="s">
        <v>2634</v>
      </c>
      <c r="F287" t="str">
        <f>IF(Table2[[#This Row],[Date posted]]&lt; DATE(2015,9,18),"Before Crisis","During Crisis")</f>
        <v>During Crisis</v>
      </c>
      <c r="G287" s="27">
        <f t="shared" si="24"/>
        <v>42346</v>
      </c>
      <c r="H287" s="7" t="str">
        <f t="shared" si="25"/>
        <v>22:17:38</v>
      </c>
      <c r="I287" s="8" t="str">
        <f t="shared" si="26"/>
        <v>Evening</v>
      </c>
      <c r="J287" t="s">
        <v>2635</v>
      </c>
      <c r="K287" t="s">
        <v>2370</v>
      </c>
      <c r="L287" s="3">
        <v>0</v>
      </c>
      <c r="M287" s="3">
        <v>0</v>
      </c>
      <c r="N287">
        <v>2</v>
      </c>
      <c r="O287" s="4">
        <f t="shared" si="27"/>
        <v>2</v>
      </c>
      <c r="P287" s="5" t="str">
        <f t="shared" si="28"/>
        <v>Low engagement</v>
      </c>
      <c r="Q287" t="b">
        <v>0</v>
      </c>
      <c r="R287" t="b">
        <v>0</v>
      </c>
      <c r="S287" t="b">
        <v>0</v>
      </c>
      <c r="T287" s="24" t="str">
        <f t="shared" si="29"/>
        <v>Text only</v>
      </c>
    </row>
    <row r="288" spans="1:20" hidden="1" x14ac:dyDescent="0.2">
      <c r="A288" t="s">
        <v>2629</v>
      </c>
      <c r="B288" t="s">
        <v>2365</v>
      </c>
      <c r="C288" t="s">
        <v>2366</v>
      </c>
      <c r="D288" t="s">
        <v>2630</v>
      </c>
      <c r="E288" t="s">
        <v>2631</v>
      </c>
      <c r="F288" t="str">
        <f>IF(Table2[[#This Row],[Date posted]]&lt; DATE(2015,9,18),"Before Crisis","During Crisis")</f>
        <v>During Crisis</v>
      </c>
      <c r="G288" s="27">
        <f t="shared" si="24"/>
        <v>42346</v>
      </c>
      <c r="H288" s="7" t="str">
        <f t="shared" si="25"/>
        <v>22:21:20</v>
      </c>
      <c r="I288" s="8" t="str">
        <f t="shared" si="26"/>
        <v>Evening</v>
      </c>
      <c r="J288" t="s">
        <v>2370</v>
      </c>
      <c r="K288" t="s">
        <v>2370</v>
      </c>
      <c r="L288" s="3">
        <v>0</v>
      </c>
      <c r="M288" s="3">
        <v>0</v>
      </c>
      <c r="N288">
        <v>2</v>
      </c>
      <c r="O288" s="4">
        <f t="shared" si="27"/>
        <v>2</v>
      </c>
      <c r="P288" s="5" t="str">
        <f t="shared" si="28"/>
        <v>Low engagement</v>
      </c>
      <c r="Q288" t="b">
        <v>0</v>
      </c>
      <c r="R288" t="b">
        <v>0</v>
      </c>
      <c r="S288" t="b">
        <v>0</v>
      </c>
      <c r="T288" s="24" t="str">
        <f t="shared" si="29"/>
        <v>Text only</v>
      </c>
    </row>
    <row r="289" spans="1:20" hidden="1" x14ac:dyDescent="0.2">
      <c r="A289" t="s">
        <v>2626</v>
      </c>
      <c r="B289" t="s">
        <v>2365</v>
      </c>
      <c r="C289" t="s">
        <v>2366</v>
      </c>
      <c r="D289" t="s">
        <v>2627</v>
      </c>
      <c r="E289" t="s">
        <v>2628</v>
      </c>
      <c r="F289" t="str">
        <f>IF(Table2[[#This Row],[Date posted]]&lt; DATE(2015,9,18),"Before Crisis","During Crisis")</f>
        <v>During Crisis</v>
      </c>
      <c r="G289" s="27">
        <f t="shared" si="24"/>
        <v>42346</v>
      </c>
      <c r="H289" s="7" t="str">
        <f t="shared" si="25"/>
        <v>22:21:21</v>
      </c>
      <c r="I289" s="8" t="str">
        <f t="shared" si="26"/>
        <v>Evening</v>
      </c>
      <c r="J289" t="s">
        <v>2625</v>
      </c>
      <c r="K289" t="s">
        <v>2370</v>
      </c>
      <c r="L289" s="3">
        <v>0</v>
      </c>
      <c r="M289" s="3">
        <v>0</v>
      </c>
      <c r="N289">
        <v>2</v>
      </c>
      <c r="O289" s="4">
        <f t="shared" si="27"/>
        <v>2</v>
      </c>
      <c r="P289" s="5" t="str">
        <f t="shared" si="28"/>
        <v>Low engagement</v>
      </c>
      <c r="Q289" t="b">
        <v>0</v>
      </c>
      <c r="R289" t="b">
        <v>0</v>
      </c>
      <c r="S289" t="b">
        <v>0</v>
      </c>
      <c r="T289" s="24" t="str">
        <f t="shared" si="29"/>
        <v>Text only</v>
      </c>
    </row>
    <row r="290" spans="1:20" hidden="1" x14ac:dyDescent="0.2">
      <c r="A290" t="s">
        <v>2622</v>
      </c>
      <c r="B290" t="s">
        <v>2365</v>
      </c>
      <c r="C290" t="s">
        <v>2366</v>
      </c>
      <c r="D290" t="s">
        <v>2623</v>
      </c>
      <c r="E290" t="s">
        <v>2624</v>
      </c>
      <c r="F290" t="str">
        <f>IF(Table2[[#This Row],[Date posted]]&lt; DATE(2015,9,18),"Before Crisis","During Crisis")</f>
        <v>During Crisis</v>
      </c>
      <c r="G290" s="27">
        <f t="shared" si="24"/>
        <v>42346</v>
      </c>
      <c r="H290" s="7" t="str">
        <f t="shared" si="25"/>
        <v>22:24:47</v>
      </c>
      <c r="I290" s="8" t="str">
        <f t="shared" si="26"/>
        <v>Evening</v>
      </c>
      <c r="J290" t="s">
        <v>2625</v>
      </c>
      <c r="K290" t="s">
        <v>2370</v>
      </c>
      <c r="L290" s="3">
        <v>0</v>
      </c>
      <c r="M290" s="3">
        <v>0</v>
      </c>
      <c r="N290">
        <v>2</v>
      </c>
      <c r="O290" s="4">
        <f t="shared" si="27"/>
        <v>2</v>
      </c>
      <c r="P290" s="5" t="str">
        <f t="shared" si="28"/>
        <v>Low engagement</v>
      </c>
      <c r="Q290" t="b">
        <v>0</v>
      </c>
      <c r="R290" t="b">
        <v>0</v>
      </c>
      <c r="S290" t="b">
        <v>0</v>
      </c>
      <c r="T290" s="24" t="str">
        <f t="shared" si="29"/>
        <v>Text only</v>
      </c>
    </row>
    <row r="291" spans="1:20" hidden="1" x14ac:dyDescent="0.2">
      <c r="A291" t="s">
        <v>2613</v>
      </c>
      <c r="B291" t="s">
        <v>2365</v>
      </c>
      <c r="C291" t="s">
        <v>2366</v>
      </c>
      <c r="D291" t="s">
        <v>2614</v>
      </c>
      <c r="E291" t="s">
        <v>2615</v>
      </c>
      <c r="F291" t="str">
        <f>IF(Table2[[#This Row],[Date posted]]&lt; DATE(2015,9,18),"Before Crisis","During Crisis")</f>
        <v>During Crisis</v>
      </c>
      <c r="G291" s="27">
        <f t="shared" si="24"/>
        <v>42347</v>
      </c>
      <c r="H291" s="7" t="str">
        <f t="shared" si="25"/>
        <v>18:20:22</v>
      </c>
      <c r="I291" s="8" t="str">
        <f t="shared" si="26"/>
        <v>Evening</v>
      </c>
      <c r="J291" t="s">
        <v>2370</v>
      </c>
      <c r="K291" t="s">
        <v>2370</v>
      </c>
      <c r="L291" s="3">
        <v>0</v>
      </c>
      <c r="M291" s="3">
        <v>0</v>
      </c>
      <c r="N291">
        <v>2</v>
      </c>
      <c r="O291" s="4">
        <f t="shared" si="27"/>
        <v>2</v>
      </c>
      <c r="P291" s="5" t="str">
        <f t="shared" si="28"/>
        <v>Low engagement</v>
      </c>
      <c r="Q291" t="b">
        <v>0</v>
      </c>
      <c r="R291" t="b">
        <v>0</v>
      </c>
      <c r="S291" t="b">
        <v>0</v>
      </c>
      <c r="T291" s="24" t="str">
        <f t="shared" si="29"/>
        <v>Text only</v>
      </c>
    </row>
    <row r="292" spans="1:20" hidden="1" x14ac:dyDescent="0.2">
      <c r="A292" t="s">
        <v>2616</v>
      </c>
      <c r="B292" t="s">
        <v>2365</v>
      </c>
      <c r="C292" t="s">
        <v>2366</v>
      </c>
      <c r="D292" t="s">
        <v>2617</v>
      </c>
      <c r="E292" t="s">
        <v>2615</v>
      </c>
      <c r="F292" t="str">
        <f>IF(Table2[[#This Row],[Date posted]]&lt; DATE(2015,9,18),"Before Crisis","During Crisis")</f>
        <v>During Crisis</v>
      </c>
      <c r="G292" s="27">
        <f t="shared" si="24"/>
        <v>42347</v>
      </c>
      <c r="H292" s="7" t="str">
        <f t="shared" si="25"/>
        <v>18:20:22</v>
      </c>
      <c r="I292" s="8" t="str">
        <f t="shared" si="26"/>
        <v>Evening</v>
      </c>
      <c r="J292" t="s">
        <v>2618</v>
      </c>
      <c r="K292" t="s">
        <v>2370</v>
      </c>
      <c r="L292" s="3">
        <v>0</v>
      </c>
      <c r="M292" s="3">
        <v>0</v>
      </c>
      <c r="N292">
        <v>2</v>
      </c>
      <c r="O292" s="4">
        <f t="shared" si="27"/>
        <v>2</v>
      </c>
      <c r="P292" s="5" t="str">
        <f t="shared" si="28"/>
        <v>Low engagement</v>
      </c>
      <c r="Q292" t="b">
        <v>0</v>
      </c>
      <c r="R292" t="b">
        <v>0</v>
      </c>
      <c r="S292" t="b">
        <v>0</v>
      </c>
      <c r="T292" s="24" t="str">
        <f t="shared" si="29"/>
        <v>Text only</v>
      </c>
    </row>
    <row r="293" spans="1:20" hidden="1" x14ac:dyDescent="0.2">
      <c r="A293" t="s">
        <v>2605</v>
      </c>
      <c r="B293" t="s">
        <v>2365</v>
      </c>
      <c r="C293" t="s">
        <v>2366</v>
      </c>
      <c r="D293" t="s">
        <v>2606</v>
      </c>
      <c r="E293" t="s">
        <v>2607</v>
      </c>
      <c r="F293" t="str">
        <f>IF(Table2[[#This Row],[Date posted]]&lt; DATE(2015,9,18),"Before Crisis","During Crisis")</f>
        <v>During Crisis</v>
      </c>
      <c r="G293" s="27">
        <f t="shared" si="24"/>
        <v>42347</v>
      </c>
      <c r="H293" s="7" t="str">
        <f t="shared" si="25"/>
        <v>19:37:29</v>
      </c>
      <c r="I293" s="8" t="str">
        <f t="shared" si="26"/>
        <v>Evening</v>
      </c>
      <c r="J293" t="s">
        <v>2608</v>
      </c>
      <c r="K293" t="s">
        <v>2370</v>
      </c>
      <c r="L293" s="3">
        <v>0</v>
      </c>
      <c r="M293" s="3">
        <v>0</v>
      </c>
      <c r="N293">
        <v>2</v>
      </c>
      <c r="O293" s="4">
        <f t="shared" si="27"/>
        <v>2</v>
      </c>
      <c r="P293" s="5" t="str">
        <f t="shared" si="28"/>
        <v>Low engagement</v>
      </c>
      <c r="Q293" t="b">
        <v>0</v>
      </c>
      <c r="R293" t="b">
        <v>0</v>
      </c>
      <c r="S293" t="b">
        <v>0</v>
      </c>
      <c r="T293" s="24" t="str">
        <f t="shared" si="29"/>
        <v>Text only</v>
      </c>
    </row>
    <row r="294" spans="1:20" hidden="1" x14ac:dyDescent="0.2">
      <c r="A294" t="s">
        <v>2601</v>
      </c>
      <c r="B294" t="s">
        <v>2365</v>
      </c>
      <c r="C294" t="s">
        <v>2366</v>
      </c>
      <c r="D294" t="s">
        <v>2602</v>
      </c>
      <c r="E294" t="s">
        <v>2603</v>
      </c>
      <c r="F294" t="str">
        <f>IF(Table2[[#This Row],[Date posted]]&lt; DATE(2015,9,18),"Before Crisis","During Crisis")</f>
        <v>During Crisis</v>
      </c>
      <c r="G294" s="27">
        <f t="shared" si="24"/>
        <v>42347</v>
      </c>
      <c r="H294" s="7" t="str">
        <f t="shared" si="25"/>
        <v>20:19:14</v>
      </c>
      <c r="I294" s="8" t="str">
        <f t="shared" si="26"/>
        <v>Evening</v>
      </c>
      <c r="J294" t="s">
        <v>2604</v>
      </c>
      <c r="K294" t="s">
        <v>2370</v>
      </c>
      <c r="L294" s="3">
        <v>0</v>
      </c>
      <c r="M294" s="3">
        <v>0</v>
      </c>
      <c r="N294">
        <v>2</v>
      </c>
      <c r="O294" s="4">
        <f t="shared" si="27"/>
        <v>2</v>
      </c>
      <c r="P294" s="5" t="str">
        <f t="shared" si="28"/>
        <v>Low engagement</v>
      </c>
      <c r="Q294" t="b">
        <v>0</v>
      </c>
      <c r="R294" t="b">
        <v>0</v>
      </c>
      <c r="S294" t="b">
        <v>0</v>
      </c>
      <c r="T294" s="24" t="str">
        <f t="shared" si="29"/>
        <v>Text only</v>
      </c>
    </row>
    <row r="295" spans="1:20" hidden="1" x14ac:dyDescent="0.2">
      <c r="A295" t="s">
        <v>2598</v>
      </c>
      <c r="B295" t="s">
        <v>2365</v>
      </c>
      <c r="C295" t="s">
        <v>2366</v>
      </c>
      <c r="D295" t="s">
        <v>2599</v>
      </c>
      <c r="E295" t="s">
        <v>2600</v>
      </c>
      <c r="F295" t="str">
        <f>IF(Table2[[#This Row],[Date posted]]&lt; DATE(2015,9,18),"Before Crisis","During Crisis")</f>
        <v>During Crisis</v>
      </c>
      <c r="G295" s="27">
        <f t="shared" si="24"/>
        <v>42347</v>
      </c>
      <c r="H295" s="7" t="str">
        <f t="shared" si="25"/>
        <v>21:35:43</v>
      </c>
      <c r="I295" s="8" t="str">
        <f t="shared" si="26"/>
        <v>Evening</v>
      </c>
      <c r="J295" t="s">
        <v>2597</v>
      </c>
      <c r="K295" t="s">
        <v>2370</v>
      </c>
      <c r="L295">
        <v>1</v>
      </c>
      <c r="M295" s="3">
        <v>0</v>
      </c>
      <c r="N295">
        <v>2</v>
      </c>
      <c r="O295" s="4">
        <f t="shared" si="27"/>
        <v>3</v>
      </c>
      <c r="P295" s="5" t="str">
        <f t="shared" si="28"/>
        <v>Low engagement</v>
      </c>
      <c r="Q295" t="b">
        <v>0</v>
      </c>
      <c r="R295" t="b">
        <v>0</v>
      </c>
      <c r="S295" t="b">
        <v>0</v>
      </c>
      <c r="T295" s="24" t="str">
        <f t="shared" si="29"/>
        <v>Text only</v>
      </c>
    </row>
    <row r="296" spans="1:20" hidden="1" x14ac:dyDescent="0.2">
      <c r="A296" t="s">
        <v>2594</v>
      </c>
      <c r="B296" t="s">
        <v>2365</v>
      </c>
      <c r="C296" t="s">
        <v>2366</v>
      </c>
      <c r="D296" t="s">
        <v>2595</v>
      </c>
      <c r="E296" t="s">
        <v>2596</v>
      </c>
      <c r="F296" t="str">
        <f>IF(Table2[[#This Row],[Date posted]]&lt; DATE(2015,9,18),"Before Crisis","During Crisis")</f>
        <v>During Crisis</v>
      </c>
      <c r="G296" s="27">
        <f t="shared" si="24"/>
        <v>42347</v>
      </c>
      <c r="H296" s="7" t="str">
        <f t="shared" si="25"/>
        <v>21:56:37</v>
      </c>
      <c r="I296" s="8" t="str">
        <f t="shared" si="26"/>
        <v>Evening</v>
      </c>
      <c r="J296" t="s">
        <v>2597</v>
      </c>
      <c r="K296" t="s">
        <v>2370</v>
      </c>
      <c r="L296" s="3">
        <v>0</v>
      </c>
      <c r="M296" s="3">
        <v>0</v>
      </c>
      <c r="N296">
        <v>2</v>
      </c>
      <c r="O296" s="4">
        <f t="shared" si="27"/>
        <v>2</v>
      </c>
      <c r="P296" s="5" t="str">
        <f t="shared" si="28"/>
        <v>Low engagement</v>
      </c>
      <c r="Q296" t="b">
        <v>0</v>
      </c>
      <c r="R296" t="b">
        <v>0</v>
      </c>
      <c r="S296" t="b">
        <v>0</v>
      </c>
      <c r="T296" s="24" t="str">
        <f t="shared" si="29"/>
        <v>Text only</v>
      </c>
    </row>
    <row r="297" spans="1:20" hidden="1" x14ac:dyDescent="0.2">
      <c r="A297" t="s">
        <v>2588</v>
      </c>
      <c r="B297" t="s">
        <v>2365</v>
      </c>
      <c r="C297" t="s">
        <v>2366</v>
      </c>
      <c r="D297" t="s">
        <v>2589</v>
      </c>
      <c r="E297" t="s">
        <v>2590</v>
      </c>
      <c r="F297" t="str">
        <f>IF(Table2[[#This Row],[Date posted]]&lt; DATE(2015,9,18),"Before Crisis","During Crisis")</f>
        <v>During Crisis</v>
      </c>
      <c r="G297" s="27">
        <f t="shared" si="24"/>
        <v>42347</v>
      </c>
      <c r="H297" s="7" t="str">
        <f t="shared" si="25"/>
        <v>22:00:05</v>
      </c>
      <c r="I297" s="8" t="str">
        <f t="shared" si="26"/>
        <v>Evening</v>
      </c>
      <c r="J297" t="s">
        <v>2587</v>
      </c>
      <c r="K297" t="s">
        <v>2370</v>
      </c>
      <c r="L297" s="3">
        <v>0</v>
      </c>
      <c r="M297" s="3">
        <v>0</v>
      </c>
      <c r="N297">
        <v>2</v>
      </c>
      <c r="O297" s="4">
        <f t="shared" si="27"/>
        <v>2</v>
      </c>
      <c r="P297" s="5" t="str">
        <f t="shared" si="28"/>
        <v>Low engagement</v>
      </c>
      <c r="Q297" t="b">
        <v>0</v>
      </c>
      <c r="R297" t="b">
        <v>0</v>
      </c>
      <c r="S297" t="b">
        <v>0</v>
      </c>
      <c r="T297" s="24" t="str">
        <f t="shared" si="29"/>
        <v>Text only</v>
      </c>
    </row>
    <row r="298" spans="1:20" hidden="1" x14ac:dyDescent="0.2">
      <c r="A298" t="s">
        <v>2591</v>
      </c>
      <c r="B298" t="s">
        <v>2365</v>
      </c>
      <c r="C298" t="s">
        <v>2366</v>
      </c>
      <c r="D298" t="s">
        <v>2592</v>
      </c>
      <c r="E298" t="s">
        <v>2590</v>
      </c>
      <c r="F298" t="str">
        <f>IF(Table2[[#This Row],[Date posted]]&lt; DATE(2015,9,18),"Before Crisis","During Crisis")</f>
        <v>During Crisis</v>
      </c>
      <c r="G298" s="27">
        <f t="shared" si="24"/>
        <v>42347</v>
      </c>
      <c r="H298" s="7" t="str">
        <f t="shared" si="25"/>
        <v>22:00:05</v>
      </c>
      <c r="I298" s="8" t="str">
        <f t="shared" si="26"/>
        <v>Evening</v>
      </c>
      <c r="J298" t="s">
        <v>2593</v>
      </c>
      <c r="K298" t="s">
        <v>2370</v>
      </c>
      <c r="L298" s="3">
        <v>0</v>
      </c>
      <c r="M298" s="3">
        <v>0</v>
      </c>
      <c r="N298">
        <v>2</v>
      </c>
      <c r="O298" s="4">
        <f t="shared" si="27"/>
        <v>2</v>
      </c>
      <c r="P298" s="5" t="str">
        <f t="shared" si="28"/>
        <v>Low engagement</v>
      </c>
      <c r="Q298" t="b">
        <v>0</v>
      </c>
      <c r="R298" t="b">
        <v>0</v>
      </c>
      <c r="S298" t="b">
        <v>1</v>
      </c>
      <c r="T298" s="24" t="str">
        <f t="shared" si="29"/>
        <v>Link</v>
      </c>
    </row>
    <row r="299" spans="1:20" hidden="1" x14ac:dyDescent="0.2">
      <c r="A299" t="s">
        <v>2584</v>
      </c>
      <c r="B299" t="s">
        <v>2365</v>
      </c>
      <c r="C299" t="s">
        <v>2366</v>
      </c>
      <c r="D299" t="s">
        <v>2585</v>
      </c>
      <c r="E299" t="s">
        <v>2586</v>
      </c>
      <c r="F299" t="str">
        <f>IF(Table2[[#This Row],[Date posted]]&lt; DATE(2015,9,18),"Before Crisis","During Crisis")</f>
        <v>During Crisis</v>
      </c>
      <c r="G299" s="27">
        <f t="shared" si="24"/>
        <v>42347</v>
      </c>
      <c r="H299" s="7" t="str">
        <f t="shared" si="25"/>
        <v>22:03:27</v>
      </c>
      <c r="I299" s="8" t="str">
        <f t="shared" si="26"/>
        <v>Evening</v>
      </c>
      <c r="J299" t="s">
        <v>2587</v>
      </c>
      <c r="K299" t="s">
        <v>2370</v>
      </c>
      <c r="L299" s="3">
        <v>0</v>
      </c>
      <c r="M299">
        <v>1</v>
      </c>
      <c r="N299">
        <v>2</v>
      </c>
      <c r="O299" s="4">
        <f t="shared" si="27"/>
        <v>3</v>
      </c>
      <c r="P299" s="5" t="str">
        <f t="shared" si="28"/>
        <v>Low engagement</v>
      </c>
      <c r="Q299" t="b">
        <v>0</v>
      </c>
      <c r="R299" t="b">
        <v>0</v>
      </c>
      <c r="S299" t="b">
        <v>0</v>
      </c>
      <c r="T299" s="24" t="str">
        <f t="shared" si="29"/>
        <v>Text only</v>
      </c>
    </row>
    <row r="300" spans="1:20" hidden="1" x14ac:dyDescent="0.2">
      <c r="A300" t="s">
        <v>2581</v>
      </c>
      <c r="B300" t="s">
        <v>2365</v>
      </c>
      <c r="C300" t="s">
        <v>2366</v>
      </c>
      <c r="D300" t="s">
        <v>2582</v>
      </c>
      <c r="E300" t="s">
        <v>2583</v>
      </c>
      <c r="F300" t="str">
        <f>IF(Table2[[#This Row],[Date posted]]&lt; DATE(2015,9,18),"Before Crisis","During Crisis")</f>
        <v>During Crisis</v>
      </c>
      <c r="G300" s="27">
        <f t="shared" si="24"/>
        <v>42347</v>
      </c>
      <c r="H300" s="7" t="str">
        <f t="shared" si="25"/>
        <v>22:31:07</v>
      </c>
      <c r="I300" s="8" t="str">
        <f t="shared" si="26"/>
        <v>Evening</v>
      </c>
      <c r="J300" t="s">
        <v>2370</v>
      </c>
      <c r="K300" t="s">
        <v>2370</v>
      </c>
      <c r="L300" s="3">
        <v>0</v>
      </c>
      <c r="M300" s="3">
        <v>0</v>
      </c>
      <c r="N300">
        <v>2</v>
      </c>
      <c r="O300" s="4">
        <f t="shared" si="27"/>
        <v>2</v>
      </c>
      <c r="P300" s="5" t="str">
        <f t="shared" si="28"/>
        <v>Low engagement</v>
      </c>
      <c r="Q300" t="b">
        <v>0</v>
      </c>
      <c r="R300" t="b">
        <v>0</v>
      </c>
      <c r="S300" t="b">
        <v>0</v>
      </c>
      <c r="T300" s="24" t="str">
        <f t="shared" si="29"/>
        <v>Text only</v>
      </c>
    </row>
    <row r="301" spans="1:20" hidden="1" x14ac:dyDescent="0.2">
      <c r="A301" t="s">
        <v>2572</v>
      </c>
      <c r="B301" t="s">
        <v>2365</v>
      </c>
      <c r="C301" t="s">
        <v>2366</v>
      </c>
      <c r="D301" t="s">
        <v>2573</v>
      </c>
      <c r="E301" t="s">
        <v>2574</v>
      </c>
      <c r="F301" t="str">
        <f>IF(Table2[[#This Row],[Date posted]]&lt; DATE(2015,9,18),"Before Crisis","During Crisis")</f>
        <v>During Crisis</v>
      </c>
      <c r="G301" s="27">
        <f t="shared" si="24"/>
        <v>42348</v>
      </c>
      <c r="H301" s="7" t="str">
        <f t="shared" si="25"/>
        <v>16:30:07</v>
      </c>
      <c r="I301" s="8" t="str">
        <f t="shared" si="26"/>
        <v>Afternoon</v>
      </c>
      <c r="J301" t="s">
        <v>2370</v>
      </c>
      <c r="K301" t="s">
        <v>2370</v>
      </c>
      <c r="L301" s="3">
        <v>0</v>
      </c>
      <c r="M301" s="3">
        <v>0</v>
      </c>
      <c r="N301">
        <v>2</v>
      </c>
      <c r="O301" s="4">
        <f t="shared" si="27"/>
        <v>2</v>
      </c>
      <c r="P301" s="5" t="str">
        <f t="shared" si="28"/>
        <v>Low engagement</v>
      </c>
      <c r="Q301" t="b">
        <v>0</v>
      </c>
      <c r="R301" t="b">
        <v>0</v>
      </c>
      <c r="S301" t="b">
        <v>0</v>
      </c>
      <c r="T301" s="24" t="str">
        <f t="shared" si="29"/>
        <v>Text only</v>
      </c>
    </row>
    <row r="302" spans="1:20" hidden="1" x14ac:dyDescent="0.2">
      <c r="A302" t="s">
        <v>2575</v>
      </c>
      <c r="B302" t="s">
        <v>2365</v>
      </c>
      <c r="C302" t="s">
        <v>2366</v>
      </c>
      <c r="D302" t="s">
        <v>2576</v>
      </c>
      <c r="E302" t="s">
        <v>2574</v>
      </c>
      <c r="F302" t="str">
        <f>IF(Table2[[#This Row],[Date posted]]&lt; DATE(2015,9,18),"Before Crisis","During Crisis")</f>
        <v>During Crisis</v>
      </c>
      <c r="G302" s="27">
        <f t="shared" si="24"/>
        <v>42348</v>
      </c>
      <c r="H302" s="7" t="str">
        <f t="shared" si="25"/>
        <v>16:30:07</v>
      </c>
      <c r="I302" s="8" t="str">
        <f t="shared" si="26"/>
        <v>Afternoon</v>
      </c>
      <c r="J302" t="s">
        <v>2577</v>
      </c>
      <c r="K302" t="s">
        <v>2370</v>
      </c>
      <c r="L302" s="3">
        <v>0</v>
      </c>
      <c r="M302" s="3">
        <v>0</v>
      </c>
      <c r="N302">
        <v>2</v>
      </c>
      <c r="O302" s="4">
        <f t="shared" si="27"/>
        <v>2</v>
      </c>
      <c r="P302" s="5" t="str">
        <f t="shared" si="28"/>
        <v>Low engagement</v>
      </c>
      <c r="Q302" t="b">
        <v>0</v>
      </c>
      <c r="R302" t="b">
        <v>0</v>
      </c>
      <c r="S302" t="b">
        <v>0</v>
      </c>
      <c r="T302" s="24" t="str">
        <f t="shared" si="29"/>
        <v>Text only</v>
      </c>
    </row>
    <row r="303" spans="1:20" hidden="1" x14ac:dyDescent="0.2">
      <c r="A303" t="s">
        <v>2578</v>
      </c>
      <c r="B303" t="s">
        <v>2365</v>
      </c>
      <c r="C303" t="s">
        <v>2366</v>
      </c>
      <c r="D303" t="s">
        <v>2579</v>
      </c>
      <c r="E303" t="s">
        <v>2574</v>
      </c>
      <c r="F303" t="str">
        <f>IF(Table2[[#This Row],[Date posted]]&lt; DATE(2015,9,18),"Before Crisis","During Crisis")</f>
        <v>During Crisis</v>
      </c>
      <c r="G303" s="27">
        <f t="shared" si="24"/>
        <v>42348</v>
      </c>
      <c r="H303" s="7" t="str">
        <f t="shared" si="25"/>
        <v>16:30:07</v>
      </c>
      <c r="I303" s="8" t="str">
        <f t="shared" si="26"/>
        <v>Afternoon</v>
      </c>
      <c r="J303" t="s">
        <v>2580</v>
      </c>
      <c r="K303" t="s">
        <v>2370</v>
      </c>
      <c r="L303" s="3">
        <v>0</v>
      </c>
      <c r="M303" s="3">
        <v>0</v>
      </c>
      <c r="N303">
        <v>2</v>
      </c>
      <c r="O303" s="4">
        <f t="shared" si="27"/>
        <v>2</v>
      </c>
      <c r="P303" s="5" t="str">
        <f t="shared" si="28"/>
        <v>Low engagement</v>
      </c>
      <c r="Q303" t="b">
        <v>0</v>
      </c>
      <c r="R303" t="b">
        <v>0</v>
      </c>
      <c r="S303" t="b">
        <v>0</v>
      </c>
      <c r="T303" s="24" t="str">
        <f t="shared" si="29"/>
        <v>Text only</v>
      </c>
    </row>
    <row r="304" spans="1:20" hidden="1" x14ac:dyDescent="0.2">
      <c r="A304" t="s">
        <v>2569</v>
      </c>
      <c r="B304" t="s">
        <v>2365</v>
      </c>
      <c r="C304" t="s">
        <v>2366</v>
      </c>
      <c r="D304" t="s">
        <v>2570</v>
      </c>
      <c r="E304" t="s">
        <v>2571</v>
      </c>
      <c r="F304" t="str">
        <f>IF(Table2[[#This Row],[Date posted]]&lt; DATE(2015,9,18),"Before Crisis","During Crisis")</f>
        <v>During Crisis</v>
      </c>
      <c r="G304" s="27">
        <f t="shared" si="24"/>
        <v>42348</v>
      </c>
      <c r="H304" s="7" t="str">
        <f t="shared" si="25"/>
        <v>16:54:59</v>
      </c>
      <c r="I304" s="8" t="str">
        <f t="shared" si="26"/>
        <v>Afternoon</v>
      </c>
      <c r="J304" t="s">
        <v>2370</v>
      </c>
      <c r="K304" t="s">
        <v>2370</v>
      </c>
      <c r="L304" s="3">
        <v>0</v>
      </c>
      <c r="M304" s="3">
        <v>0</v>
      </c>
      <c r="N304">
        <v>2</v>
      </c>
      <c r="O304" s="4">
        <f t="shared" si="27"/>
        <v>2</v>
      </c>
      <c r="P304" s="5" t="str">
        <f t="shared" si="28"/>
        <v>Low engagement</v>
      </c>
      <c r="Q304" t="b">
        <v>0</v>
      </c>
      <c r="R304" t="b">
        <v>0</v>
      </c>
      <c r="S304" t="b">
        <v>0</v>
      </c>
      <c r="T304" s="24" t="str">
        <f t="shared" si="29"/>
        <v>Text only</v>
      </c>
    </row>
    <row r="305" spans="1:20" hidden="1" x14ac:dyDescent="0.2">
      <c r="A305" t="s">
        <v>2566</v>
      </c>
      <c r="B305" t="s">
        <v>2365</v>
      </c>
      <c r="C305" t="s">
        <v>2366</v>
      </c>
      <c r="D305" t="s">
        <v>2567</v>
      </c>
      <c r="E305" t="s">
        <v>2568</v>
      </c>
      <c r="F305" t="str">
        <f>IF(Table2[[#This Row],[Date posted]]&lt; DATE(2015,9,18),"Before Crisis","During Crisis")</f>
        <v>During Crisis</v>
      </c>
      <c r="G305" s="27">
        <f t="shared" si="24"/>
        <v>42348</v>
      </c>
      <c r="H305" s="7" t="str">
        <f t="shared" si="25"/>
        <v>17:37:20</v>
      </c>
      <c r="I305" s="8" t="str">
        <f t="shared" si="26"/>
        <v>Afternoon</v>
      </c>
      <c r="J305" t="s">
        <v>2565</v>
      </c>
      <c r="K305" t="s">
        <v>2370</v>
      </c>
      <c r="L305" s="3">
        <v>0</v>
      </c>
      <c r="M305" s="3">
        <v>0</v>
      </c>
      <c r="N305">
        <v>2</v>
      </c>
      <c r="O305" s="4">
        <f t="shared" si="27"/>
        <v>2</v>
      </c>
      <c r="P305" s="5" t="str">
        <f t="shared" si="28"/>
        <v>Low engagement</v>
      </c>
      <c r="Q305" t="b">
        <v>0</v>
      </c>
      <c r="R305" t="b">
        <v>0</v>
      </c>
      <c r="S305" t="b">
        <v>0</v>
      </c>
      <c r="T305" s="24" t="str">
        <f t="shared" si="29"/>
        <v>Text only</v>
      </c>
    </row>
    <row r="306" spans="1:20" hidden="1" x14ac:dyDescent="0.2">
      <c r="A306" t="s">
        <v>2554</v>
      </c>
      <c r="B306" t="s">
        <v>2365</v>
      </c>
      <c r="C306" t="s">
        <v>2366</v>
      </c>
      <c r="D306" t="s">
        <v>2555</v>
      </c>
      <c r="E306" t="s">
        <v>2556</v>
      </c>
      <c r="F306" t="str">
        <f>IF(Table2[[#This Row],[Date posted]]&lt; DATE(2015,9,18),"Before Crisis","During Crisis")</f>
        <v>During Crisis</v>
      </c>
      <c r="G306" s="27">
        <f t="shared" si="24"/>
        <v>42348</v>
      </c>
      <c r="H306" s="7" t="str">
        <f t="shared" si="25"/>
        <v>18:36:54</v>
      </c>
      <c r="I306" s="8" t="str">
        <f t="shared" si="26"/>
        <v>Evening</v>
      </c>
      <c r="J306" t="s">
        <v>2557</v>
      </c>
      <c r="K306" t="s">
        <v>2370</v>
      </c>
      <c r="L306" s="3">
        <v>0</v>
      </c>
      <c r="M306" s="3">
        <v>0</v>
      </c>
      <c r="N306">
        <v>2</v>
      </c>
      <c r="O306" s="4">
        <f t="shared" si="27"/>
        <v>2</v>
      </c>
      <c r="P306" s="5" t="str">
        <f t="shared" si="28"/>
        <v>Low engagement</v>
      </c>
      <c r="Q306" t="b">
        <v>0</v>
      </c>
      <c r="R306" t="b">
        <v>0</v>
      </c>
      <c r="S306" t="b">
        <v>0</v>
      </c>
      <c r="T306" s="24" t="str">
        <f t="shared" si="29"/>
        <v>Text only</v>
      </c>
    </row>
    <row r="307" spans="1:20" hidden="1" x14ac:dyDescent="0.2">
      <c r="A307" t="s">
        <v>2551</v>
      </c>
      <c r="B307" t="s">
        <v>2365</v>
      </c>
      <c r="C307" t="s">
        <v>2366</v>
      </c>
      <c r="D307" t="s">
        <v>2552</v>
      </c>
      <c r="E307" t="s">
        <v>2553</v>
      </c>
      <c r="F307" t="str">
        <f>IF(Table2[[#This Row],[Date posted]]&lt; DATE(2015,9,18),"Before Crisis","During Crisis")</f>
        <v>During Crisis</v>
      </c>
      <c r="G307" s="27">
        <f t="shared" si="24"/>
        <v>42348</v>
      </c>
      <c r="H307" s="7" t="str">
        <f t="shared" si="25"/>
        <v>22:30:42</v>
      </c>
      <c r="I307" s="8" t="str">
        <f t="shared" si="26"/>
        <v>Evening</v>
      </c>
      <c r="J307" t="s">
        <v>2550</v>
      </c>
      <c r="K307" t="s">
        <v>2370</v>
      </c>
      <c r="L307" s="3">
        <v>0</v>
      </c>
      <c r="M307" s="3">
        <v>0</v>
      </c>
      <c r="N307">
        <v>2</v>
      </c>
      <c r="O307" s="4">
        <f t="shared" si="27"/>
        <v>2</v>
      </c>
      <c r="P307" s="5" t="str">
        <f t="shared" si="28"/>
        <v>Low engagement</v>
      </c>
      <c r="Q307" t="b">
        <v>0</v>
      </c>
      <c r="R307" t="b">
        <v>0</v>
      </c>
      <c r="S307" t="b">
        <v>0</v>
      </c>
      <c r="T307" s="24" t="str">
        <f t="shared" si="29"/>
        <v>Text only</v>
      </c>
    </row>
    <row r="308" spans="1:20" hidden="1" x14ac:dyDescent="0.2">
      <c r="A308" t="s">
        <v>2547</v>
      </c>
      <c r="B308" t="s">
        <v>2365</v>
      </c>
      <c r="C308" t="s">
        <v>2366</v>
      </c>
      <c r="D308" t="s">
        <v>2548</v>
      </c>
      <c r="E308" t="s">
        <v>2549</v>
      </c>
      <c r="F308" t="str">
        <f>IF(Table2[[#This Row],[Date posted]]&lt; DATE(2015,9,18),"Before Crisis","During Crisis")</f>
        <v>During Crisis</v>
      </c>
      <c r="G308" s="27">
        <f t="shared" si="24"/>
        <v>42348</v>
      </c>
      <c r="H308" s="7" t="str">
        <f t="shared" si="25"/>
        <v>22:38:08</v>
      </c>
      <c r="I308" s="8" t="str">
        <f t="shared" si="26"/>
        <v>Evening</v>
      </c>
      <c r="J308" t="s">
        <v>2550</v>
      </c>
      <c r="K308" t="s">
        <v>2370</v>
      </c>
      <c r="L308" s="3">
        <v>0</v>
      </c>
      <c r="M308" s="3">
        <v>0</v>
      </c>
      <c r="N308">
        <v>2</v>
      </c>
      <c r="O308" s="4">
        <f t="shared" si="27"/>
        <v>2</v>
      </c>
      <c r="P308" s="5" t="str">
        <f t="shared" si="28"/>
        <v>Low engagement</v>
      </c>
      <c r="Q308" t="b">
        <v>0</v>
      </c>
      <c r="R308" t="b">
        <v>0</v>
      </c>
      <c r="S308" t="b">
        <v>0</v>
      </c>
      <c r="T308" s="24" t="str">
        <f t="shared" si="29"/>
        <v>Text only</v>
      </c>
    </row>
    <row r="309" spans="1:20" hidden="1" x14ac:dyDescent="0.2">
      <c r="A309" t="s">
        <v>2543</v>
      </c>
      <c r="B309" t="s">
        <v>2365</v>
      </c>
      <c r="C309" t="s">
        <v>2366</v>
      </c>
      <c r="D309" t="s">
        <v>2544</v>
      </c>
      <c r="E309" t="s">
        <v>2545</v>
      </c>
      <c r="F309" t="str">
        <f>IF(Table2[[#This Row],[Date posted]]&lt; DATE(2015,9,18),"Before Crisis","During Crisis")</f>
        <v>During Crisis</v>
      </c>
      <c r="G309" s="27">
        <f t="shared" si="24"/>
        <v>42348</v>
      </c>
      <c r="H309" s="7" t="str">
        <f t="shared" si="25"/>
        <v>22:38:09</v>
      </c>
      <c r="I309" s="8" t="str">
        <f t="shared" si="26"/>
        <v>Evening</v>
      </c>
      <c r="J309" t="s">
        <v>2546</v>
      </c>
      <c r="K309" t="s">
        <v>2370</v>
      </c>
      <c r="L309" s="3">
        <v>0</v>
      </c>
      <c r="M309" s="3">
        <v>0</v>
      </c>
      <c r="N309">
        <v>2</v>
      </c>
      <c r="O309" s="4">
        <f t="shared" si="27"/>
        <v>2</v>
      </c>
      <c r="P309" s="5" t="str">
        <f t="shared" si="28"/>
        <v>Low engagement</v>
      </c>
      <c r="Q309" t="b">
        <v>0</v>
      </c>
      <c r="R309" t="b">
        <v>0</v>
      </c>
      <c r="S309" t="b">
        <v>0</v>
      </c>
      <c r="T309" s="24" t="str">
        <f t="shared" si="29"/>
        <v>Text only</v>
      </c>
    </row>
    <row r="310" spans="1:20" hidden="1" x14ac:dyDescent="0.2">
      <c r="A310" t="s">
        <v>2540</v>
      </c>
      <c r="B310" t="s">
        <v>2365</v>
      </c>
      <c r="C310" t="s">
        <v>2366</v>
      </c>
      <c r="D310" t="s">
        <v>2541</v>
      </c>
      <c r="E310" t="s">
        <v>2542</v>
      </c>
      <c r="F310" t="str">
        <f>IF(Table2[[#This Row],[Date posted]]&lt; DATE(2015,9,18),"Before Crisis","During Crisis")</f>
        <v>During Crisis</v>
      </c>
      <c r="G310" s="27">
        <f t="shared" si="24"/>
        <v>42349</v>
      </c>
      <c r="H310" s="7" t="str">
        <f t="shared" si="25"/>
        <v>18:42:30</v>
      </c>
      <c r="I310" s="8" t="str">
        <f t="shared" si="26"/>
        <v>Evening</v>
      </c>
      <c r="J310" t="s">
        <v>2370</v>
      </c>
      <c r="K310" t="s">
        <v>2370</v>
      </c>
      <c r="L310" s="3">
        <v>0</v>
      </c>
      <c r="M310" s="3">
        <v>0</v>
      </c>
      <c r="N310">
        <v>2</v>
      </c>
      <c r="O310" s="4">
        <f t="shared" si="27"/>
        <v>2</v>
      </c>
      <c r="P310" s="5" t="str">
        <f t="shared" si="28"/>
        <v>Low engagement</v>
      </c>
      <c r="Q310" t="b">
        <v>0</v>
      </c>
      <c r="R310" t="b">
        <v>0</v>
      </c>
      <c r="S310" t="b">
        <v>1</v>
      </c>
      <c r="T310" s="24" t="str">
        <f t="shared" si="29"/>
        <v>Link</v>
      </c>
    </row>
    <row r="311" spans="1:20" hidden="1" x14ac:dyDescent="0.2">
      <c r="A311" t="s">
        <v>2532</v>
      </c>
      <c r="B311" t="s">
        <v>2365</v>
      </c>
      <c r="C311" t="s">
        <v>2366</v>
      </c>
      <c r="D311" t="s">
        <v>2533</v>
      </c>
      <c r="E311" t="s">
        <v>2534</v>
      </c>
      <c r="F311" t="str">
        <f>IF(Table2[[#This Row],[Date posted]]&lt; DATE(2015,9,18),"Before Crisis","During Crisis")</f>
        <v>During Crisis</v>
      </c>
      <c r="G311" s="27">
        <f t="shared" si="24"/>
        <v>42349</v>
      </c>
      <c r="H311" s="7" t="str">
        <f t="shared" si="25"/>
        <v>20:46:02</v>
      </c>
      <c r="I311" s="8" t="str">
        <f t="shared" si="26"/>
        <v>Evening</v>
      </c>
      <c r="J311" t="s">
        <v>2535</v>
      </c>
      <c r="K311" t="s">
        <v>2370</v>
      </c>
      <c r="L311" s="3">
        <v>0</v>
      </c>
      <c r="M311">
        <v>1</v>
      </c>
      <c r="N311">
        <v>2</v>
      </c>
      <c r="O311" s="4">
        <f t="shared" si="27"/>
        <v>3</v>
      </c>
      <c r="P311" s="5" t="str">
        <f t="shared" si="28"/>
        <v>Low engagement</v>
      </c>
      <c r="Q311" t="b">
        <v>0</v>
      </c>
      <c r="R311" t="b">
        <v>0</v>
      </c>
      <c r="S311" t="b">
        <v>0</v>
      </c>
      <c r="T311" s="24" t="str">
        <f t="shared" si="29"/>
        <v>Text only</v>
      </c>
    </row>
    <row r="312" spans="1:20" hidden="1" x14ac:dyDescent="0.2">
      <c r="A312" t="s">
        <v>2487</v>
      </c>
      <c r="B312" t="s">
        <v>2365</v>
      </c>
      <c r="C312" t="s">
        <v>2366</v>
      </c>
      <c r="D312" t="s">
        <v>2488</v>
      </c>
      <c r="E312" t="s">
        <v>2489</v>
      </c>
      <c r="F312" t="str">
        <f>IF(Table2[[#This Row],[Date posted]]&lt; DATE(2015,9,18),"Before Crisis","During Crisis")</f>
        <v>During Crisis</v>
      </c>
      <c r="G312" s="27">
        <f t="shared" si="24"/>
        <v>42352</v>
      </c>
      <c r="H312" s="7" t="str">
        <f t="shared" si="25"/>
        <v>22:14:36</v>
      </c>
      <c r="I312" s="8" t="str">
        <f t="shared" si="26"/>
        <v>Evening</v>
      </c>
      <c r="J312" t="s">
        <v>2370</v>
      </c>
      <c r="K312" t="s">
        <v>2370</v>
      </c>
      <c r="L312" s="3">
        <v>0</v>
      </c>
      <c r="M312" s="3">
        <v>0</v>
      </c>
      <c r="N312">
        <v>2</v>
      </c>
      <c r="O312" s="4">
        <f t="shared" si="27"/>
        <v>2</v>
      </c>
      <c r="P312" s="5" t="str">
        <f t="shared" si="28"/>
        <v>Low engagement</v>
      </c>
      <c r="Q312" t="b">
        <v>0</v>
      </c>
      <c r="R312" t="b">
        <v>0</v>
      </c>
      <c r="S312" t="b">
        <v>0</v>
      </c>
      <c r="T312" s="24" t="str">
        <f t="shared" si="29"/>
        <v>Text only</v>
      </c>
    </row>
    <row r="313" spans="1:20" hidden="1" x14ac:dyDescent="0.2">
      <c r="A313" t="s">
        <v>7276</v>
      </c>
      <c r="B313" t="s">
        <v>2365</v>
      </c>
      <c r="C313" t="s">
        <v>2366</v>
      </c>
      <c r="D313" t="s">
        <v>7277</v>
      </c>
      <c r="E313" t="s">
        <v>7278</v>
      </c>
      <c r="F313" t="str">
        <f>IF(Table2[[#This Row],[Date posted]]&lt; DATE(2015,9,18),"Before Crisis","During Crisis")</f>
        <v>Before Crisis</v>
      </c>
      <c r="G313" s="27">
        <f t="shared" si="24"/>
        <v>42173</v>
      </c>
      <c r="H313" s="7" t="str">
        <f t="shared" si="25"/>
        <v>18:43:47</v>
      </c>
      <c r="I313" s="8" t="str">
        <f t="shared" si="26"/>
        <v>Evening</v>
      </c>
      <c r="J313" t="s">
        <v>7279</v>
      </c>
      <c r="K313" t="s">
        <v>2370</v>
      </c>
      <c r="L313">
        <v>1</v>
      </c>
      <c r="M313" s="3">
        <v>0</v>
      </c>
      <c r="N313">
        <v>1</v>
      </c>
      <c r="O313" s="4">
        <f t="shared" si="27"/>
        <v>2</v>
      </c>
      <c r="P313" s="5" t="str">
        <f t="shared" si="28"/>
        <v>Low engagement</v>
      </c>
      <c r="Q313" t="b">
        <v>0</v>
      </c>
      <c r="R313" t="b">
        <v>0</v>
      </c>
      <c r="S313" t="b">
        <v>0</v>
      </c>
      <c r="T313" s="24" t="str">
        <f t="shared" si="29"/>
        <v>Text only</v>
      </c>
    </row>
    <row r="314" spans="1:20" hidden="1" x14ac:dyDescent="0.2">
      <c r="A314" t="s">
        <v>7273</v>
      </c>
      <c r="B314" t="s">
        <v>2365</v>
      </c>
      <c r="C314" t="s">
        <v>2366</v>
      </c>
      <c r="D314" t="s">
        <v>7274</v>
      </c>
      <c r="E314" t="s">
        <v>7275</v>
      </c>
      <c r="F314" t="str">
        <f>IF(Table2[[#This Row],[Date posted]]&lt; DATE(2015,9,18),"Before Crisis","During Crisis")</f>
        <v>Before Crisis</v>
      </c>
      <c r="G314" s="27">
        <f t="shared" si="24"/>
        <v>42173</v>
      </c>
      <c r="H314" s="7" t="str">
        <f t="shared" si="25"/>
        <v>21:31:06</v>
      </c>
      <c r="I314" s="8" t="str">
        <f t="shared" si="26"/>
        <v>Evening</v>
      </c>
      <c r="J314" t="s">
        <v>2370</v>
      </c>
      <c r="K314" t="s">
        <v>2370</v>
      </c>
      <c r="L314">
        <v>2</v>
      </c>
      <c r="M314">
        <v>1</v>
      </c>
      <c r="N314">
        <v>1</v>
      </c>
      <c r="O314" s="4">
        <f t="shared" si="27"/>
        <v>4</v>
      </c>
      <c r="P314" s="5" t="str">
        <f t="shared" si="28"/>
        <v>Low engagement</v>
      </c>
      <c r="Q314" t="b">
        <v>0</v>
      </c>
      <c r="R314" t="b">
        <v>0</v>
      </c>
      <c r="S314" t="b">
        <v>0</v>
      </c>
      <c r="T314" s="24" t="str">
        <f t="shared" si="29"/>
        <v>Text only</v>
      </c>
    </row>
    <row r="315" spans="1:20" x14ac:dyDescent="0.2">
      <c r="A315" t="s">
        <v>7226</v>
      </c>
      <c r="B315" t="s">
        <v>2365</v>
      </c>
      <c r="C315" t="s">
        <v>2366</v>
      </c>
      <c r="D315" t="s">
        <v>7227</v>
      </c>
      <c r="E315" t="s">
        <v>7228</v>
      </c>
      <c r="F315" t="str">
        <f>IF(Table2[[#This Row],[Date posted]]&lt; DATE(2015,9,18),"Before Crisis","During Crisis")</f>
        <v>Before Crisis</v>
      </c>
      <c r="G315" s="27">
        <f t="shared" si="24"/>
        <v>42175</v>
      </c>
      <c r="H315" s="7" t="str">
        <f t="shared" si="25"/>
        <v>00:58:59</v>
      </c>
      <c r="I315" s="8" t="str">
        <f t="shared" si="26"/>
        <v>Early morning</v>
      </c>
      <c r="J315" t="s">
        <v>7229</v>
      </c>
      <c r="K315" t="s">
        <v>2370</v>
      </c>
      <c r="L315" s="3">
        <v>0</v>
      </c>
      <c r="M315" s="3">
        <v>0</v>
      </c>
      <c r="N315">
        <v>1</v>
      </c>
      <c r="O315" s="4">
        <f t="shared" si="27"/>
        <v>1</v>
      </c>
      <c r="P315" s="5" t="str">
        <f t="shared" si="28"/>
        <v>Low engagement</v>
      </c>
      <c r="Q315" t="b">
        <v>0</v>
      </c>
      <c r="R315" t="b">
        <v>0</v>
      </c>
      <c r="S315" t="b">
        <v>0</v>
      </c>
      <c r="T315" s="24" t="str">
        <f t="shared" si="29"/>
        <v>Text only</v>
      </c>
    </row>
    <row r="316" spans="1:20" x14ac:dyDescent="0.2">
      <c r="A316" t="s">
        <v>7222</v>
      </c>
      <c r="B316" t="s">
        <v>2365</v>
      </c>
      <c r="C316" t="s">
        <v>2366</v>
      </c>
      <c r="D316" t="s">
        <v>7223</v>
      </c>
      <c r="E316" t="s">
        <v>7224</v>
      </c>
      <c r="F316" t="str">
        <f>IF(Table2[[#This Row],[Date posted]]&lt; DATE(2015,9,18),"Before Crisis","During Crisis")</f>
        <v>Before Crisis</v>
      </c>
      <c r="G316" s="27">
        <f t="shared" si="24"/>
        <v>42175</v>
      </c>
      <c r="H316" s="7" t="str">
        <f t="shared" si="25"/>
        <v>01:06:09</v>
      </c>
      <c r="I316" s="8" t="str">
        <f t="shared" si="26"/>
        <v>Early morning</v>
      </c>
      <c r="J316" t="s">
        <v>7225</v>
      </c>
      <c r="K316" t="s">
        <v>2370</v>
      </c>
      <c r="L316" s="3">
        <v>0</v>
      </c>
      <c r="M316" s="3">
        <v>0</v>
      </c>
      <c r="N316">
        <v>1</v>
      </c>
      <c r="O316" s="4">
        <f t="shared" si="27"/>
        <v>1</v>
      </c>
      <c r="P316" s="5" t="str">
        <f t="shared" si="28"/>
        <v>Low engagement</v>
      </c>
      <c r="Q316" t="b">
        <v>0</v>
      </c>
      <c r="R316" t="b">
        <v>0</v>
      </c>
      <c r="S316" t="b">
        <v>0</v>
      </c>
      <c r="T316" s="24" t="str">
        <f t="shared" si="29"/>
        <v>Text only</v>
      </c>
    </row>
    <row r="317" spans="1:20" hidden="1" x14ac:dyDescent="0.2">
      <c r="A317" t="s">
        <v>7207</v>
      </c>
      <c r="B317" t="s">
        <v>2365</v>
      </c>
      <c r="C317" t="s">
        <v>2366</v>
      </c>
      <c r="D317" t="s">
        <v>7208</v>
      </c>
      <c r="E317" t="s">
        <v>7209</v>
      </c>
      <c r="F317" t="str">
        <f>IF(Table2[[#This Row],[Date posted]]&lt; DATE(2015,9,18),"Before Crisis","During Crisis")</f>
        <v>Before Crisis</v>
      </c>
      <c r="G317" s="27">
        <f t="shared" si="24"/>
        <v>42175</v>
      </c>
      <c r="H317" s="7" t="str">
        <f t="shared" si="25"/>
        <v>16:21:53</v>
      </c>
      <c r="I317" s="8" t="str">
        <f t="shared" si="26"/>
        <v>Afternoon</v>
      </c>
      <c r="J317" t="s">
        <v>2370</v>
      </c>
      <c r="K317" t="s">
        <v>2370</v>
      </c>
      <c r="L317">
        <v>9</v>
      </c>
      <c r="M317" s="3">
        <v>0</v>
      </c>
      <c r="N317">
        <v>1</v>
      </c>
      <c r="O317" s="4">
        <f t="shared" si="27"/>
        <v>10</v>
      </c>
      <c r="P317" s="5" t="str">
        <f t="shared" si="28"/>
        <v>High engagement</v>
      </c>
      <c r="Q317" t="b">
        <v>1</v>
      </c>
      <c r="R317" t="b">
        <v>0</v>
      </c>
      <c r="S317" t="b">
        <v>0</v>
      </c>
      <c r="T317" s="24" t="str">
        <f t="shared" si="29"/>
        <v>Photo</v>
      </c>
    </row>
    <row r="318" spans="1:20" hidden="1" x14ac:dyDescent="0.2">
      <c r="A318" t="s">
        <v>7115</v>
      </c>
      <c r="B318" t="s">
        <v>2365</v>
      </c>
      <c r="C318" t="s">
        <v>2366</v>
      </c>
      <c r="D318" t="s">
        <v>7116</v>
      </c>
      <c r="E318" t="s">
        <v>7117</v>
      </c>
      <c r="F318" t="str">
        <f>IF(Table2[[#This Row],[Date posted]]&lt; DATE(2015,9,18),"Before Crisis","During Crisis")</f>
        <v>Before Crisis</v>
      </c>
      <c r="G318" s="27">
        <f t="shared" si="24"/>
        <v>42177</v>
      </c>
      <c r="H318" s="7" t="str">
        <f t="shared" si="25"/>
        <v>19:28:28</v>
      </c>
      <c r="I318" s="8" t="str">
        <f t="shared" si="26"/>
        <v>Evening</v>
      </c>
      <c r="J318" t="s">
        <v>7118</v>
      </c>
      <c r="K318" t="s">
        <v>2370</v>
      </c>
      <c r="L318">
        <v>1</v>
      </c>
      <c r="M318" s="3">
        <v>0</v>
      </c>
      <c r="N318">
        <v>1</v>
      </c>
      <c r="O318" s="4">
        <f t="shared" si="27"/>
        <v>2</v>
      </c>
      <c r="P318" s="5" t="str">
        <f t="shared" si="28"/>
        <v>Low engagement</v>
      </c>
      <c r="Q318" t="b">
        <v>0</v>
      </c>
      <c r="R318" t="b">
        <v>0</v>
      </c>
      <c r="S318" t="b">
        <v>0</v>
      </c>
      <c r="T318" s="24" t="str">
        <f t="shared" si="29"/>
        <v>Text only</v>
      </c>
    </row>
    <row r="319" spans="1:20" hidden="1" x14ac:dyDescent="0.2">
      <c r="A319" t="s">
        <v>7119</v>
      </c>
      <c r="B319" t="s">
        <v>2365</v>
      </c>
      <c r="C319" t="s">
        <v>2366</v>
      </c>
      <c r="D319" t="s">
        <v>7120</v>
      </c>
      <c r="E319" t="s">
        <v>7117</v>
      </c>
      <c r="F319" t="str">
        <f>IF(Table2[[#This Row],[Date posted]]&lt; DATE(2015,9,18),"Before Crisis","During Crisis")</f>
        <v>Before Crisis</v>
      </c>
      <c r="G319" s="27">
        <f t="shared" si="24"/>
        <v>42177</v>
      </c>
      <c r="H319" s="7" t="str">
        <f t="shared" si="25"/>
        <v>19:28:28</v>
      </c>
      <c r="I319" s="8" t="str">
        <f t="shared" si="26"/>
        <v>Evening</v>
      </c>
      <c r="J319" t="s">
        <v>7118</v>
      </c>
      <c r="K319" t="s">
        <v>2370</v>
      </c>
      <c r="L319">
        <v>1</v>
      </c>
      <c r="M319" s="3">
        <v>0</v>
      </c>
      <c r="N319">
        <v>1</v>
      </c>
      <c r="O319" s="4">
        <f t="shared" si="27"/>
        <v>2</v>
      </c>
      <c r="P319" s="5" t="str">
        <f t="shared" si="28"/>
        <v>Low engagement</v>
      </c>
      <c r="Q319" t="b">
        <v>0</v>
      </c>
      <c r="R319" t="b">
        <v>0</v>
      </c>
      <c r="S319" t="b">
        <v>0</v>
      </c>
      <c r="T319" s="24" t="str">
        <f t="shared" si="29"/>
        <v>Text only</v>
      </c>
    </row>
    <row r="320" spans="1:20" hidden="1" x14ac:dyDescent="0.2">
      <c r="A320" t="s">
        <v>7111</v>
      </c>
      <c r="B320" t="s">
        <v>2365</v>
      </c>
      <c r="C320" t="s">
        <v>2366</v>
      </c>
      <c r="D320" t="s">
        <v>7112</v>
      </c>
      <c r="E320" t="s">
        <v>7113</v>
      </c>
      <c r="F320" t="str">
        <f>IF(Table2[[#This Row],[Date posted]]&lt; DATE(2015,9,18),"Before Crisis","During Crisis")</f>
        <v>Before Crisis</v>
      </c>
      <c r="G320" s="27">
        <f t="shared" si="24"/>
        <v>42177</v>
      </c>
      <c r="H320" s="7" t="str">
        <f t="shared" si="25"/>
        <v>19:33:11</v>
      </c>
      <c r="I320" s="8" t="str">
        <f t="shared" si="26"/>
        <v>Evening</v>
      </c>
      <c r="J320" t="s">
        <v>7114</v>
      </c>
      <c r="K320" t="s">
        <v>2370</v>
      </c>
      <c r="L320" s="3">
        <v>0</v>
      </c>
      <c r="M320" s="3">
        <v>0</v>
      </c>
      <c r="N320">
        <v>1</v>
      </c>
      <c r="O320" s="4">
        <f t="shared" si="27"/>
        <v>1</v>
      </c>
      <c r="P320" s="5" t="str">
        <f t="shared" si="28"/>
        <v>Low engagement</v>
      </c>
      <c r="Q320" t="b">
        <v>0</v>
      </c>
      <c r="R320" t="b">
        <v>0</v>
      </c>
      <c r="S320" t="b">
        <v>0</v>
      </c>
      <c r="T320" s="24" t="str">
        <f t="shared" si="29"/>
        <v>Text only</v>
      </c>
    </row>
    <row r="321" spans="1:20" hidden="1" x14ac:dyDescent="0.2">
      <c r="A321" t="s">
        <v>7106</v>
      </c>
      <c r="B321" t="s">
        <v>2365</v>
      </c>
      <c r="C321" t="s">
        <v>2366</v>
      </c>
      <c r="D321" t="s">
        <v>7107</v>
      </c>
      <c r="E321" t="s">
        <v>7108</v>
      </c>
      <c r="F321" t="str">
        <f>IF(Table2[[#This Row],[Date posted]]&lt; DATE(2015,9,18),"Before Crisis","During Crisis")</f>
        <v>Before Crisis</v>
      </c>
      <c r="G321" s="27">
        <f t="shared" si="24"/>
        <v>42178</v>
      </c>
      <c r="H321" s="7" t="str">
        <f t="shared" si="25"/>
        <v>14:26:09</v>
      </c>
      <c r="I321" s="8" t="str">
        <f t="shared" si="26"/>
        <v>Afternoon</v>
      </c>
      <c r="J321" t="s">
        <v>2370</v>
      </c>
      <c r="K321" t="s">
        <v>2370</v>
      </c>
      <c r="L321" s="3">
        <v>0</v>
      </c>
      <c r="M321" s="3">
        <v>0</v>
      </c>
      <c r="N321">
        <v>1</v>
      </c>
      <c r="O321" s="4">
        <f t="shared" si="27"/>
        <v>1</v>
      </c>
      <c r="P321" s="5" t="str">
        <f t="shared" si="28"/>
        <v>Low engagement</v>
      </c>
      <c r="Q321" t="b">
        <v>0</v>
      </c>
      <c r="R321" t="b">
        <v>0</v>
      </c>
      <c r="S321" t="b">
        <v>1</v>
      </c>
      <c r="T321" s="24" t="str">
        <f t="shared" si="29"/>
        <v>Link</v>
      </c>
    </row>
    <row r="322" spans="1:20" hidden="1" x14ac:dyDescent="0.2">
      <c r="A322" t="s">
        <v>7109</v>
      </c>
      <c r="B322" t="s">
        <v>2365</v>
      </c>
      <c r="C322" t="s">
        <v>2366</v>
      </c>
      <c r="D322" t="s">
        <v>7110</v>
      </c>
      <c r="E322" t="s">
        <v>7108</v>
      </c>
      <c r="F322" t="str">
        <f>IF(Table2[[#This Row],[Date posted]]&lt; DATE(2015,9,18),"Before Crisis","During Crisis")</f>
        <v>Before Crisis</v>
      </c>
      <c r="G322" s="27">
        <f t="shared" ref="G322:G385" si="30">DATEVALUE(LEFT(E322,10))</f>
        <v>42178</v>
      </c>
      <c r="H322" s="7" t="str">
        <f t="shared" ref="H322:H385" si="31">MID(E322,12,8)</f>
        <v>14:26:09</v>
      </c>
      <c r="I322" s="8" t="str">
        <f t="shared" ref="I322:I385" si="32">IF(HOUR(H322)&lt;7,"Early morning",
IF(HOUR(H322)&lt;11,"Morning",
IF(HOUR(H322)&lt;14,"Mid-day",
IF(HOUR(H322)&lt;18,"Afternoon","Evening"))))</f>
        <v>Afternoon</v>
      </c>
      <c r="J322" t="s">
        <v>2370</v>
      </c>
      <c r="K322" t="s">
        <v>2370</v>
      </c>
      <c r="L322" s="3">
        <v>0</v>
      </c>
      <c r="M322" s="3">
        <v>0</v>
      </c>
      <c r="N322">
        <v>1</v>
      </c>
      <c r="O322" s="4">
        <f t="shared" ref="O322:O385" si="33">L322+M322+N322</f>
        <v>1</v>
      </c>
      <c r="P322" s="5" t="str">
        <f t="shared" ref="P322:P385" si="34">IF(O322&lt;1,"No engagement", IF(O322&lt;5,"Low engagement", IF(O322&lt;10,"Moderate engagement", "High engagement")))</f>
        <v>Low engagement</v>
      </c>
      <c r="Q322" t="b">
        <v>0</v>
      </c>
      <c r="R322" t="b">
        <v>0</v>
      </c>
      <c r="S322" t="b">
        <v>0</v>
      </c>
      <c r="T322" s="24" t="str">
        <f t="shared" ref="T322:T385" si="35">IF(Q322=TRUE,"Photo",
    IF(R322=TRUE,"Video",
        IF(S322=TRUE,"Link","Text only")))</f>
        <v>Text only</v>
      </c>
    </row>
    <row r="323" spans="1:20" hidden="1" x14ac:dyDescent="0.2">
      <c r="A323" t="s">
        <v>7102</v>
      </c>
      <c r="B323" t="s">
        <v>2365</v>
      </c>
      <c r="C323" t="s">
        <v>2366</v>
      </c>
      <c r="D323" t="s">
        <v>7103</v>
      </c>
      <c r="E323" t="s">
        <v>7104</v>
      </c>
      <c r="F323" t="str">
        <f>IF(Table2[[#This Row],[Date posted]]&lt; DATE(2015,9,18),"Before Crisis","During Crisis")</f>
        <v>Before Crisis</v>
      </c>
      <c r="G323" s="27">
        <f t="shared" si="30"/>
        <v>42178</v>
      </c>
      <c r="H323" s="7" t="str">
        <f t="shared" si="31"/>
        <v>14:26:10</v>
      </c>
      <c r="I323" s="8" t="str">
        <f t="shared" si="32"/>
        <v>Afternoon</v>
      </c>
      <c r="J323" t="s">
        <v>7105</v>
      </c>
      <c r="K323" t="s">
        <v>2370</v>
      </c>
      <c r="L323" s="3">
        <v>0</v>
      </c>
      <c r="M323">
        <v>3</v>
      </c>
      <c r="N323">
        <v>1</v>
      </c>
      <c r="O323" s="4">
        <f t="shared" si="33"/>
        <v>4</v>
      </c>
      <c r="P323" s="5" t="str">
        <f t="shared" si="34"/>
        <v>Low engagement</v>
      </c>
      <c r="Q323" t="b">
        <v>0</v>
      </c>
      <c r="R323" t="b">
        <v>0</v>
      </c>
      <c r="S323" t="b">
        <v>0</v>
      </c>
      <c r="T323" s="24" t="str">
        <f t="shared" si="35"/>
        <v>Text only</v>
      </c>
    </row>
    <row r="324" spans="1:20" hidden="1" x14ac:dyDescent="0.2">
      <c r="A324" t="s">
        <v>7099</v>
      </c>
      <c r="B324" t="s">
        <v>2365</v>
      </c>
      <c r="C324" t="s">
        <v>2366</v>
      </c>
      <c r="D324" t="s">
        <v>7100</v>
      </c>
      <c r="E324" t="s">
        <v>7098</v>
      </c>
      <c r="F324" t="str">
        <f>IF(Table2[[#This Row],[Date posted]]&lt; DATE(2015,9,18),"Before Crisis","During Crisis")</f>
        <v>Before Crisis</v>
      </c>
      <c r="G324" s="27">
        <f t="shared" si="30"/>
        <v>42178</v>
      </c>
      <c r="H324" s="7" t="str">
        <f t="shared" si="31"/>
        <v>14:26:11</v>
      </c>
      <c r="I324" s="8" t="str">
        <f t="shared" si="32"/>
        <v>Afternoon</v>
      </c>
      <c r="J324" t="s">
        <v>7101</v>
      </c>
      <c r="K324" t="s">
        <v>2370</v>
      </c>
      <c r="L324" s="3">
        <v>0</v>
      </c>
      <c r="M324" s="3">
        <v>0</v>
      </c>
      <c r="N324">
        <v>1</v>
      </c>
      <c r="O324" s="4">
        <f t="shared" si="33"/>
        <v>1</v>
      </c>
      <c r="P324" s="5" t="str">
        <f t="shared" si="34"/>
        <v>Low engagement</v>
      </c>
      <c r="Q324" t="b">
        <v>0</v>
      </c>
      <c r="R324" t="b">
        <v>0</v>
      </c>
      <c r="S324" t="b">
        <v>0</v>
      </c>
      <c r="T324" s="24" t="str">
        <f t="shared" si="35"/>
        <v>Text only</v>
      </c>
    </row>
    <row r="325" spans="1:20" hidden="1" x14ac:dyDescent="0.2">
      <c r="A325" t="s">
        <v>7093</v>
      </c>
      <c r="B325" t="s">
        <v>2365</v>
      </c>
      <c r="C325" t="s">
        <v>2366</v>
      </c>
      <c r="D325" t="s">
        <v>7094</v>
      </c>
      <c r="E325" t="s">
        <v>7095</v>
      </c>
      <c r="F325" t="str">
        <f>IF(Table2[[#This Row],[Date posted]]&lt; DATE(2015,9,18),"Before Crisis","During Crisis")</f>
        <v>Before Crisis</v>
      </c>
      <c r="G325" s="27">
        <f t="shared" si="30"/>
        <v>42178</v>
      </c>
      <c r="H325" s="7" t="str">
        <f t="shared" si="31"/>
        <v>18:39:11</v>
      </c>
      <c r="I325" s="8" t="str">
        <f t="shared" si="32"/>
        <v>Evening</v>
      </c>
      <c r="J325" t="s">
        <v>6834</v>
      </c>
      <c r="K325" t="s">
        <v>2370</v>
      </c>
      <c r="L325" s="3">
        <v>0</v>
      </c>
      <c r="M325">
        <v>1</v>
      </c>
      <c r="N325">
        <v>1</v>
      </c>
      <c r="O325" s="4">
        <f t="shared" si="33"/>
        <v>2</v>
      </c>
      <c r="P325" s="5" t="str">
        <f t="shared" si="34"/>
        <v>Low engagement</v>
      </c>
      <c r="Q325" t="b">
        <v>0</v>
      </c>
      <c r="R325" t="b">
        <v>0</v>
      </c>
      <c r="S325" t="b">
        <v>0</v>
      </c>
      <c r="T325" s="24" t="str">
        <f t="shared" si="35"/>
        <v>Text only</v>
      </c>
    </row>
    <row r="326" spans="1:20" hidden="1" x14ac:dyDescent="0.2">
      <c r="A326" t="s">
        <v>7090</v>
      </c>
      <c r="B326" t="s">
        <v>2365</v>
      </c>
      <c r="C326" t="s">
        <v>2366</v>
      </c>
      <c r="D326" t="s">
        <v>7091</v>
      </c>
      <c r="E326" t="s">
        <v>7092</v>
      </c>
      <c r="F326" t="str">
        <f>IF(Table2[[#This Row],[Date posted]]&lt; DATE(2015,9,18),"Before Crisis","During Crisis")</f>
        <v>Before Crisis</v>
      </c>
      <c r="G326" s="27">
        <f t="shared" si="30"/>
        <v>42178</v>
      </c>
      <c r="H326" s="7" t="str">
        <f t="shared" si="31"/>
        <v>18:39:12</v>
      </c>
      <c r="I326" s="8" t="str">
        <f t="shared" si="32"/>
        <v>Evening</v>
      </c>
      <c r="J326" t="s">
        <v>4919</v>
      </c>
      <c r="K326" t="s">
        <v>2370</v>
      </c>
      <c r="L326" s="3">
        <v>0</v>
      </c>
      <c r="M326" s="3">
        <v>0</v>
      </c>
      <c r="N326">
        <v>1</v>
      </c>
      <c r="O326" s="4">
        <f t="shared" si="33"/>
        <v>1</v>
      </c>
      <c r="P326" s="5" t="str">
        <f t="shared" si="34"/>
        <v>Low engagement</v>
      </c>
      <c r="Q326" t="b">
        <v>0</v>
      </c>
      <c r="R326" t="b">
        <v>0</v>
      </c>
      <c r="S326" t="b">
        <v>0</v>
      </c>
      <c r="T326" s="24" t="str">
        <f t="shared" si="35"/>
        <v>Text only</v>
      </c>
    </row>
    <row r="327" spans="1:20" hidden="1" x14ac:dyDescent="0.2">
      <c r="A327" t="s">
        <v>7087</v>
      </c>
      <c r="B327" t="s">
        <v>2365</v>
      </c>
      <c r="C327" t="s">
        <v>2366</v>
      </c>
      <c r="D327" t="s">
        <v>7088</v>
      </c>
      <c r="E327" t="s">
        <v>7089</v>
      </c>
      <c r="F327" t="str">
        <f>IF(Table2[[#This Row],[Date posted]]&lt; DATE(2015,9,18),"Before Crisis","During Crisis")</f>
        <v>Before Crisis</v>
      </c>
      <c r="G327" s="27">
        <f t="shared" si="30"/>
        <v>42178</v>
      </c>
      <c r="H327" s="7" t="str">
        <f t="shared" si="31"/>
        <v>21:07:22</v>
      </c>
      <c r="I327" s="8" t="str">
        <f t="shared" si="32"/>
        <v>Evening</v>
      </c>
      <c r="J327" t="s">
        <v>2370</v>
      </c>
      <c r="K327" t="s">
        <v>2370</v>
      </c>
      <c r="L327" s="3">
        <v>0</v>
      </c>
      <c r="M327">
        <v>1</v>
      </c>
      <c r="N327">
        <v>1</v>
      </c>
      <c r="O327" s="4">
        <f t="shared" si="33"/>
        <v>2</v>
      </c>
      <c r="P327" s="5" t="str">
        <f t="shared" si="34"/>
        <v>Low engagement</v>
      </c>
      <c r="Q327" t="b">
        <v>0</v>
      </c>
      <c r="R327" t="b">
        <v>0</v>
      </c>
      <c r="S327" t="b">
        <v>0</v>
      </c>
      <c r="T327" s="24" t="str">
        <f t="shared" si="35"/>
        <v>Text only</v>
      </c>
    </row>
    <row r="328" spans="1:20" hidden="1" x14ac:dyDescent="0.2">
      <c r="A328" t="s">
        <v>7082</v>
      </c>
      <c r="B328" t="s">
        <v>2365</v>
      </c>
      <c r="C328" t="s">
        <v>2366</v>
      </c>
      <c r="D328" t="s">
        <v>7083</v>
      </c>
      <c r="E328" t="s">
        <v>7084</v>
      </c>
      <c r="F328" t="str">
        <f>IF(Table2[[#This Row],[Date posted]]&lt; DATE(2015,9,18),"Before Crisis","During Crisis")</f>
        <v>Before Crisis</v>
      </c>
      <c r="G328" s="27">
        <f t="shared" si="30"/>
        <v>42178</v>
      </c>
      <c r="H328" s="7" t="str">
        <f t="shared" si="31"/>
        <v>21:07:23</v>
      </c>
      <c r="I328" s="8" t="str">
        <f t="shared" si="32"/>
        <v>Evening</v>
      </c>
      <c r="J328" t="s">
        <v>2370</v>
      </c>
      <c r="K328" t="s">
        <v>2370</v>
      </c>
      <c r="L328">
        <v>1</v>
      </c>
      <c r="M328" s="3">
        <v>0</v>
      </c>
      <c r="N328">
        <v>1</v>
      </c>
      <c r="O328" s="4">
        <f t="shared" si="33"/>
        <v>2</v>
      </c>
      <c r="P328" s="5" t="str">
        <f t="shared" si="34"/>
        <v>Low engagement</v>
      </c>
      <c r="Q328" t="b">
        <v>0</v>
      </c>
      <c r="R328" t="b">
        <v>0</v>
      </c>
      <c r="S328" t="b">
        <v>0</v>
      </c>
      <c r="T328" s="24" t="str">
        <f t="shared" si="35"/>
        <v>Text only</v>
      </c>
    </row>
    <row r="329" spans="1:20" hidden="1" x14ac:dyDescent="0.2">
      <c r="A329" t="s">
        <v>7085</v>
      </c>
      <c r="B329" t="s">
        <v>2365</v>
      </c>
      <c r="C329" t="s">
        <v>2366</v>
      </c>
      <c r="D329" t="s">
        <v>7086</v>
      </c>
      <c r="E329" t="s">
        <v>7084</v>
      </c>
      <c r="F329" t="str">
        <f>IF(Table2[[#This Row],[Date posted]]&lt; DATE(2015,9,18),"Before Crisis","During Crisis")</f>
        <v>Before Crisis</v>
      </c>
      <c r="G329" s="27">
        <f t="shared" si="30"/>
        <v>42178</v>
      </c>
      <c r="H329" s="7" t="str">
        <f t="shared" si="31"/>
        <v>21:07:23</v>
      </c>
      <c r="I329" s="8" t="str">
        <f t="shared" si="32"/>
        <v>Evening</v>
      </c>
      <c r="J329" t="s">
        <v>2370</v>
      </c>
      <c r="K329" t="s">
        <v>2370</v>
      </c>
      <c r="L329" s="3">
        <v>0</v>
      </c>
      <c r="M329" s="3">
        <v>0</v>
      </c>
      <c r="N329">
        <v>1</v>
      </c>
      <c r="O329" s="4">
        <f t="shared" si="33"/>
        <v>1</v>
      </c>
      <c r="P329" s="5" t="str">
        <f t="shared" si="34"/>
        <v>Low engagement</v>
      </c>
      <c r="Q329" t="b">
        <v>0</v>
      </c>
      <c r="R329" t="b">
        <v>0</v>
      </c>
      <c r="S329" t="b">
        <v>0</v>
      </c>
      <c r="T329" s="24" t="str">
        <f t="shared" si="35"/>
        <v>Text only</v>
      </c>
    </row>
    <row r="330" spans="1:20" hidden="1" x14ac:dyDescent="0.2">
      <c r="A330" t="s">
        <v>7076</v>
      </c>
      <c r="B330" t="s">
        <v>2365</v>
      </c>
      <c r="C330" t="s">
        <v>2366</v>
      </c>
      <c r="D330" t="s">
        <v>7077</v>
      </c>
      <c r="E330" t="s">
        <v>7078</v>
      </c>
      <c r="F330" t="str">
        <f>IF(Table2[[#This Row],[Date posted]]&lt; DATE(2015,9,18),"Before Crisis","During Crisis")</f>
        <v>Before Crisis</v>
      </c>
      <c r="G330" s="27">
        <f t="shared" si="30"/>
        <v>42178</v>
      </c>
      <c r="H330" s="7" t="str">
        <f t="shared" si="31"/>
        <v>21:46:01</v>
      </c>
      <c r="I330" s="8" t="str">
        <f t="shared" si="32"/>
        <v>Evening</v>
      </c>
      <c r="J330" t="s">
        <v>7079</v>
      </c>
      <c r="K330" t="s">
        <v>2370</v>
      </c>
      <c r="L330" s="3">
        <v>0</v>
      </c>
      <c r="M330">
        <v>1</v>
      </c>
      <c r="N330">
        <v>1</v>
      </c>
      <c r="O330" s="4">
        <f t="shared" si="33"/>
        <v>2</v>
      </c>
      <c r="P330" s="5" t="str">
        <f t="shared" si="34"/>
        <v>Low engagement</v>
      </c>
      <c r="Q330" t="b">
        <v>0</v>
      </c>
      <c r="R330" t="b">
        <v>0</v>
      </c>
      <c r="S330" t="b">
        <v>0</v>
      </c>
      <c r="T330" s="24" t="str">
        <f t="shared" si="35"/>
        <v>Text only</v>
      </c>
    </row>
    <row r="331" spans="1:20" hidden="1" x14ac:dyDescent="0.2">
      <c r="A331" t="s">
        <v>7080</v>
      </c>
      <c r="B331" t="s">
        <v>2365</v>
      </c>
      <c r="C331" t="s">
        <v>2366</v>
      </c>
      <c r="D331" t="s">
        <v>7081</v>
      </c>
      <c r="E331" t="s">
        <v>7078</v>
      </c>
      <c r="F331" t="str">
        <f>IF(Table2[[#This Row],[Date posted]]&lt; DATE(2015,9,18),"Before Crisis","During Crisis")</f>
        <v>Before Crisis</v>
      </c>
      <c r="G331" s="27">
        <f t="shared" si="30"/>
        <v>42178</v>
      </c>
      <c r="H331" s="7" t="str">
        <f t="shared" si="31"/>
        <v>21:46:01</v>
      </c>
      <c r="I331" s="8" t="str">
        <f t="shared" si="32"/>
        <v>Evening</v>
      </c>
      <c r="J331" t="s">
        <v>6981</v>
      </c>
      <c r="K331" t="s">
        <v>2370</v>
      </c>
      <c r="L331">
        <v>1</v>
      </c>
      <c r="M331">
        <v>2</v>
      </c>
      <c r="N331">
        <v>1</v>
      </c>
      <c r="O331" s="4">
        <f t="shared" si="33"/>
        <v>4</v>
      </c>
      <c r="P331" s="5" t="str">
        <f t="shared" si="34"/>
        <v>Low engagement</v>
      </c>
      <c r="Q331" t="b">
        <v>0</v>
      </c>
      <c r="R331" t="b">
        <v>0</v>
      </c>
      <c r="S331" t="b">
        <v>1</v>
      </c>
      <c r="T331" s="24" t="str">
        <f t="shared" si="35"/>
        <v>Link</v>
      </c>
    </row>
    <row r="332" spans="1:20" hidden="1" x14ac:dyDescent="0.2">
      <c r="A332" t="s">
        <v>7069</v>
      </c>
      <c r="B332" t="s">
        <v>2365</v>
      </c>
      <c r="C332" t="s">
        <v>2366</v>
      </c>
      <c r="D332" t="s">
        <v>7070</v>
      </c>
      <c r="E332" t="s">
        <v>7071</v>
      </c>
      <c r="F332" t="str">
        <f>IF(Table2[[#This Row],[Date posted]]&lt; DATE(2015,9,18),"Before Crisis","During Crisis")</f>
        <v>Before Crisis</v>
      </c>
      <c r="G332" s="27">
        <f t="shared" si="30"/>
        <v>42179</v>
      </c>
      <c r="H332" s="7" t="str">
        <f t="shared" si="31"/>
        <v>13:28:03</v>
      </c>
      <c r="I332" s="8" t="str">
        <f t="shared" si="32"/>
        <v>Mid-day</v>
      </c>
      <c r="J332" t="s">
        <v>2370</v>
      </c>
      <c r="K332" t="s">
        <v>2370</v>
      </c>
      <c r="L332" s="3">
        <v>0</v>
      </c>
      <c r="M332" s="3">
        <v>0</v>
      </c>
      <c r="N332">
        <v>1</v>
      </c>
      <c r="O332" s="4">
        <f t="shared" si="33"/>
        <v>1</v>
      </c>
      <c r="P332" s="5" t="str">
        <f t="shared" si="34"/>
        <v>Low engagement</v>
      </c>
      <c r="Q332" t="b">
        <v>0</v>
      </c>
      <c r="R332" t="b">
        <v>0</v>
      </c>
      <c r="S332" t="b">
        <v>0</v>
      </c>
      <c r="T332" s="24" t="str">
        <f t="shared" si="35"/>
        <v>Text only</v>
      </c>
    </row>
    <row r="333" spans="1:20" hidden="1" x14ac:dyDescent="0.2">
      <c r="A333" t="s">
        <v>7065</v>
      </c>
      <c r="B333" t="s">
        <v>2365</v>
      </c>
      <c r="C333" t="s">
        <v>2366</v>
      </c>
      <c r="D333" t="s">
        <v>7066</v>
      </c>
      <c r="E333" t="s">
        <v>7067</v>
      </c>
      <c r="F333" t="str">
        <f>IF(Table2[[#This Row],[Date posted]]&lt; DATE(2015,9,18),"Before Crisis","During Crisis")</f>
        <v>Before Crisis</v>
      </c>
      <c r="G333" s="27">
        <f t="shared" si="30"/>
        <v>42179</v>
      </c>
      <c r="H333" s="7" t="str">
        <f t="shared" si="31"/>
        <v>13:36:31</v>
      </c>
      <c r="I333" s="8" t="str">
        <f t="shared" si="32"/>
        <v>Mid-day</v>
      </c>
      <c r="J333" t="s">
        <v>7068</v>
      </c>
      <c r="K333" t="s">
        <v>2370</v>
      </c>
      <c r="L333">
        <v>1</v>
      </c>
      <c r="M333" s="3">
        <v>0</v>
      </c>
      <c r="N333">
        <v>1</v>
      </c>
      <c r="O333" s="4">
        <f t="shared" si="33"/>
        <v>2</v>
      </c>
      <c r="P333" s="5" t="str">
        <f t="shared" si="34"/>
        <v>Low engagement</v>
      </c>
      <c r="Q333" t="b">
        <v>0</v>
      </c>
      <c r="R333" t="b">
        <v>0</v>
      </c>
      <c r="S333" t="b">
        <v>0</v>
      </c>
      <c r="T333" s="24" t="str">
        <f t="shared" si="35"/>
        <v>Text only</v>
      </c>
    </row>
    <row r="334" spans="1:20" hidden="1" x14ac:dyDescent="0.2">
      <c r="A334" t="s">
        <v>7058</v>
      </c>
      <c r="B334" t="s">
        <v>2365</v>
      </c>
      <c r="C334" t="s">
        <v>2366</v>
      </c>
      <c r="D334" t="s">
        <v>7059</v>
      </c>
      <c r="E334" t="s">
        <v>7060</v>
      </c>
      <c r="F334" t="str">
        <f>IF(Table2[[#This Row],[Date posted]]&lt; DATE(2015,9,18),"Before Crisis","During Crisis")</f>
        <v>Before Crisis</v>
      </c>
      <c r="G334" s="27">
        <f t="shared" si="30"/>
        <v>42179</v>
      </c>
      <c r="H334" s="7" t="str">
        <f t="shared" si="31"/>
        <v>18:37:06</v>
      </c>
      <c r="I334" s="8" t="str">
        <f t="shared" si="32"/>
        <v>Evening</v>
      </c>
      <c r="J334" t="s">
        <v>7061</v>
      </c>
      <c r="K334" t="s">
        <v>2370</v>
      </c>
      <c r="L334" s="3">
        <v>0</v>
      </c>
      <c r="M334" s="3">
        <v>0</v>
      </c>
      <c r="N334">
        <v>1</v>
      </c>
      <c r="O334" s="4">
        <f t="shared" si="33"/>
        <v>1</v>
      </c>
      <c r="P334" s="5" t="str">
        <f t="shared" si="34"/>
        <v>Low engagement</v>
      </c>
      <c r="Q334" t="b">
        <v>0</v>
      </c>
      <c r="R334" t="b">
        <v>0</v>
      </c>
      <c r="S334" t="b">
        <v>1</v>
      </c>
      <c r="T334" s="24" t="str">
        <f t="shared" si="35"/>
        <v>Link</v>
      </c>
    </row>
    <row r="335" spans="1:20" hidden="1" x14ac:dyDescent="0.2">
      <c r="A335" t="s">
        <v>7062</v>
      </c>
      <c r="B335" t="s">
        <v>2365</v>
      </c>
      <c r="C335" t="s">
        <v>2366</v>
      </c>
      <c r="D335" t="s">
        <v>7063</v>
      </c>
      <c r="E335" t="s">
        <v>7060</v>
      </c>
      <c r="F335" t="str">
        <f>IF(Table2[[#This Row],[Date posted]]&lt; DATE(2015,9,18),"Before Crisis","During Crisis")</f>
        <v>Before Crisis</v>
      </c>
      <c r="G335" s="27">
        <f t="shared" si="30"/>
        <v>42179</v>
      </c>
      <c r="H335" s="7" t="str">
        <f t="shared" si="31"/>
        <v>18:37:06</v>
      </c>
      <c r="I335" s="8" t="str">
        <f t="shared" si="32"/>
        <v>Evening</v>
      </c>
      <c r="J335" t="s">
        <v>7064</v>
      </c>
      <c r="K335" t="s">
        <v>2370</v>
      </c>
      <c r="L335" s="3">
        <v>0</v>
      </c>
      <c r="M335" s="3">
        <v>0</v>
      </c>
      <c r="N335">
        <v>1</v>
      </c>
      <c r="O335" s="4">
        <f t="shared" si="33"/>
        <v>1</v>
      </c>
      <c r="P335" s="5" t="str">
        <f t="shared" si="34"/>
        <v>Low engagement</v>
      </c>
      <c r="Q335" t="b">
        <v>0</v>
      </c>
      <c r="R335" t="b">
        <v>0</v>
      </c>
      <c r="S335" t="b">
        <v>0</v>
      </c>
      <c r="T335" s="24" t="str">
        <f t="shared" si="35"/>
        <v>Text only</v>
      </c>
    </row>
    <row r="336" spans="1:20" hidden="1" x14ac:dyDescent="0.2">
      <c r="A336" t="s">
        <v>7054</v>
      </c>
      <c r="B336" t="s">
        <v>2365</v>
      </c>
      <c r="C336" t="s">
        <v>2366</v>
      </c>
      <c r="D336" t="s">
        <v>7055</v>
      </c>
      <c r="E336" t="s">
        <v>7056</v>
      </c>
      <c r="F336" t="str">
        <f>IF(Table2[[#This Row],[Date posted]]&lt; DATE(2015,9,18),"Before Crisis","During Crisis")</f>
        <v>Before Crisis</v>
      </c>
      <c r="G336" s="27">
        <f t="shared" si="30"/>
        <v>42179</v>
      </c>
      <c r="H336" s="7" t="str">
        <f t="shared" si="31"/>
        <v>18:37:07</v>
      </c>
      <c r="I336" s="8" t="str">
        <f t="shared" si="32"/>
        <v>Evening</v>
      </c>
      <c r="J336" t="s">
        <v>7057</v>
      </c>
      <c r="K336" t="s">
        <v>2370</v>
      </c>
      <c r="L336" s="3">
        <v>0</v>
      </c>
      <c r="M336" s="3">
        <v>0</v>
      </c>
      <c r="N336">
        <v>1</v>
      </c>
      <c r="O336" s="4">
        <f t="shared" si="33"/>
        <v>1</v>
      </c>
      <c r="P336" s="5" t="str">
        <f t="shared" si="34"/>
        <v>Low engagement</v>
      </c>
      <c r="Q336" t="b">
        <v>0</v>
      </c>
      <c r="R336" t="b">
        <v>0</v>
      </c>
      <c r="S336" t="b">
        <v>0</v>
      </c>
      <c r="T336" s="24" t="str">
        <f t="shared" si="35"/>
        <v>Text only</v>
      </c>
    </row>
    <row r="337" spans="1:20" hidden="1" x14ac:dyDescent="0.2">
      <c r="A337" t="s">
        <v>7048</v>
      </c>
      <c r="B337" t="s">
        <v>2365</v>
      </c>
      <c r="C337" t="s">
        <v>2366</v>
      </c>
      <c r="D337" t="s">
        <v>7049</v>
      </c>
      <c r="E337" t="s">
        <v>7050</v>
      </c>
      <c r="F337" t="str">
        <f>IF(Table2[[#This Row],[Date posted]]&lt; DATE(2015,9,18),"Before Crisis","During Crisis")</f>
        <v>Before Crisis</v>
      </c>
      <c r="G337" s="27">
        <f t="shared" si="30"/>
        <v>42180</v>
      </c>
      <c r="H337" s="7" t="str">
        <f t="shared" si="31"/>
        <v>16:03:15</v>
      </c>
      <c r="I337" s="8" t="str">
        <f t="shared" si="32"/>
        <v>Afternoon</v>
      </c>
      <c r="J337" t="s">
        <v>2370</v>
      </c>
      <c r="K337" t="s">
        <v>2370</v>
      </c>
      <c r="L337" s="3">
        <v>0</v>
      </c>
      <c r="M337" s="3">
        <v>0</v>
      </c>
      <c r="N337">
        <v>1</v>
      </c>
      <c r="O337" s="4">
        <f t="shared" si="33"/>
        <v>1</v>
      </c>
      <c r="P337" s="5" t="str">
        <f t="shared" si="34"/>
        <v>Low engagement</v>
      </c>
      <c r="Q337" t="b">
        <v>0</v>
      </c>
      <c r="R337" t="b">
        <v>0</v>
      </c>
      <c r="S337" t="b">
        <v>0</v>
      </c>
      <c r="T337" s="24" t="str">
        <f t="shared" si="35"/>
        <v>Text only</v>
      </c>
    </row>
    <row r="338" spans="1:20" hidden="1" x14ac:dyDescent="0.2">
      <c r="A338" t="s">
        <v>7045</v>
      </c>
      <c r="B338" t="s">
        <v>2365</v>
      </c>
      <c r="C338" t="s">
        <v>2366</v>
      </c>
      <c r="D338" t="s">
        <v>7046</v>
      </c>
      <c r="E338" t="s">
        <v>7047</v>
      </c>
      <c r="F338" t="str">
        <f>IF(Table2[[#This Row],[Date posted]]&lt; DATE(2015,9,18),"Before Crisis","During Crisis")</f>
        <v>Before Crisis</v>
      </c>
      <c r="G338" s="27">
        <f t="shared" si="30"/>
        <v>42180</v>
      </c>
      <c r="H338" s="7" t="str">
        <f t="shared" si="31"/>
        <v>21:56:46</v>
      </c>
      <c r="I338" s="8" t="str">
        <f t="shared" si="32"/>
        <v>Evening</v>
      </c>
      <c r="J338" t="s">
        <v>4449</v>
      </c>
      <c r="K338" t="s">
        <v>2370</v>
      </c>
      <c r="L338" s="3">
        <v>0</v>
      </c>
      <c r="M338" s="3">
        <v>0</v>
      </c>
      <c r="N338">
        <v>1</v>
      </c>
      <c r="O338" s="4">
        <f t="shared" si="33"/>
        <v>1</v>
      </c>
      <c r="P338" s="5" t="str">
        <f t="shared" si="34"/>
        <v>Low engagement</v>
      </c>
      <c r="Q338" t="b">
        <v>0</v>
      </c>
      <c r="R338" t="b">
        <v>0</v>
      </c>
      <c r="S338" t="b">
        <v>0</v>
      </c>
      <c r="T338" s="24" t="str">
        <f t="shared" si="35"/>
        <v>Text only</v>
      </c>
    </row>
    <row r="339" spans="1:20" hidden="1" x14ac:dyDescent="0.2">
      <c r="A339" t="s">
        <v>7041</v>
      </c>
      <c r="B339" t="s">
        <v>2365</v>
      </c>
      <c r="C339" t="s">
        <v>2366</v>
      </c>
      <c r="D339" t="s">
        <v>7042</v>
      </c>
      <c r="E339" t="s">
        <v>7043</v>
      </c>
      <c r="F339" t="str">
        <f>IF(Table2[[#This Row],[Date posted]]&lt; DATE(2015,9,18),"Before Crisis","During Crisis")</f>
        <v>Before Crisis</v>
      </c>
      <c r="G339" s="27">
        <f t="shared" si="30"/>
        <v>42180</v>
      </c>
      <c r="H339" s="7" t="str">
        <f t="shared" si="31"/>
        <v>22:06:20</v>
      </c>
      <c r="I339" s="8" t="str">
        <f t="shared" si="32"/>
        <v>Evening</v>
      </c>
      <c r="J339" t="s">
        <v>7044</v>
      </c>
      <c r="K339" t="s">
        <v>2370</v>
      </c>
      <c r="L339">
        <v>1</v>
      </c>
      <c r="M339" s="3">
        <v>0</v>
      </c>
      <c r="N339">
        <v>1</v>
      </c>
      <c r="O339" s="4">
        <f t="shared" si="33"/>
        <v>2</v>
      </c>
      <c r="P339" s="5" t="str">
        <f t="shared" si="34"/>
        <v>Low engagement</v>
      </c>
      <c r="Q339" t="b">
        <v>0</v>
      </c>
      <c r="R339" t="b">
        <v>0</v>
      </c>
      <c r="S339" t="b">
        <v>0</v>
      </c>
      <c r="T339" s="24" t="str">
        <f t="shared" si="35"/>
        <v>Text only</v>
      </c>
    </row>
    <row r="340" spans="1:20" hidden="1" x14ac:dyDescent="0.2">
      <c r="A340" t="s">
        <v>6985</v>
      </c>
      <c r="B340" t="s">
        <v>2365</v>
      </c>
      <c r="C340" t="s">
        <v>2366</v>
      </c>
      <c r="D340" t="s">
        <v>6986</v>
      </c>
      <c r="E340" t="s">
        <v>6987</v>
      </c>
      <c r="F340" t="str">
        <f>IF(Table2[[#This Row],[Date posted]]&lt; DATE(2015,9,18),"Before Crisis","During Crisis")</f>
        <v>Before Crisis</v>
      </c>
      <c r="G340" s="27">
        <f t="shared" si="30"/>
        <v>42184</v>
      </c>
      <c r="H340" s="7" t="str">
        <f t="shared" si="31"/>
        <v>15:06:33</v>
      </c>
      <c r="I340" s="8" t="str">
        <f t="shared" si="32"/>
        <v>Afternoon</v>
      </c>
      <c r="J340" t="s">
        <v>6988</v>
      </c>
      <c r="K340" t="s">
        <v>2370</v>
      </c>
      <c r="L340" s="3">
        <v>0</v>
      </c>
      <c r="M340" s="3">
        <v>0</v>
      </c>
      <c r="N340">
        <v>1</v>
      </c>
      <c r="O340" s="4">
        <f t="shared" si="33"/>
        <v>1</v>
      </c>
      <c r="P340" s="5" t="str">
        <f t="shared" si="34"/>
        <v>Low engagement</v>
      </c>
      <c r="Q340" t="b">
        <v>0</v>
      </c>
      <c r="R340" t="b">
        <v>0</v>
      </c>
      <c r="S340" t="b">
        <v>0</v>
      </c>
      <c r="T340" s="24" t="str">
        <f t="shared" si="35"/>
        <v>Text only</v>
      </c>
    </row>
    <row r="341" spans="1:20" hidden="1" x14ac:dyDescent="0.2">
      <c r="A341" t="s">
        <v>6982</v>
      </c>
      <c r="B341" t="s">
        <v>2365</v>
      </c>
      <c r="C341" t="s">
        <v>2366</v>
      </c>
      <c r="D341" t="s">
        <v>6983</v>
      </c>
      <c r="E341" t="s">
        <v>6984</v>
      </c>
      <c r="F341" t="str">
        <f>IF(Table2[[#This Row],[Date posted]]&lt; DATE(2015,9,18),"Before Crisis","During Crisis")</f>
        <v>Before Crisis</v>
      </c>
      <c r="G341" s="27">
        <f t="shared" si="30"/>
        <v>42184</v>
      </c>
      <c r="H341" s="7" t="str">
        <f t="shared" si="31"/>
        <v>18:53:07</v>
      </c>
      <c r="I341" s="8" t="str">
        <f t="shared" si="32"/>
        <v>Evening</v>
      </c>
      <c r="J341" t="s">
        <v>2370</v>
      </c>
      <c r="K341" t="s">
        <v>2370</v>
      </c>
      <c r="L341" s="3">
        <v>0</v>
      </c>
      <c r="M341" s="3">
        <v>0</v>
      </c>
      <c r="N341">
        <v>1</v>
      </c>
      <c r="O341" s="4">
        <f t="shared" si="33"/>
        <v>1</v>
      </c>
      <c r="P341" s="5" t="str">
        <f t="shared" si="34"/>
        <v>Low engagement</v>
      </c>
      <c r="Q341" t="b">
        <v>0</v>
      </c>
      <c r="R341" t="b">
        <v>0</v>
      </c>
      <c r="S341" t="b">
        <v>0</v>
      </c>
      <c r="T341" s="24" t="str">
        <f t="shared" si="35"/>
        <v>Text only</v>
      </c>
    </row>
    <row r="342" spans="1:20" hidden="1" x14ac:dyDescent="0.2">
      <c r="A342" t="s">
        <v>6978</v>
      </c>
      <c r="B342" t="s">
        <v>2365</v>
      </c>
      <c r="C342" t="s">
        <v>2366</v>
      </c>
      <c r="D342" t="s">
        <v>6979</v>
      </c>
      <c r="E342" t="s">
        <v>6980</v>
      </c>
      <c r="F342" t="str">
        <f>IF(Table2[[#This Row],[Date posted]]&lt; DATE(2015,9,18),"Before Crisis","During Crisis")</f>
        <v>Before Crisis</v>
      </c>
      <c r="G342" s="27">
        <f t="shared" si="30"/>
        <v>42184</v>
      </c>
      <c r="H342" s="7" t="str">
        <f t="shared" si="31"/>
        <v>18:53:08</v>
      </c>
      <c r="I342" s="8" t="str">
        <f t="shared" si="32"/>
        <v>Evening</v>
      </c>
      <c r="J342" t="s">
        <v>6981</v>
      </c>
      <c r="K342" t="s">
        <v>2370</v>
      </c>
      <c r="L342">
        <v>1</v>
      </c>
      <c r="M342">
        <v>1</v>
      </c>
      <c r="N342">
        <v>1</v>
      </c>
      <c r="O342" s="4">
        <f t="shared" si="33"/>
        <v>3</v>
      </c>
      <c r="P342" s="5" t="str">
        <f t="shared" si="34"/>
        <v>Low engagement</v>
      </c>
      <c r="Q342" t="b">
        <v>0</v>
      </c>
      <c r="R342" t="b">
        <v>0</v>
      </c>
      <c r="S342" t="b">
        <v>0</v>
      </c>
      <c r="T342" s="24" t="str">
        <f t="shared" si="35"/>
        <v>Text only</v>
      </c>
    </row>
    <row r="343" spans="1:20" hidden="1" x14ac:dyDescent="0.2">
      <c r="A343" t="s">
        <v>6923</v>
      </c>
      <c r="B343" t="s">
        <v>2365</v>
      </c>
      <c r="C343" t="s">
        <v>2366</v>
      </c>
      <c r="D343" t="s">
        <v>6924</v>
      </c>
      <c r="E343" t="s">
        <v>6925</v>
      </c>
      <c r="F343" t="str">
        <f>IF(Table2[[#This Row],[Date posted]]&lt; DATE(2015,9,18),"Before Crisis","During Crisis")</f>
        <v>Before Crisis</v>
      </c>
      <c r="G343" s="27">
        <f t="shared" si="30"/>
        <v>42185</v>
      </c>
      <c r="H343" s="7" t="str">
        <f t="shared" si="31"/>
        <v>19:21:39</v>
      </c>
      <c r="I343" s="8" t="str">
        <f t="shared" si="32"/>
        <v>Evening</v>
      </c>
      <c r="J343" t="s">
        <v>6926</v>
      </c>
      <c r="K343" t="s">
        <v>2370</v>
      </c>
      <c r="L343" s="3">
        <v>0</v>
      </c>
      <c r="M343" s="3">
        <v>0</v>
      </c>
      <c r="N343">
        <v>1</v>
      </c>
      <c r="O343" s="4">
        <f t="shared" si="33"/>
        <v>1</v>
      </c>
      <c r="P343" s="5" t="str">
        <f t="shared" si="34"/>
        <v>Low engagement</v>
      </c>
      <c r="Q343" t="b">
        <v>0</v>
      </c>
      <c r="R343" t="b">
        <v>0</v>
      </c>
      <c r="S343" t="b">
        <v>1</v>
      </c>
      <c r="T343" s="24" t="str">
        <f t="shared" si="35"/>
        <v>Link</v>
      </c>
    </row>
    <row r="344" spans="1:20" hidden="1" x14ac:dyDescent="0.2">
      <c r="A344" t="s">
        <v>6919</v>
      </c>
      <c r="B344" t="s">
        <v>2365</v>
      </c>
      <c r="C344" t="s">
        <v>2366</v>
      </c>
      <c r="D344" t="s">
        <v>6920</v>
      </c>
      <c r="E344" t="s">
        <v>6921</v>
      </c>
      <c r="F344" t="str">
        <f>IF(Table2[[#This Row],[Date posted]]&lt; DATE(2015,9,18),"Before Crisis","During Crisis")</f>
        <v>Before Crisis</v>
      </c>
      <c r="G344" s="27">
        <f t="shared" si="30"/>
        <v>42185</v>
      </c>
      <c r="H344" s="7" t="str">
        <f t="shared" si="31"/>
        <v>19:44:58</v>
      </c>
      <c r="I344" s="8" t="str">
        <f t="shared" si="32"/>
        <v>Evening</v>
      </c>
      <c r="J344" t="s">
        <v>6922</v>
      </c>
      <c r="K344" t="s">
        <v>2370</v>
      </c>
      <c r="L344" s="3">
        <v>0</v>
      </c>
      <c r="M344">
        <v>1</v>
      </c>
      <c r="N344">
        <v>1</v>
      </c>
      <c r="O344" s="4">
        <f t="shared" si="33"/>
        <v>2</v>
      </c>
      <c r="P344" s="5" t="str">
        <f t="shared" si="34"/>
        <v>Low engagement</v>
      </c>
      <c r="Q344" t="b">
        <v>0</v>
      </c>
      <c r="R344" t="b">
        <v>0</v>
      </c>
      <c r="S344" t="b">
        <v>0</v>
      </c>
      <c r="T344" s="24" t="str">
        <f t="shared" si="35"/>
        <v>Text only</v>
      </c>
    </row>
    <row r="345" spans="1:20" hidden="1" x14ac:dyDescent="0.2">
      <c r="A345" t="s">
        <v>6907</v>
      </c>
      <c r="B345" t="s">
        <v>2365</v>
      </c>
      <c r="C345" t="s">
        <v>2366</v>
      </c>
      <c r="D345" t="s">
        <v>6908</v>
      </c>
      <c r="E345" t="s">
        <v>6909</v>
      </c>
      <c r="F345" t="str">
        <f>IF(Table2[[#This Row],[Date posted]]&lt; DATE(2015,9,18),"Before Crisis","During Crisis")</f>
        <v>Before Crisis</v>
      </c>
      <c r="G345" s="27">
        <f t="shared" si="30"/>
        <v>42186</v>
      </c>
      <c r="H345" s="7" t="str">
        <f t="shared" si="31"/>
        <v>14:21:31</v>
      </c>
      <c r="I345" s="8" t="str">
        <f t="shared" si="32"/>
        <v>Afternoon</v>
      </c>
      <c r="J345" t="s">
        <v>2370</v>
      </c>
      <c r="K345" t="s">
        <v>2370</v>
      </c>
      <c r="L345" s="3">
        <v>0</v>
      </c>
      <c r="M345" s="3">
        <v>0</v>
      </c>
      <c r="N345">
        <v>1</v>
      </c>
      <c r="O345" s="4">
        <f t="shared" si="33"/>
        <v>1</v>
      </c>
      <c r="P345" s="5" t="str">
        <f t="shared" si="34"/>
        <v>Low engagement</v>
      </c>
      <c r="Q345" t="b">
        <v>0</v>
      </c>
      <c r="R345" t="b">
        <v>0</v>
      </c>
      <c r="S345" t="b">
        <v>0</v>
      </c>
      <c r="T345" s="24" t="str">
        <f t="shared" si="35"/>
        <v>Text only</v>
      </c>
    </row>
    <row r="346" spans="1:20" hidden="1" x14ac:dyDescent="0.2">
      <c r="A346" t="s">
        <v>6910</v>
      </c>
      <c r="B346" t="s">
        <v>2365</v>
      </c>
      <c r="C346" t="s">
        <v>2366</v>
      </c>
      <c r="D346" t="s">
        <v>6911</v>
      </c>
      <c r="E346" t="s">
        <v>6909</v>
      </c>
      <c r="F346" t="str">
        <f>IF(Table2[[#This Row],[Date posted]]&lt; DATE(2015,9,18),"Before Crisis","During Crisis")</f>
        <v>Before Crisis</v>
      </c>
      <c r="G346" s="27">
        <f t="shared" si="30"/>
        <v>42186</v>
      </c>
      <c r="H346" s="7" t="str">
        <f t="shared" si="31"/>
        <v>14:21:31</v>
      </c>
      <c r="I346" s="8" t="str">
        <f t="shared" si="32"/>
        <v>Afternoon</v>
      </c>
      <c r="J346" t="s">
        <v>6912</v>
      </c>
      <c r="K346" t="s">
        <v>2370</v>
      </c>
      <c r="L346">
        <v>1</v>
      </c>
      <c r="M346" s="3">
        <v>0</v>
      </c>
      <c r="N346">
        <v>1</v>
      </c>
      <c r="O346" s="4">
        <f t="shared" si="33"/>
        <v>2</v>
      </c>
      <c r="P346" s="5" t="str">
        <f t="shared" si="34"/>
        <v>Low engagement</v>
      </c>
      <c r="Q346" t="b">
        <v>0</v>
      </c>
      <c r="R346" t="b">
        <v>0</v>
      </c>
      <c r="S346" t="b">
        <v>0</v>
      </c>
      <c r="T346" s="24" t="str">
        <f t="shared" si="35"/>
        <v>Text only</v>
      </c>
    </row>
    <row r="347" spans="1:20" hidden="1" x14ac:dyDescent="0.2">
      <c r="A347" t="s">
        <v>6863</v>
      </c>
      <c r="B347" t="s">
        <v>2365</v>
      </c>
      <c r="C347" t="s">
        <v>2366</v>
      </c>
      <c r="D347" t="s">
        <v>6864</v>
      </c>
      <c r="E347" t="s">
        <v>6865</v>
      </c>
      <c r="F347" t="str">
        <f>IF(Table2[[#This Row],[Date posted]]&lt; DATE(2015,9,18),"Before Crisis","During Crisis")</f>
        <v>Before Crisis</v>
      </c>
      <c r="G347" s="27">
        <f t="shared" si="30"/>
        <v>42186</v>
      </c>
      <c r="H347" s="7" t="str">
        <f t="shared" si="31"/>
        <v>23:29:20</v>
      </c>
      <c r="I347" s="8" t="str">
        <f t="shared" si="32"/>
        <v>Evening</v>
      </c>
      <c r="J347" t="s">
        <v>2370</v>
      </c>
      <c r="K347" t="s">
        <v>2370</v>
      </c>
      <c r="L347" s="3">
        <v>0</v>
      </c>
      <c r="M347" s="3">
        <v>0</v>
      </c>
      <c r="N347">
        <v>1</v>
      </c>
      <c r="O347" s="4">
        <f t="shared" si="33"/>
        <v>1</v>
      </c>
      <c r="P347" s="5" t="str">
        <f t="shared" si="34"/>
        <v>Low engagement</v>
      </c>
      <c r="Q347" t="b">
        <v>0</v>
      </c>
      <c r="R347" t="b">
        <v>0</v>
      </c>
      <c r="S347" t="b">
        <v>1</v>
      </c>
      <c r="T347" s="24" t="str">
        <f t="shared" si="35"/>
        <v>Link</v>
      </c>
    </row>
    <row r="348" spans="1:20" x14ac:dyDescent="0.2">
      <c r="A348" t="s">
        <v>6855</v>
      </c>
      <c r="B348" t="s">
        <v>2365</v>
      </c>
      <c r="C348" t="s">
        <v>2366</v>
      </c>
      <c r="D348" t="s">
        <v>6856</v>
      </c>
      <c r="E348" t="s">
        <v>6857</v>
      </c>
      <c r="F348" t="str">
        <f>IF(Table2[[#This Row],[Date posted]]&lt; DATE(2015,9,18),"Before Crisis","During Crisis")</f>
        <v>Before Crisis</v>
      </c>
      <c r="G348" s="27">
        <f t="shared" si="30"/>
        <v>42187</v>
      </c>
      <c r="H348" s="7" t="str">
        <f t="shared" si="31"/>
        <v>00:27:15</v>
      </c>
      <c r="I348" s="8" t="str">
        <f t="shared" si="32"/>
        <v>Early morning</v>
      </c>
      <c r="J348" t="s">
        <v>6858</v>
      </c>
      <c r="K348" t="s">
        <v>2370</v>
      </c>
      <c r="L348" s="3">
        <v>0</v>
      </c>
      <c r="M348" s="3">
        <v>0</v>
      </c>
      <c r="N348">
        <v>1</v>
      </c>
      <c r="O348" s="4">
        <f t="shared" si="33"/>
        <v>1</v>
      </c>
      <c r="P348" s="5" t="str">
        <f t="shared" si="34"/>
        <v>Low engagement</v>
      </c>
      <c r="Q348" t="b">
        <v>0</v>
      </c>
      <c r="R348" t="b">
        <v>0</v>
      </c>
      <c r="S348" t="b">
        <v>1</v>
      </c>
      <c r="T348" s="24" t="str">
        <f t="shared" si="35"/>
        <v>Link</v>
      </c>
    </row>
    <row r="349" spans="1:20" x14ac:dyDescent="0.2">
      <c r="A349" t="s">
        <v>6848</v>
      </c>
      <c r="B349" t="s">
        <v>2365</v>
      </c>
      <c r="C349" t="s">
        <v>2366</v>
      </c>
      <c r="D349" t="s">
        <v>6849</v>
      </c>
      <c r="E349" t="s">
        <v>6850</v>
      </c>
      <c r="F349" t="str">
        <f>IF(Table2[[#This Row],[Date posted]]&lt; DATE(2015,9,18),"Before Crisis","During Crisis")</f>
        <v>Before Crisis</v>
      </c>
      <c r="G349" s="27">
        <f t="shared" si="30"/>
        <v>42187</v>
      </c>
      <c r="H349" s="7" t="str">
        <f t="shared" si="31"/>
        <v>00:55:32</v>
      </c>
      <c r="I349" s="8" t="str">
        <f t="shared" si="32"/>
        <v>Early morning</v>
      </c>
      <c r="J349" t="s">
        <v>2370</v>
      </c>
      <c r="K349" t="s">
        <v>2370</v>
      </c>
      <c r="L349" s="3">
        <v>0</v>
      </c>
      <c r="M349" s="3">
        <v>0</v>
      </c>
      <c r="N349">
        <v>1</v>
      </c>
      <c r="O349" s="4">
        <f t="shared" si="33"/>
        <v>1</v>
      </c>
      <c r="P349" s="5" t="str">
        <f t="shared" si="34"/>
        <v>Low engagement</v>
      </c>
      <c r="Q349" t="b">
        <v>0</v>
      </c>
      <c r="R349" t="b">
        <v>0</v>
      </c>
      <c r="S349" t="b">
        <v>0</v>
      </c>
      <c r="T349" s="24" t="str">
        <f t="shared" si="35"/>
        <v>Text only</v>
      </c>
    </row>
    <row r="350" spans="1:20" hidden="1" x14ac:dyDescent="0.2">
      <c r="A350" t="s">
        <v>6841</v>
      </c>
      <c r="B350" t="s">
        <v>2365</v>
      </c>
      <c r="C350" t="s">
        <v>2366</v>
      </c>
      <c r="D350" t="s">
        <v>6842</v>
      </c>
      <c r="E350" t="s">
        <v>6843</v>
      </c>
      <c r="F350" t="str">
        <f>IF(Table2[[#This Row],[Date posted]]&lt; DATE(2015,9,18),"Before Crisis","During Crisis")</f>
        <v>Before Crisis</v>
      </c>
      <c r="G350" s="27">
        <f t="shared" si="30"/>
        <v>42187</v>
      </c>
      <c r="H350" s="7" t="str">
        <f t="shared" si="31"/>
        <v>17:09:07</v>
      </c>
      <c r="I350" s="8" t="str">
        <f t="shared" si="32"/>
        <v>Afternoon</v>
      </c>
      <c r="J350" t="s">
        <v>6840</v>
      </c>
      <c r="K350" t="s">
        <v>2370</v>
      </c>
      <c r="L350" s="3">
        <v>0</v>
      </c>
      <c r="M350">
        <v>1</v>
      </c>
      <c r="N350">
        <v>1</v>
      </c>
      <c r="O350" s="4">
        <f t="shared" si="33"/>
        <v>2</v>
      </c>
      <c r="P350" s="5" t="str">
        <f t="shared" si="34"/>
        <v>Low engagement</v>
      </c>
      <c r="Q350" t="b">
        <v>0</v>
      </c>
      <c r="R350" t="b">
        <v>0</v>
      </c>
      <c r="S350" t="b">
        <v>1</v>
      </c>
      <c r="T350" s="24" t="str">
        <f t="shared" si="35"/>
        <v>Link</v>
      </c>
    </row>
    <row r="351" spans="1:20" hidden="1" x14ac:dyDescent="0.2">
      <c r="A351" t="s">
        <v>6825</v>
      </c>
      <c r="B351" t="s">
        <v>2365</v>
      </c>
      <c r="C351" t="s">
        <v>2366</v>
      </c>
      <c r="D351" t="s">
        <v>6826</v>
      </c>
      <c r="E351" t="s">
        <v>6827</v>
      </c>
      <c r="F351" t="str">
        <f>IF(Table2[[#This Row],[Date posted]]&lt; DATE(2015,9,18),"Before Crisis","During Crisis")</f>
        <v>Before Crisis</v>
      </c>
      <c r="G351" s="27">
        <f t="shared" si="30"/>
        <v>42187</v>
      </c>
      <c r="H351" s="7" t="str">
        <f t="shared" si="31"/>
        <v>18:26:17</v>
      </c>
      <c r="I351" s="8" t="str">
        <f t="shared" si="32"/>
        <v>Evening</v>
      </c>
      <c r="J351" t="s">
        <v>2370</v>
      </c>
      <c r="K351" t="s">
        <v>2370</v>
      </c>
      <c r="L351" s="3">
        <v>0</v>
      </c>
      <c r="M351" s="3">
        <v>0</v>
      </c>
      <c r="N351">
        <v>1</v>
      </c>
      <c r="O351" s="4">
        <f t="shared" si="33"/>
        <v>1</v>
      </c>
      <c r="P351" s="5" t="str">
        <f t="shared" si="34"/>
        <v>Low engagement</v>
      </c>
      <c r="Q351" t="b">
        <v>0</v>
      </c>
      <c r="R351" t="b">
        <v>0</v>
      </c>
      <c r="S351" t="b">
        <v>0</v>
      </c>
      <c r="T351" s="24" t="str">
        <f t="shared" si="35"/>
        <v>Text only</v>
      </c>
    </row>
    <row r="352" spans="1:20" hidden="1" x14ac:dyDescent="0.2">
      <c r="A352" t="s">
        <v>6818</v>
      </c>
      <c r="B352" t="s">
        <v>2365</v>
      </c>
      <c r="C352" t="s">
        <v>2366</v>
      </c>
      <c r="D352" t="s">
        <v>6819</v>
      </c>
      <c r="E352" t="s">
        <v>6820</v>
      </c>
      <c r="F352" t="str">
        <f>IF(Table2[[#This Row],[Date posted]]&lt; DATE(2015,9,18),"Before Crisis","During Crisis")</f>
        <v>Before Crisis</v>
      </c>
      <c r="G352" s="27">
        <f t="shared" si="30"/>
        <v>42187</v>
      </c>
      <c r="H352" s="7" t="str">
        <f t="shared" si="31"/>
        <v>20:05:45</v>
      </c>
      <c r="I352" s="8" t="str">
        <f t="shared" si="32"/>
        <v>Evening</v>
      </c>
      <c r="J352" t="s">
        <v>6817</v>
      </c>
      <c r="K352" t="s">
        <v>2370</v>
      </c>
      <c r="L352" s="3">
        <v>0</v>
      </c>
      <c r="M352" s="3">
        <v>0</v>
      </c>
      <c r="N352">
        <v>1</v>
      </c>
      <c r="O352" s="4">
        <f t="shared" si="33"/>
        <v>1</v>
      </c>
      <c r="P352" s="5" t="str">
        <f t="shared" si="34"/>
        <v>Low engagement</v>
      </c>
      <c r="Q352" t="b">
        <v>0</v>
      </c>
      <c r="R352" t="b">
        <v>0</v>
      </c>
      <c r="S352" t="b">
        <v>0</v>
      </c>
      <c r="T352" s="24" t="str">
        <f t="shared" si="35"/>
        <v>Text only</v>
      </c>
    </row>
    <row r="353" spans="1:20" hidden="1" x14ac:dyDescent="0.2">
      <c r="A353" t="s">
        <v>6814</v>
      </c>
      <c r="B353" t="s">
        <v>2365</v>
      </c>
      <c r="C353" t="s">
        <v>2366</v>
      </c>
      <c r="D353" t="s">
        <v>6815</v>
      </c>
      <c r="E353" t="s">
        <v>6816</v>
      </c>
      <c r="F353" t="str">
        <f>IF(Table2[[#This Row],[Date posted]]&lt; DATE(2015,9,18),"Before Crisis","During Crisis")</f>
        <v>Before Crisis</v>
      </c>
      <c r="G353" s="27">
        <f t="shared" si="30"/>
        <v>42187</v>
      </c>
      <c r="H353" s="7" t="str">
        <f t="shared" si="31"/>
        <v>20:05:46</v>
      </c>
      <c r="I353" s="8" t="str">
        <f t="shared" si="32"/>
        <v>Evening</v>
      </c>
      <c r="J353" t="s">
        <v>6817</v>
      </c>
      <c r="K353" t="s">
        <v>2370</v>
      </c>
      <c r="L353" s="3">
        <v>0</v>
      </c>
      <c r="M353" s="3">
        <v>0</v>
      </c>
      <c r="N353">
        <v>1</v>
      </c>
      <c r="O353" s="4">
        <f t="shared" si="33"/>
        <v>1</v>
      </c>
      <c r="P353" s="5" t="str">
        <f t="shared" si="34"/>
        <v>Low engagement</v>
      </c>
      <c r="Q353" t="b">
        <v>0</v>
      </c>
      <c r="R353" t="b">
        <v>0</v>
      </c>
      <c r="S353" t="b">
        <v>0</v>
      </c>
      <c r="T353" s="24" t="str">
        <f t="shared" si="35"/>
        <v>Text only</v>
      </c>
    </row>
    <row r="354" spans="1:20" hidden="1" x14ac:dyDescent="0.2">
      <c r="A354" t="s">
        <v>6811</v>
      </c>
      <c r="B354" t="s">
        <v>2365</v>
      </c>
      <c r="C354" t="s">
        <v>2366</v>
      </c>
      <c r="D354" t="s">
        <v>6812</v>
      </c>
      <c r="E354" t="s">
        <v>6813</v>
      </c>
      <c r="F354" t="str">
        <f>IF(Table2[[#This Row],[Date posted]]&lt; DATE(2015,9,18),"Before Crisis","During Crisis")</f>
        <v>Before Crisis</v>
      </c>
      <c r="G354" s="27">
        <f t="shared" si="30"/>
        <v>42187</v>
      </c>
      <c r="H354" s="7" t="str">
        <f t="shared" si="31"/>
        <v>20:35:48</v>
      </c>
      <c r="I354" s="8" t="str">
        <f t="shared" si="32"/>
        <v>Evening</v>
      </c>
      <c r="J354" t="s">
        <v>6810</v>
      </c>
      <c r="K354" t="s">
        <v>2370</v>
      </c>
      <c r="L354" s="3">
        <v>0</v>
      </c>
      <c r="M354" s="3">
        <v>0</v>
      </c>
      <c r="N354">
        <v>1</v>
      </c>
      <c r="O354" s="4">
        <f t="shared" si="33"/>
        <v>1</v>
      </c>
      <c r="P354" s="5" t="str">
        <f t="shared" si="34"/>
        <v>Low engagement</v>
      </c>
      <c r="Q354" t="b">
        <v>0</v>
      </c>
      <c r="R354" t="b">
        <v>0</v>
      </c>
      <c r="S354" t="b">
        <v>0</v>
      </c>
      <c r="T354" s="24" t="str">
        <f t="shared" si="35"/>
        <v>Text only</v>
      </c>
    </row>
    <row r="355" spans="1:20" hidden="1" x14ac:dyDescent="0.2">
      <c r="A355" t="s">
        <v>6807</v>
      </c>
      <c r="B355" t="s">
        <v>2365</v>
      </c>
      <c r="C355" t="s">
        <v>2366</v>
      </c>
      <c r="D355" t="s">
        <v>6808</v>
      </c>
      <c r="E355" t="s">
        <v>6809</v>
      </c>
      <c r="F355" t="str">
        <f>IF(Table2[[#This Row],[Date posted]]&lt; DATE(2015,9,18),"Before Crisis","During Crisis")</f>
        <v>Before Crisis</v>
      </c>
      <c r="G355" s="27">
        <f t="shared" si="30"/>
        <v>42187</v>
      </c>
      <c r="H355" s="7" t="str">
        <f t="shared" si="31"/>
        <v>20:35:49</v>
      </c>
      <c r="I355" s="8" t="str">
        <f t="shared" si="32"/>
        <v>Evening</v>
      </c>
      <c r="J355" t="s">
        <v>6810</v>
      </c>
      <c r="K355" t="s">
        <v>2370</v>
      </c>
      <c r="L355" s="3">
        <v>0</v>
      </c>
      <c r="M355">
        <v>1</v>
      </c>
      <c r="N355">
        <v>1</v>
      </c>
      <c r="O355" s="4">
        <f t="shared" si="33"/>
        <v>2</v>
      </c>
      <c r="P355" s="5" t="str">
        <f t="shared" si="34"/>
        <v>Low engagement</v>
      </c>
      <c r="Q355" t="b">
        <v>0</v>
      </c>
      <c r="R355" t="b">
        <v>0</v>
      </c>
      <c r="S355" t="b">
        <v>0</v>
      </c>
      <c r="T355" s="24" t="str">
        <f t="shared" si="35"/>
        <v>Text only</v>
      </c>
    </row>
    <row r="356" spans="1:20" hidden="1" x14ac:dyDescent="0.2">
      <c r="A356" t="s">
        <v>6756</v>
      </c>
      <c r="B356" t="s">
        <v>2365</v>
      </c>
      <c r="C356" t="s">
        <v>2366</v>
      </c>
      <c r="D356" t="s">
        <v>6757</v>
      </c>
      <c r="E356" t="s">
        <v>6758</v>
      </c>
      <c r="F356" t="str">
        <f>IF(Table2[[#This Row],[Date posted]]&lt; DATE(2015,9,18),"Before Crisis","During Crisis")</f>
        <v>Before Crisis</v>
      </c>
      <c r="G356" s="27">
        <f t="shared" si="30"/>
        <v>42188</v>
      </c>
      <c r="H356" s="7" t="str">
        <f t="shared" si="31"/>
        <v>21:34:04</v>
      </c>
      <c r="I356" s="8" t="str">
        <f t="shared" si="32"/>
        <v>Evening</v>
      </c>
      <c r="J356" t="s">
        <v>6759</v>
      </c>
      <c r="K356" t="s">
        <v>2370</v>
      </c>
      <c r="L356" s="3">
        <v>0</v>
      </c>
      <c r="M356" s="3">
        <v>0</v>
      </c>
      <c r="N356">
        <v>1</v>
      </c>
      <c r="O356" s="4">
        <f t="shared" si="33"/>
        <v>1</v>
      </c>
      <c r="P356" s="5" t="str">
        <f t="shared" si="34"/>
        <v>Low engagement</v>
      </c>
      <c r="Q356" t="b">
        <v>0</v>
      </c>
      <c r="R356" t="b">
        <v>0</v>
      </c>
      <c r="S356" t="b">
        <v>1</v>
      </c>
      <c r="T356" s="24" t="str">
        <f t="shared" si="35"/>
        <v>Link</v>
      </c>
    </row>
    <row r="357" spans="1:20" hidden="1" x14ac:dyDescent="0.2">
      <c r="A357" t="s">
        <v>6760</v>
      </c>
      <c r="B357" t="s">
        <v>2365</v>
      </c>
      <c r="C357" t="s">
        <v>2366</v>
      </c>
      <c r="D357" t="s">
        <v>6761</v>
      </c>
      <c r="E357" t="s">
        <v>6758</v>
      </c>
      <c r="F357" t="str">
        <f>IF(Table2[[#This Row],[Date posted]]&lt; DATE(2015,9,18),"Before Crisis","During Crisis")</f>
        <v>Before Crisis</v>
      </c>
      <c r="G357" s="27">
        <f t="shared" si="30"/>
        <v>42188</v>
      </c>
      <c r="H357" s="7" t="str">
        <f t="shared" si="31"/>
        <v>21:34:04</v>
      </c>
      <c r="I357" s="8" t="str">
        <f t="shared" si="32"/>
        <v>Evening</v>
      </c>
      <c r="J357" t="s">
        <v>6759</v>
      </c>
      <c r="K357" t="s">
        <v>2370</v>
      </c>
      <c r="L357" s="3">
        <v>0</v>
      </c>
      <c r="M357" s="3">
        <v>0</v>
      </c>
      <c r="N357">
        <v>1</v>
      </c>
      <c r="O357" s="4">
        <f t="shared" si="33"/>
        <v>1</v>
      </c>
      <c r="P357" s="5" t="str">
        <f t="shared" si="34"/>
        <v>Low engagement</v>
      </c>
      <c r="Q357" t="b">
        <v>0</v>
      </c>
      <c r="R357" t="b">
        <v>0</v>
      </c>
      <c r="S357" t="b">
        <v>0</v>
      </c>
      <c r="T357" s="24" t="str">
        <f t="shared" si="35"/>
        <v>Text only</v>
      </c>
    </row>
    <row r="358" spans="1:20" hidden="1" x14ac:dyDescent="0.2">
      <c r="A358" t="s">
        <v>6747</v>
      </c>
      <c r="B358" t="s">
        <v>2365</v>
      </c>
      <c r="C358" t="s">
        <v>2366</v>
      </c>
      <c r="D358" t="s">
        <v>6748</v>
      </c>
      <c r="E358" t="s">
        <v>6749</v>
      </c>
      <c r="F358" t="str">
        <f>IF(Table2[[#This Row],[Date posted]]&lt; DATE(2015,9,18),"Before Crisis","During Crisis")</f>
        <v>Before Crisis</v>
      </c>
      <c r="G358" s="27">
        <f t="shared" si="30"/>
        <v>42188</v>
      </c>
      <c r="H358" s="7" t="str">
        <f t="shared" si="31"/>
        <v>21:44:40</v>
      </c>
      <c r="I358" s="8" t="str">
        <f t="shared" si="32"/>
        <v>Evening</v>
      </c>
      <c r="J358" t="s">
        <v>6750</v>
      </c>
      <c r="K358" t="s">
        <v>2370</v>
      </c>
      <c r="L358">
        <v>1</v>
      </c>
      <c r="M358" s="3">
        <v>0</v>
      </c>
      <c r="N358">
        <v>1</v>
      </c>
      <c r="O358" s="4">
        <f t="shared" si="33"/>
        <v>2</v>
      </c>
      <c r="P358" s="5" t="str">
        <f t="shared" si="34"/>
        <v>Low engagement</v>
      </c>
      <c r="Q358" t="b">
        <v>0</v>
      </c>
      <c r="R358" t="b">
        <v>0</v>
      </c>
      <c r="S358" t="b">
        <v>0</v>
      </c>
      <c r="T358" s="24" t="str">
        <f t="shared" si="35"/>
        <v>Text only</v>
      </c>
    </row>
    <row r="359" spans="1:20" hidden="1" x14ac:dyDescent="0.2">
      <c r="A359" t="s">
        <v>6751</v>
      </c>
      <c r="B359" t="s">
        <v>2365</v>
      </c>
      <c r="C359" t="s">
        <v>2366</v>
      </c>
      <c r="D359" t="s">
        <v>6752</v>
      </c>
      <c r="E359" t="s">
        <v>6749</v>
      </c>
      <c r="F359" t="str">
        <f>IF(Table2[[#This Row],[Date posted]]&lt; DATE(2015,9,18),"Before Crisis","During Crisis")</f>
        <v>Before Crisis</v>
      </c>
      <c r="G359" s="27">
        <f t="shared" si="30"/>
        <v>42188</v>
      </c>
      <c r="H359" s="7" t="str">
        <f t="shared" si="31"/>
        <v>21:44:40</v>
      </c>
      <c r="I359" s="8" t="str">
        <f t="shared" si="32"/>
        <v>Evening</v>
      </c>
      <c r="J359" t="s">
        <v>6750</v>
      </c>
      <c r="K359" t="s">
        <v>2370</v>
      </c>
      <c r="L359" s="3">
        <v>0</v>
      </c>
      <c r="M359" s="3">
        <v>0</v>
      </c>
      <c r="N359">
        <v>1</v>
      </c>
      <c r="O359" s="4">
        <f t="shared" si="33"/>
        <v>1</v>
      </c>
      <c r="P359" s="5" t="str">
        <f t="shared" si="34"/>
        <v>Low engagement</v>
      </c>
      <c r="Q359" t="b">
        <v>0</v>
      </c>
      <c r="R359" t="b">
        <v>0</v>
      </c>
      <c r="S359" t="b">
        <v>0</v>
      </c>
      <c r="T359" s="24" t="str">
        <f t="shared" si="35"/>
        <v>Text only</v>
      </c>
    </row>
    <row r="360" spans="1:20" hidden="1" x14ac:dyDescent="0.2">
      <c r="A360" t="s">
        <v>6744</v>
      </c>
      <c r="B360" t="s">
        <v>2365</v>
      </c>
      <c r="C360" t="s">
        <v>2366</v>
      </c>
      <c r="D360" t="s">
        <v>6745</v>
      </c>
      <c r="E360" t="s">
        <v>6746</v>
      </c>
      <c r="F360" t="str">
        <f>IF(Table2[[#This Row],[Date posted]]&lt; DATE(2015,9,18),"Before Crisis","During Crisis")</f>
        <v>Before Crisis</v>
      </c>
      <c r="G360" s="27">
        <f t="shared" si="30"/>
        <v>42188</v>
      </c>
      <c r="H360" s="7" t="str">
        <f t="shared" si="31"/>
        <v>21:51:47</v>
      </c>
      <c r="I360" s="8" t="str">
        <f t="shared" si="32"/>
        <v>Evening</v>
      </c>
      <c r="J360" t="s">
        <v>5609</v>
      </c>
      <c r="K360" t="s">
        <v>2370</v>
      </c>
      <c r="L360" s="3">
        <v>0</v>
      </c>
      <c r="M360" s="3">
        <v>0</v>
      </c>
      <c r="N360">
        <v>1</v>
      </c>
      <c r="O360" s="4">
        <f t="shared" si="33"/>
        <v>1</v>
      </c>
      <c r="P360" s="5" t="str">
        <f t="shared" si="34"/>
        <v>Low engagement</v>
      </c>
      <c r="Q360" t="b">
        <v>0</v>
      </c>
      <c r="R360" t="b">
        <v>0</v>
      </c>
      <c r="S360" t="b">
        <v>0</v>
      </c>
      <c r="T360" s="24" t="str">
        <f t="shared" si="35"/>
        <v>Text only</v>
      </c>
    </row>
    <row r="361" spans="1:20" hidden="1" x14ac:dyDescent="0.2">
      <c r="A361" t="s">
        <v>6707</v>
      </c>
      <c r="B361" t="s">
        <v>2365</v>
      </c>
      <c r="C361" t="s">
        <v>2366</v>
      </c>
      <c r="D361" t="s">
        <v>6708</v>
      </c>
      <c r="E361" t="s">
        <v>6709</v>
      </c>
      <c r="F361" t="str">
        <f>IF(Table2[[#This Row],[Date posted]]&lt; DATE(2015,9,18),"Before Crisis","During Crisis")</f>
        <v>Before Crisis</v>
      </c>
      <c r="G361" s="27">
        <f t="shared" si="30"/>
        <v>42190</v>
      </c>
      <c r="H361" s="7" t="str">
        <f t="shared" si="31"/>
        <v>22:26:19</v>
      </c>
      <c r="I361" s="8" t="str">
        <f t="shared" si="32"/>
        <v>Evening</v>
      </c>
      <c r="J361" t="s">
        <v>6710</v>
      </c>
      <c r="K361" t="s">
        <v>2370</v>
      </c>
      <c r="L361" s="3">
        <v>0</v>
      </c>
      <c r="M361" s="3">
        <v>0</v>
      </c>
      <c r="N361">
        <v>1</v>
      </c>
      <c r="O361" s="4">
        <f t="shared" si="33"/>
        <v>1</v>
      </c>
      <c r="P361" s="5" t="str">
        <f t="shared" si="34"/>
        <v>Low engagement</v>
      </c>
      <c r="Q361" t="b">
        <v>0</v>
      </c>
      <c r="R361" t="b">
        <v>0</v>
      </c>
      <c r="S361" t="b">
        <v>0</v>
      </c>
      <c r="T361" s="24" t="str">
        <f t="shared" si="35"/>
        <v>Text only</v>
      </c>
    </row>
    <row r="362" spans="1:20" hidden="1" x14ac:dyDescent="0.2">
      <c r="A362" t="s">
        <v>6711</v>
      </c>
      <c r="B362" t="s">
        <v>2365</v>
      </c>
      <c r="C362" t="s">
        <v>2366</v>
      </c>
      <c r="D362" t="s">
        <v>6712</v>
      </c>
      <c r="E362" t="s">
        <v>6709</v>
      </c>
      <c r="F362" t="str">
        <f>IF(Table2[[#This Row],[Date posted]]&lt; DATE(2015,9,18),"Before Crisis","During Crisis")</f>
        <v>Before Crisis</v>
      </c>
      <c r="G362" s="27">
        <f t="shared" si="30"/>
        <v>42190</v>
      </c>
      <c r="H362" s="7" t="str">
        <f t="shared" si="31"/>
        <v>22:26:19</v>
      </c>
      <c r="I362" s="8" t="str">
        <f t="shared" si="32"/>
        <v>Evening</v>
      </c>
      <c r="J362" t="s">
        <v>6710</v>
      </c>
      <c r="K362" t="s">
        <v>2370</v>
      </c>
      <c r="L362" s="3">
        <v>0</v>
      </c>
      <c r="M362" s="3">
        <v>0</v>
      </c>
      <c r="N362">
        <v>1</v>
      </c>
      <c r="O362" s="4">
        <f t="shared" si="33"/>
        <v>1</v>
      </c>
      <c r="P362" s="5" t="str">
        <f t="shared" si="34"/>
        <v>Low engagement</v>
      </c>
      <c r="Q362" t="b">
        <v>0</v>
      </c>
      <c r="R362" t="b">
        <v>0</v>
      </c>
      <c r="S362" t="b">
        <v>0</v>
      </c>
      <c r="T362" s="24" t="str">
        <f t="shared" si="35"/>
        <v>Text only</v>
      </c>
    </row>
    <row r="363" spans="1:20" x14ac:dyDescent="0.2">
      <c r="A363" t="s">
        <v>6654</v>
      </c>
      <c r="B363" t="s">
        <v>2365</v>
      </c>
      <c r="C363" t="s">
        <v>2366</v>
      </c>
      <c r="D363" t="s">
        <v>6655</v>
      </c>
      <c r="E363" t="s">
        <v>6656</v>
      </c>
      <c r="F363" t="str">
        <f>IF(Table2[[#This Row],[Date posted]]&lt; DATE(2015,9,18),"Before Crisis","During Crisis")</f>
        <v>Before Crisis</v>
      </c>
      <c r="G363" s="27">
        <f t="shared" si="30"/>
        <v>42192</v>
      </c>
      <c r="H363" s="7" t="str">
        <f t="shared" si="31"/>
        <v>00:36:55</v>
      </c>
      <c r="I363" s="8" t="str">
        <f t="shared" si="32"/>
        <v>Early morning</v>
      </c>
      <c r="J363" t="s">
        <v>6657</v>
      </c>
      <c r="K363" t="s">
        <v>2370</v>
      </c>
      <c r="L363" s="3">
        <v>0</v>
      </c>
      <c r="M363" s="3">
        <v>0</v>
      </c>
      <c r="N363">
        <v>1</v>
      </c>
      <c r="O363" s="4">
        <f t="shared" si="33"/>
        <v>1</v>
      </c>
      <c r="P363" s="5" t="str">
        <f t="shared" si="34"/>
        <v>Low engagement</v>
      </c>
      <c r="Q363" t="b">
        <v>0</v>
      </c>
      <c r="R363" t="b">
        <v>0</v>
      </c>
      <c r="S363" t="b">
        <v>0</v>
      </c>
      <c r="T363" s="24" t="str">
        <f t="shared" si="35"/>
        <v>Text only</v>
      </c>
    </row>
    <row r="364" spans="1:20" x14ac:dyDescent="0.2">
      <c r="A364" t="s">
        <v>6638</v>
      </c>
      <c r="B364" t="s">
        <v>2365</v>
      </c>
      <c r="C364" t="s">
        <v>2366</v>
      </c>
      <c r="D364" t="s">
        <v>6639</v>
      </c>
      <c r="E364" t="s">
        <v>6640</v>
      </c>
      <c r="F364" t="str">
        <f>IF(Table2[[#This Row],[Date posted]]&lt; DATE(2015,9,18),"Before Crisis","During Crisis")</f>
        <v>Before Crisis</v>
      </c>
      <c r="G364" s="27">
        <f t="shared" si="30"/>
        <v>42192</v>
      </c>
      <c r="H364" s="7" t="str">
        <f t="shared" si="31"/>
        <v>00:43:46</v>
      </c>
      <c r="I364" s="8" t="str">
        <f t="shared" si="32"/>
        <v>Early morning</v>
      </c>
      <c r="J364" t="s">
        <v>2370</v>
      </c>
      <c r="K364" t="s">
        <v>2370</v>
      </c>
      <c r="L364" s="3">
        <v>0</v>
      </c>
      <c r="M364" s="3">
        <v>0</v>
      </c>
      <c r="N364">
        <v>1</v>
      </c>
      <c r="O364" s="4">
        <f t="shared" si="33"/>
        <v>1</v>
      </c>
      <c r="P364" s="5" t="str">
        <f t="shared" si="34"/>
        <v>Low engagement</v>
      </c>
      <c r="Q364" t="b">
        <v>0</v>
      </c>
      <c r="R364" t="b">
        <v>0</v>
      </c>
      <c r="S364" t="b">
        <v>1</v>
      </c>
      <c r="T364" s="24" t="str">
        <f t="shared" si="35"/>
        <v>Link</v>
      </c>
    </row>
    <row r="365" spans="1:20" x14ac:dyDescent="0.2">
      <c r="A365" t="s">
        <v>6629</v>
      </c>
      <c r="B365" t="s">
        <v>2365</v>
      </c>
      <c r="C365" t="s">
        <v>2366</v>
      </c>
      <c r="D365" t="s">
        <v>6630</v>
      </c>
      <c r="E365" t="s">
        <v>6631</v>
      </c>
      <c r="F365" t="str">
        <f>IF(Table2[[#This Row],[Date posted]]&lt; DATE(2015,9,18),"Before Crisis","During Crisis")</f>
        <v>Before Crisis</v>
      </c>
      <c r="G365" s="27">
        <f t="shared" si="30"/>
        <v>42192</v>
      </c>
      <c r="H365" s="7" t="str">
        <f t="shared" si="31"/>
        <v>00:47:17</v>
      </c>
      <c r="I365" s="8" t="str">
        <f t="shared" si="32"/>
        <v>Early morning</v>
      </c>
      <c r="J365" t="s">
        <v>6632</v>
      </c>
      <c r="K365" t="s">
        <v>2370</v>
      </c>
      <c r="L365" s="3">
        <v>0</v>
      </c>
      <c r="M365" s="3">
        <v>0</v>
      </c>
      <c r="N365">
        <v>1</v>
      </c>
      <c r="O365" s="4">
        <f t="shared" si="33"/>
        <v>1</v>
      </c>
      <c r="P365" s="5" t="str">
        <f t="shared" si="34"/>
        <v>Low engagement</v>
      </c>
      <c r="Q365" t="b">
        <v>0</v>
      </c>
      <c r="R365" t="b">
        <v>0</v>
      </c>
      <c r="S365" t="b">
        <v>1</v>
      </c>
      <c r="T365" s="24" t="str">
        <f t="shared" si="35"/>
        <v>Link</v>
      </c>
    </row>
    <row r="366" spans="1:20" x14ac:dyDescent="0.2">
      <c r="A366" t="s">
        <v>6633</v>
      </c>
      <c r="B366" t="s">
        <v>2365</v>
      </c>
      <c r="C366" t="s">
        <v>2366</v>
      </c>
      <c r="D366" t="s">
        <v>6634</v>
      </c>
      <c r="E366" t="s">
        <v>6631</v>
      </c>
      <c r="F366" t="str">
        <f>IF(Table2[[#This Row],[Date posted]]&lt; DATE(2015,9,18),"Before Crisis","During Crisis")</f>
        <v>Before Crisis</v>
      </c>
      <c r="G366" s="27">
        <f t="shared" si="30"/>
        <v>42192</v>
      </c>
      <c r="H366" s="7" t="str">
        <f t="shared" si="31"/>
        <v>00:47:17</v>
      </c>
      <c r="I366" s="8" t="str">
        <f t="shared" si="32"/>
        <v>Early morning</v>
      </c>
      <c r="J366" t="s">
        <v>6632</v>
      </c>
      <c r="K366" t="s">
        <v>2370</v>
      </c>
      <c r="L366" s="3">
        <v>0</v>
      </c>
      <c r="M366" s="3">
        <v>0</v>
      </c>
      <c r="N366">
        <v>1</v>
      </c>
      <c r="O366" s="4">
        <f t="shared" si="33"/>
        <v>1</v>
      </c>
      <c r="P366" s="5" t="str">
        <f t="shared" si="34"/>
        <v>Low engagement</v>
      </c>
      <c r="Q366" t="b">
        <v>0</v>
      </c>
      <c r="R366" t="b">
        <v>0</v>
      </c>
      <c r="S366" t="b">
        <v>0</v>
      </c>
      <c r="T366" s="24" t="str">
        <f t="shared" si="35"/>
        <v>Text only</v>
      </c>
    </row>
    <row r="367" spans="1:20" x14ac:dyDescent="0.2">
      <c r="A367" t="s">
        <v>6635</v>
      </c>
      <c r="B367" t="s">
        <v>2365</v>
      </c>
      <c r="C367" t="s">
        <v>2366</v>
      </c>
      <c r="D367" t="s">
        <v>6636</v>
      </c>
      <c r="E367" t="s">
        <v>6631</v>
      </c>
      <c r="F367" t="str">
        <f>IF(Table2[[#This Row],[Date posted]]&lt; DATE(2015,9,18),"Before Crisis","During Crisis")</f>
        <v>Before Crisis</v>
      </c>
      <c r="G367" s="27">
        <f t="shared" si="30"/>
        <v>42192</v>
      </c>
      <c r="H367" s="7" t="str">
        <f t="shared" si="31"/>
        <v>00:47:17</v>
      </c>
      <c r="I367" s="8" t="str">
        <f t="shared" si="32"/>
        <v>Early morning</v>
      </c>
      <c r="J367" t="s">
        <v>6637</v>
      </c>
      <c r="K367" t="s">
        <v>2370</v>
      </c>
      <c r="L367" s="3">
        <v>0</v>
      </c>
      <c r="M367" s="3">
        <v>0</v>
      </c>
      <c r="N367">
        <v>1</v>
      </c>
      <c r="O367" s="4">
        <f t="shared" si="33"/>
        <v>1</v>
      </c>
      <c r="P367" s="5" t="str">
        <f t="shared" si="34"/>
        <v>Low engagement</v>
      </c>
      <c r="Q367" t="b">
        <v>0</v>
      </c>
      <c r="R367" t="b">
        <v>0</v>
      </c>
      <c r="S367" t="b">
        <v>0</v>
      </c>
      <c r="T367" s="24" t="str">
        <f t="shared" si="35"/>
        <v>Text only</v>
      </c>
    </row>
    <row r="368" spans="1:20" x14ac:dyDescent="0.2">
      <c r="A368" t="s">
        <v>6625</v>
      </c>
      <c r="B368" t="s">
        <v>2365</v>
      </c>
      <c r="C368" t="s">
        <v>2366</v>
      </c>
      <c r="D368" t="s">
        <v>6626</v>
      </c>
      <c r="E368" t="s">
        <v>6627</v>
      </c>
      <c r="F368" t="str">
        <f>IF(Table2[[#This Row],[Date posted]]&lt; DATE(2015,9,18),"Before Crisis","During Crisis")</f>
        <v>Before Crisis</v>
      </c>
      <c r="G368" s="27">
        <f t="shared" si="30"/>
        <v>42192</v>
      </c>
      <c r="H368" s="7" t="str">
        <f t="shared" si="31"/>
        <v>01:01:00</v>
      </c>
      <c r="I368" s="8" t="str">
        <f t="shared" si="32"/>
        <v>Early morning</v>
      </c>
      <c r="J368" t="s">
        <v>6628</v>
      </c>
      <c r="K368" t="s">
        <v>2370</v>
      </c>
      <c r="L368">
        <v>1</v>
      </c>
      <c r="M368" s="3">
        <v>0</v>
      </c>
      <c r="N368">
        <v>1</v>
      </c>
      <c r="O368" s="4">
        <f t="shared" si="33"/>
        <v>2</v>
      </c>
      <c r="P368" s="5" t="str">
        <f t="shared" si="34"/>
        <v>Low engagement</v>
      </c>
      <c r="Q368" t="b">
        <v>0</v>
      </c>
      <c r="R368" t="b">
        <v>0</v>
      </c>
      <c r="S368" t="b">
        <v>1</v>
      </c>
      <c r="T368" s="24" t="str">
        <f t="shared" si="35"/>
        <v>Link</v>
      </c>
    </row>
    <row r="369" spans="1:20" hidden="1" x14ac:dyDescent="0.2">
      <c r="A369" t="s">
        <v>6613</v>
      </c>
      <c r="B369" t="s">
        <v>2365</v>
      </c>
      <c r="C369" t="s">
        <v>2366</v>
      </c>
      <c r="D369" t="s">
        <v>6614</v>
      </c>
      <c r="E369" t="s">
        <v>6615</v>
      </c>
      <c r="F369" t="str">
        <f>IF(Table2[[#This Row],[Date posted]]&lt; DATE(2015,9,18),"Before Crisis","During Crisis")</f>
        <v>Before Crisis</v>
      </c>
      <c r="G369" s="27">
        <f t="shared" si="30"/>
        <v>42192</v>
      </c>
      <c r="H369" s="7" t="str">
        <f t="shared" si="31"/>
        <v>22:21:12</v>
      </c>
      <c r="I369" s="8" t="str">
        <f t="shared" si="32"/>
        <v>Evening</v>
      </c>
      <c r="J369" t="s">
        <v>6616</v>
      </c>
      <c r="K369" t="s">
        <v>2370</v>
      </c>
      <c r="L369">
        <v>1</v>
      </c>
      <c r="M369" s="3">
        <v>0</v>
      </c>
      <c r="N369">
        <v>1</v>
      </c>
      <c r="O369" s="4">
        <f t="shared" si="33"/>
        <v>2</v>
      </c>
      <c r="P369" s="5" t="str">
        <f t="shared" si="34"/>
        <v>Low engagement</v>
      </c>
      <c r="Q369" t="b">
        <v>0</v>
      </c>
      <c r="R369" t="b">
        <v>0</v>
      </c>
      <c r="S369" t="b">
        <v>0</v>
      </c>
      <c r="T369" s="24" t="str">
        <f t="shared" si="35"/>
        <v>Text only</v>
      </c>
    </row>
    <row r="370" spans="1:20" hidden="1" x14ac:dyDescent="0.2">
      <c r="A370" t="s">
        <v>6603</v>
      </c>
      <c r="B370" t="s">
        <v>2365</v>
      </c>
      <c r="C370" t="s">
        <v>2366</v>
      </c>
      <c r="D370" t="s">
        <v>6604</v>
      </c>
      <c r="E370" t="s">
        <v>6605</v>
      </c>
      <c r="F370" t="str">
        <f>IF(Table2[[#This Row],[Date posted]]&lt; DATE(2015,9,18),"Before Crisis","During Crisis")</f>
        <v>Before Crisis</v>
      </c>
      <c r="G370" s="27">
        <f t="shared" si="30"/>
        <v>42193</v>
      </c>
      <c r="H370" s="7" t="str">
        <f t="shared" si="31"/>
        <v>12:18:59</v>
      </c>
      <c r="I370" s="8" t="str">
        <f t="shared" si="32"/>
        <v>Mid-day</v>
      </c>
      <c r="J370" t="s">
        <v>6606</v>
      </c>
      <c r="K370" t="s">
        <v>2370</v>
      </c>
      <c r="L370" s="3">
        <v>0</v>
      </c>
      <c r="M370" s="3">
        <v>0</v>
      </c>
      <c r="N370">
        <v>1</v>
      </c>
      <c r="O370" s="4">
        <f t="shared" si="33"/>
        <v>1</v>
      </c>
      <c r="P370" s="5" t="str">
        <f t="shared" si="34"/>
        <v>Low engagement</v>
      </c>
      <c r="Q370" t="b">
        <v>0</v>
      </c>
      <c r="R370" t="b">
        <v>0</v>
      </c>
      <c r="S370" t="b">
        <v>0</v>
      </c>
      <c r="T370" s="24" t="str">
        <f t="shared" si="35"/>
        <v>Text only</v>
      </c>
    </row>
    <row r="371" spans="1:20" hidden="1" x14ac:dyDescent="0.2">
      <c r="A371" t="s">
        <v>6551</v>
      </c>
      <c r="B371" t="s">
        <v>2365</v>
      </c>
      <c r="C371" t="s">
        <v>2366</v>
      </c>
      <c r="D371" t="s">
        <v>6552</v>
      </c>
      <c r="E371" t="s">
        <v>6553</v>
      </c>
      <c r="F371" t="str">
        <f>IF(Table2[[#This Row],[Date posted]]&lt; DATE(2015,9,18),"Before Crisis","During Crisis")</f>
        <v>Before Crisis</v>
      </c>
      <c r="G371" s="27">
        <f t="shared" si="30"/>
        <v>42193</v>
      </c>
      <c r="H371" s="7" t="str">
        <f t="shared" si="31"/>
        <v>21:54:10</v>
      </c>
      <c r="I371" s="8" t="str">
        <f t="shared" si="32"/>
        <v>Evening</v>
      </c>
      <c r="J371" t="s">
        <v>6554</v>
      </c>
      <c r="K371" t="s">
        <v>2370</v>
      </c>
      <c r="L371">
        <v>2</v>
      </c>
      <c r="M371" s="3">
        <v>0</v>
      </c>
      <c r="N371">
        <v>1</v>
      </c>
      <c r="O371" s="4">
        <f t="shared" si="33"/>
        <v>3</v>
      </c>
      <c r="P371" s="5" t="str">
        <f t="shared" si="34"/>
        <v>Low engagement</v>
      </c>
      <c r="Q371" t="b">
        <v>0</v>
      </c>
      <c r="R371" t="b">
        <v>0</v>
      </c>
      <c r="S371" t="b">
        <v>0</v>
      </c>
      <c r="T371" s="24" t="str">
        <f t="shared" si="35"/>
        <v>Text only</v>
      </c>
    </row>
    <row r="372" spans="1:20" x14ac:dyDescent="0.2">
      <c r="A372" t="s">
        <v>6548</v>
      </c>
      <c r="B372" t="s">
        <v>2365</v>
      </c>
      <c r="C372" t="s">
        <v>2366</v>
      </c>
      <c r="D372" t="s">
        <v>6549</v>
      </c>
      <c r="E372" t="s">
        <v>6550</v>
      </c>
      <c r="F372" t="str">
        <f>IF(Table2[[#This Row],[Date posted]]&lt; DATE(2015,9,18),"Before Crisis","During Crisis")</f>
        <v>Before Crisis</v>
      </c>
      <c r="G372" s="27">
        <f t="shared" si="30"/>
        <v>42194</v>
      </c>
      <c r="H372" s="7" t="str">
        <f t="shared" si="31"/>
        <v>00:26:21</v>
      </c>
      <c r="I372" s="8" t="str">
        <f t="shared" si="32"/>
        <v>Early morning</v>
      </c>
      <c r="J372" t="s">
        <v>2370</v>
      </c>
      <c r="K372" t="s">
        <v>2370</v>
      </c>
      <c r="L372" s="3">
        <v>0</v>
      </c>
      <c r="M372" s="3">
        <v>0</v>
      </c>
      <c r="N372">
        <v>1</v>
      </c>
      <c r="O372" s="4">
        <f t="shared" si="33"/>
        <v>1</v>
      </c>
      <c r="P372" s="5" t="str">
        <f t="shared" si="34"/>
        <v>Low engagement</v>
      </c>
      <c r="Q372" t="b">
        <v>0</v>
      </c>
      <c r="R372" t="b">
        <v>0</v>
      </c>
      <c r="S372" t="b">
        <v>0</v>
      </c>
      <c r="T372" s="24" t="str">
        <f t="shared" si="35"/>
        <v>Text only</v>
      </c>
    </row>
    <row r="373" spans="1:20" x14ac:dyDescent="0.2">
      <c r="A373" t="s">
        <v>6545</v>
      </c>
      <c r="B373" t="s">
        <v>2365</v>
      </c>
      <c r="C373" t="s">
        <v>2366</v>
      </c>
      <c r="D373" t="s">
        <v>6546</v>
      </c>
      <c r="E373" t="s">
        <v>6547</v>
      </c>
      <c r="F373" t="str">
        <f>IF(Table2[[#This Row],[Date posted]]&lt; DATE(2015,9,18),"Before Crisis","During Crisis")</f>
        <v>Before Crisis</v>
      </c>
      <c r="G373" s="27">
        <f t="shared" si="30"/>
        <v>42194</v>
      </c>
      <c r="H373" s="7" t="str">
        <f t="shared" si="31"/>
        <v>00:33:23</v>
      </c>
      <c r="I373" s="8" t="str">
        <f t="shared" si="32"/>
        <v>Early morning</v>
      </c>
      <c r="J373" t="s">
        <v>6544</v>
      </c>
      <c r="K373" t="s">
        <v>2370</v>
      </c>
      <c r="L373" s="3">
        <v>0</v>
      </c>
      <c r="M373" s="3">
        <v>0</v>
      </c>
      <c r="N373">
        <v>1</v>
      </c>
      <c r="O373" s="4">
        <f t="shared" si="33"/>
        <v>1</v>
      </c>
      <c r="P373" s="5" t="str">
        <f t="shared" si="34"/>
        <v>Low engagement</v>
      </c>
      <c r="Q373" t="b">
        <v>0</v>
      </c>
      <c r="R373" t="b">
        <v>0</v>
      </c>
      <c r="S373" t="b">
        <v>0</v>
      </c>
      <c r="T373" s="24" t="str">
        <f t="shared" si="35"/>
        <v>Text only</v>
      </c>
    </row>
    <row r="374" spans="1:20" x14ac:dyDescent="0.2">
      <c r="A374" t="s">
        <v>6541</v>
      </c>
      <c r="B374" t="s">
        <v>2365</v>
      </c>
      <c r="C374" t="s">
        <v>2366</v>
      </c>
      <c r="D374" t="s">
        <v>6542</v>
      </c>
      <c r="E374" t="s">
        <v>6543</v>
      </c>
      <c r="F374" t="str">
        <f>IF(Table2[[#This Row],[Date posted]]&lt; DATE(2015,9,18),"Before Crisis","During Crisis")</f>
        <v>Before Crisis</v>
      </c>
      <c r="G374" s="27">
        <f t="shared" si="30"/>
        <v>42194</v>
      </c>
      <c r="H374" s="7" t="str">
        <f t="shared" si="31"/>
        <v>00:33:24</v>
      </c>
      <c r="I374" s="8" t="str">
        <f t="shared" si="32"/>
        <v>Early morning</v>
      </c>
      <c r="J374" t="s">
        <v>6544</v>
      </c>
      <c r="K374" t="s">
        <v>2370</v>
      </c>
      <c r="L374" s="3">
        <v>0</v>
      </c>
      <c r="M374" s="3">
        <v>0</v>
      </c>
      <c r="N374">
        <v>1</v>
      </c>
      <c r="O374" s="4">
        <f t="shared" si="33"/>
        <v>1</v>
      </c>
      <c r="P374" s="5" t="str">
        <f t="shared" si="34"/>
        <v>Low engagement</v>
      </c>
      <c r="Q374" t="b">
        <v>0</v>
      </c>
      <c r="R374" t="b">
        <v>0</v>
      </c>
      <c r="S374" t="b">
        <v>0</v>
      </c>
      <c r="T374" s="24" t="str">
        <f t="shared" si="35"/>
        <v>Text only</v>
      </c>
    </row>
    <row r="375" spans="1:20" hidden="1" x14ac:dyDescent="0.2">
      <c r="A375" t="s">
        <v>6538</v>
      </c>
      <c r="B375" t="s">
        <v>2365</v>
      </c>
      <c r="C375" t="s">
        <v>2366</v>
      </c>
      <c r="D375" t="s">
        <v>6539</v>
      </c>
      <c r="E375" t="s">
        <v>6540</v>
      </c>
      <c r="F375" t="str">
        <f>IF(Table2[[#This Row],[Date posted]]&lt; DATE(2015,9,18),"Before Crisis","During Crisis")</f>
        <v>Before Crisis</v>
      </c>
      <c r="G375" s="27">
        <f t="shared" si="30"/>
        <v>42194</v>
      </c>
      <c r="H375" s="7" t="str">
        <f t="shared" si="31"/>
        <v>16:44:40</v>
      </c>
      <c r="I375" s="8" t="str">
        <f t="shared" si="32"/>
        <v>Afternoon</v>
      </c>
      <c r="J375" t="s">
        <v>6537</v>
      </c>
      <c r="K375" t="s">
        <v>2370</v>
      </c>
      <c r="L375" s="3">
        <v>0</v>
      </c>
      <c r="M375" s="3">
        <v>0</v>
      </c>
      <c r="N375">
        <v>1</v>
      </c>
      <c r="O375" s="4">
        <f t="shared" si="33"/>
        <v>1</v>
      </c>
      <c r="P375" s="5" t="str">
        <f t="shared" si="34"/>
        <v>Low engagement</v>
      </c>
      <c r="Q375" t="b">
        <v>0</v>
      </c>
      <c r="R375" t="b">
        <v>0</v>
      </c>
      <c r="S375" t="b">
        <v>0</v>
      </c>
      <c r="T375" s="24" t="str">
        <f t="shared" si="35"/>
        <v>Text only</v>
      </c>
    </row>
    <row r="376" spans="1:20" hidden="1" x14ac:dyDescent="0.2">
      <c r="A376" t="s">
        <v>6534</v>
      </c>
      <c r="B376" t="s">
        <v>2365</v>
      </c>
      <c r="C376" t="s">
        <v>2366</v>
      </c>
      <c r="D376" t="s">
        <v>6535</v>
      </c>
      <c r="E376" t="s">
        <v>6536</v>
      </c>
      <c r="F376" t="str">
        <f>IF(Table2[[#This Row],[Date posted]]&lt; DATE(2015,9,18),"Before Crisis","During Crisis")</f>
        <v>Before Crisis</v>
      </c>
      <c r="G376" s="27">
        <f t="shared" si="30"/>
        <v>42194</v>
      </c>
      <c r="H376" s="7" t="str">
        <f t="shared" si="31"/>
        <v>16:44:41</v>
      </c>
      <c r="I376" s="8" t="str">
        <f t="shared" si="32"/>
        <v>Afternoon</v>
      </c>
      <c r="J376" t="s">
        <v>6537</v>
      </c>
      <c r="K376" t="s">
        <v>2370</v>
      </c>
      <c r="L376" s="3">
        <v>0</v>
      </c>
      <c r="M376" s="3">
        <v>0</v>
      </c>
      <c r="N376">
        <v>1</v>
      </c>
      <c r="O376" s="4">
        <f t="shared" si="33"/>
        <v>1</v>
      </c>
      <c r="P376" s="5" t="str">
        <f t="shared" si="34"/>
        <v>Low engagement</v>
      </c>
      <c r="Q376" t="b">
        <v>0</v>
      </c>
      <c r="R376" t="b">
        <v>0</v>
      </c>
      <c r="S376" t="b">
        <v>0</v>
      </c>
      <c r="T376" s="24" t="str">
        <f t="shared" si="35"/>
        <v>Text only</v>
      </c>
    </row>
    <row r="377" spans="1:20" hidden="1" x14ac:dyDescent="0.2">
      <c r="A377" t="s">
        <v>6530</v>
      </c>
      <c r="B377" t="s">
        <v>2365</v>
      </c>
      <c r="C377" t="s">
        <v>2366</v>
      </c>
      <c r="D377" t="s">
        <v>6531</v>
      </c>
      <c r="E377" t="s">
        <v>6532</v>
      </c>
      <c r="F377" t="str">
        <f>IF(Table2[[#This Row],[Date posted]]&lt; DATE(2015,9,18),"Before Crisis","During Crisis")</f>
        <v>Before Crisis</v>
      </c>
      <c r="G377" s="27">
        <f t="shared" si="30"/>
        <v>42194</v>
      </c>
      <c r="H377" s="7" t="str">
        <f t="shared" si="31"/>
        <v>19:08:08</v>
      </c>
      <c r="I377" s="8" t="str">
        <f t="shared" si="32"/>
        <v>Evening</v>
      </c>
      <c r="J377" t="s">
        <v>6533</v>
      </c>
      <c r="K377" t="s">
        <v>2370</v>
      </c>
      <c r="L377" s="3">
        <v>0</v>
      </c>
      <c r="M377" s="3">
        <v>0</v>
      </c>
      <c r="N377">
        <v>1</v>
      </c>
      <c r="O377" s="4">
        <f t="shared" si="33"/>
        <v>1</v>
      </c>
      <c r="P377" s="5" t="str">
        <f t="shared" si="34"/>
        <v>Low engagement</v>
      </c>
      <c r="Q377" t="b">
        <v>0</v>
      </c>
      <c r="R377" t="b">
        <v>0</v>
      </c>
      <c r="S377" t="b">
        <v>0</v>
      </c>
      <c r="T377" s="24" t="str">
        <f t="shared" si="35"/>
        <v>Text only</v>
      </c>
    </row>
    <row r="378" spans="1:20" hidden="1" x14ac:dyDescent="0.2">
      <c r="A378" t="s">
        <v>6525</v>
      </c>
      <c r="B378" t="s">
        <v>2365</v>
      </c>
      <c r="C378" t="s">
        <v>2366</v>
      </c>
      <c r="D378" t="s">
        <v>6526</v>
      </c>
      <c r="E378" t="s">
        <v>6527</v>
      </c>
      <c r="F378" t="str">
        <f>IF(Table2[[#This Row],[Date posted]]&lt; DATE(2015,9,18),"Before Crisis","During Crisis")</f>
        <v>Before Crisis</v>
      </c>
      <c r="G378" s="27">
        <f t="shared" si="30"/>
        <v>42194</v>
      </c>
      <c r="H378" s="7" t="str">
        <f t="shared" si="31"/>
        <v>19:08:09</v>
      </c>
      <c r="I378" s="8" t="str">
        <f t="shared" si="32"/>
        <v>Evening</v>
      </c>
      <c r="J378" t="s">
        <v>6524</v>
      </c>
      <c r="K378" t="s">
        <v>2370</v>
      </c>
      <c r="L378" s="3">
        <v>0</v>
      </c>
      <c r="M378">
        <v>2</v>
      </c>
      <c r="N378">
        <v>1</v>
      </c>
      <c r="O378" s="4">
        <f t="shared" si="33"/>
        <v>3</v>
      </c>
      <c r="P378" s="5" t="str">
        <f t="shared" si="34"/>
        <v>Low engagement</v>
      </c>
      <c r="Q378" t="b">
        <v>0</v>
      </c>
      <c r="R378" t="b">
        <v>0</v>
      </c>
      <c r="S378" t="b">
        <v>0</v>
      </c>
      <c r="T378" s="24" t="str">
        <f t="shared" si="35"/>
        <v>Text only</v>
      </c>
    </row>
    <row r="379" spans="1:20" hidden="1" x14ac:dyDescent="0.2">
      <c r="A379" t="s">
        <v>6516</v>
      </c>
      <c r="B379" t="s">
        <v>2365</v>
      </c>
      <c r="C379" t="s">
        <v>2366</v>
      </c>
      <c r="D379" t="s">
        <v>6517</v>
      </c>
      <c r="E379" t="s">
        <v>6518</v>
      </c>
      <c r="F379" t="str">
        <f>IF(Table2[[#This Row],[Date posted]]&lt; DATE(2015,9,18),"Before Crisis","During Crisis")</f>
        <v>Before Crisis</v>
      </c>
      <c r="G379" s="27">
        <f t="shared" si="30"/>
        <v>42194</v>
      </c>
      <c r="H379" s="7" t="str">
        <f t="shared" si="31"/>
        <v>19:08:11</v>
      </c>
      <c r="I379" s="8" t="str">
        <f t="shared" si="32"/>
        <v>Evening</v>
      </c>
      <c r="J379" t="s">
        <v>5299</v>
      </c>
      <c r="K379" t="s">
        <v>2370</v>
      </c>
      <c r="L379" s="3">
        <v>0</v>
      </c>
      <c r="M379" s="3">
        <v>0</v>
      </c>
      <c r="N379">
        <v>1</v>
      </c>
      <c r="O379" s="4">
        <f t="shared" si="33"/>
        <v>1</v>
      </c>
      <c r="P379" s="5" t="str">
        <f t="shared" si="34"/>
        <v>Low engagement</v>
      </c>
      <c r="Q379" t="b">
        <v>0</v>
      </c>
      <c r="R379" t="b">
        <v>0</v>
      </c>
      <c r="S379" t="b">
        <v>0</v>
      </c>
      <c r="T379" s="24" t="str">
        <f t="shared" si="35"/>
        <v>Text only</v>
      </c>
    </row>
    <row r="380" spans="1:20" hidden="1" x14ac:dyDescent="0.2">
      <c r="A380" t="s">
        <v>6512</v>
      </c>
      <c r="B380" t="s">
        <v>2365</v>
      </c>
      <c r="C380" t="s">
        <v>2366</v>
      </c>
      <c r="D380" t="s">
        <v>6513</v>
      </c>
      <c r="E380" t="s">
        <v>6514</v>
      </c>
      <c r="F380" t="str">
        <f>IF(Table2[[#This Row],[Date posted]]&lt; DATE(2015,9,18),"Before Crisis","During Crisis")</f>
        <v>Before Crisis</v>
      </c>
      <c r="G380" s="27">
        <f t="shared" si="30"/>
        <v>42194</v>
      </c>
      <c r="H380" s="7" t="str">
        <f t="shared" si="31"/>
        <v>19:11:38</v>
      </c>
      <c r="I380" s="8" t="str">
        <f t="shared" si="32"/>
        <v>Evening</v>
      </c>
      <c r="J380" t="s">
        <v>6515</v>
      </c>
      <c r="K380" t="s">
        <v>2370</v>
      </c>
      <c r="L380" s="3">
        <v>0</v>
      </c>
      <c r="M380" s="3">
        <v>0</v>
      </c>
      <c r="N380">
        <v>1</v>
      </c>
      <c r="O380" s="4">
        <f t="shared" si="33"/>
        <v>1</v>
      </c>
      <c r="P380" s="5" t="str">
        <f t="shared" si="34"/>
        <v>Low engagement</v>
      </c>
      <c r="Q380" t="b">
        <v>0</v>
      </c>
      <c r="R380" t="b">
        <v>0</v>
      </c>
      <c r="S380" t="b">
        <v>0</v>
      </c>
      <c r="T380" s="24" t="str">
        <f t="shared" si="35"/>
        <v>Text only</v>
      </c>
    </row>
    <row r="381" spans="1:20" hidden="1" x14ac:dyDescent="0.2">
      <c r="A381" t="s">
        <v>6506</v>
      </c>
      <c r="B381" t="s">
        <v>2365</v>
      </c>
      <c r="C381" t="s">
        <v>2366</v>
      </c>
      <c r="D381" t="s">
        <v>6507</v>
      </c>
      <c r="E381" t="s">
        <v>6508</v>
      </c>
      <c r="F381" t="str">
        <f>IF(Table2[[#This Row],[Date posted]]&lt; DATE(2015,9,18),"Before Crisis","During Crisis")</f>
        <v>Before Crisis</v>
      </c>
      <c r="G381" s="27">
        <f t="shared" si="30"/>
        <v>42194</v>
      </c>
      <c r="H381" s="7" t="str">
        <f t="shared" si="31"/>
        <v>19:15:01</v>
      </c>
      <c r="I381" s="8" t="str">
        <f t="shared" si="32"/>
        <v>Evening</v>
      </c>
      <c r="J381" t="s">
        <v>4290</v>
      </c>
      <c r="K381" t="s">
        <v>2370</v>
      </c>
      <c r="L381" s="3">
        <v>0</v>
      </c>
      <c r="M381" s="3">
        <v>0</v>
      </c>
      <c r="N381">
        <v>1</v>
      </c>
      <c r="O381" s="4">
        <f t="shared" si="33"/>
        <v>1</v>
      </c>
      <c r="P381" s="5" t="str">
        <f t="shared" si="34"/>
        <v>Low engagement</v>
      </c>
      <c r="Q381" t="b">
        <v>0</v>
      </c>
      <c r="R381" t="b">
        <v>0</v>
      </c>
      <c r="S381" t="b">
        <v>0</v>
      </c>
      <c r="T381" s="24" t="str">
        <f t="shared" si="35"/>
        <v>Text only</v>
      </c>
    </row>
    <row r="382" spans="1:20" hidden="1" x14ac:dyDescent="0.2">
      <c r="A382" t="s">
        <v>6502</v>
      </c>
      <c r="B382" t="s">
        <v>2365</v>
      </c>
      <c r="C382" t="s">
        <v>2366</v>
      </c>
      <c r="D382" t="s">
        <v>6503</v>
      </c>
      <c r="E382" t="s">
        <v>6504</v>
      </c>
      <c r="F382" t="str">
        <f>IF(Table2[[#This Row],[Date posted]]&lt; DATE(2015,9,18),"Before Crisis","During Crisis")</f>
        <v>Before Crisis</v>
      </c>
      <c r="G382" s="27">
        <f t="shared" si="30"/>
        <v>42194</v>
      </c>
      <c r="H382" s="7" t="str">
        <f t="shared" si="31"/>
        <v>23:09:14</v>
      </c>
      <c r="I382" s="8" t="str">
        <f t="shared" si="32"/>
        <v>Evening</v>
      </c>
      <c r="J382" t="s">
        <v>6505</v>
      </c>
      <c r="K382" t="s">
        <v>2370</v>
      </c>
      <c r="L382" s="3">
        <v>0</v>
      </c>
      <c r="M382">
        <v>1</v>
      </c>
      <c r="N382">
        <v>1</v>
      </c>
      <c r="O382" s="4">
        <f t="shared" si="33"/>
        <v>2</v>
      </c>
      <c r="P382" s="5" t="str">
        <f t="shared" si="34"/>
        <v>Low engagement</v>
      </c>
      <c r="Q382" t="b">
        <v>0</v>
      </c>
      <c r="R382" t="b">
        <v>0</v>
      </c>
      <c r="S382" t="b">
        <v>0</v>
      </c>
      <c r="T382" s="24" t="str">
        <f t="shared" si="35"/>
        <v>Text only</v>
      </c>
    </row>
    <row r="383" spans="1:20" hidden="1" x14ac:dyDescent="0.2">
      <c r="A383" t="s">
        <v>6499</v>
      </c>
      <c r="B383" t="s">
        <v>2365</v>
      </c>
      <c r="C383" t="s">
        <v>2366</v>
      </c>
      <c r="D383" t="s">
        <v>6500</v>
      </c>
      <c r="E383" t="s">
        <v>6501</v>
      </c>
      <c r="F383" t="str">
        <f>IF(Table2[[#This Row],[Date posted]]&lt; DATE(2015,9,18),"Before Crisis","During Crisis")</f>
        <v>Before Crisis</v>
      </c>
      <c r="G383" s="27">
        <f t="shared" si="30"/>
        <v>42195</v>
      </c>
      <c r="H383" s="7" t="str">
        <f t="shared" si="31"/>
        <v>12:39:13</v>
      </c>
      <c r="I383" s="8" t="str">
        <f t="shared" si="32"/>
        <v>Mid-day</v>
      </c>
      <c r="J383" t="s">
        <v>2370</v>
      </c>
      <c r="K383" t="s">
        <v>2370</v>
      </c>
      <c r="L383" s="3">
        <v>0</v>
      </c>
      <c r="M383" s="3">
        <v>0</v>
      </c>
      <c r="N383">
        <v>1</v>
      </c>
      <c r="O383" s="4">
        <f t="shared" si="33"/>
        <v>1</v>
      </c>
      <c r="P383" s="5" t="str">
        <f t="shared" si="34"/>
        <v>Low engagement</v>
      </c>
      <c r="Q383" t="b">
        <v>0</v>
      </c>
      <c r="R383" t="b">
        <v>0</v>
      </c>
      <c r="S383" t="b">
        <v>0</v>
      </c>
      <c r="T383" s="24" t="str">
        <f t="shared" si="35"/>
        <v>Text only</v>
      </c>
    </row>
    <row r="384" spans="1:20" hidden="1" x14ac:dyDescent="0.2">
      <c r="A384" t="s">
        <v>6486</v>
      </c>
      <c r="B384" t="s">
        <v>2365</v>
      </c>
      <c r="C384" t="s">
        <v>2366</v>
      </c>
      <c r="D384" t="s">
        <v>6487</v>
      </c>
      <c r="E384" t="s">
        <v>6488</v>
      </c>
      <c r="F384" t="str">
        <f>IF(Table2[[#This Row],[Date posted]]&lt; DATE(2015,9,18),"Before Crisis","During Crisis")</f>
        <v>Before Crisis</v>
      </c>
      <c r="G384" s="27">
        <f t="shared" si="30"/>
        <v>42197</v>
      </c>
      <c r="H384" s="7" t="str">
        <f t="shared" si="31"/>
        <v>16:23:01</v>
      </c>
      <c r="I384" s="8" t="str">
        <f t="shared" si="32"/>
        <v>Afternoon</v>
      </c>
      <c r="J384" t="s">
        <v>6489</v>
      </c>
      <c r="K384" t="s">
        <v>2370</v>
      </c>
      <c r="L384" s="3">
        <v>0</v>
      </c>
      <c r="M384" s="3">
        <v>0</v>
      </c>
      <c r="N384">
        <v>1</v>
      </c>
      <c r="O384" s="4">
        <f t="shared" si="33"/>
        <v>1</v>
      </c>
      <c r="P384" s="5" t="str">
        <f t="shared" si="34"/>
        <v>Low engagement</v>
      </c>
      <c r="Q384" t="b">
        <v>0</v>
      </c>
      <c r="R384" t="b">
        <v>0</v>
      </c>
      <c r="S384" t="b">
        <v>0</v>
      </c>
      <c r="T384" s="24" t="str">
        <f t="shared" si="35"/>
        <v>Text only</v>
      </c>
    </row>
    <row r="385" spans="1:20" hidden="1" x14ac:dyDescent="0.2">
      <c r="A385" t="s">
        <v>6490</v>
      </c>
      <c r="B385" t="s">
        <v>2365</v>
      </c>
      <c r="C385" t="s">
        <v>2366</v>
      </c>
      <c r="D385" t="s">
        <v>6491</v>
      </c>
      <c r="E385" t="s">
        <v>6488</v>
      </c>
      <c r="F385" t="str">
        <f>IF(Table2[[#This Row],[Date posted]]&lt; DATE(2015,9,18),"Before Crisis","During Crisis")</f>
        <v>Before Crisis</v>
      </c>
      <c r="G385" s="27">
        <f t="shared" si="30"/>
        <v>42197</v>
      </c>
      <c r="H385" s="7" t="str">
        <f t="shared" si="31"/>
        <v>16:23:01</v>
      </c>
      <c r="I385" s="8" t="str">
        <f t="shared" si="32"/>
        <v>Afternoon</v>
      </c>
      <c r="J385" t="s">
        <v>6489</v>
      </c>
      <c r="K385" t="s">
        <v>2370</v>
      </c>
      <c r="L385" s="3">
        <v>0</v>
      </c>
      <c r="M385" s="3">
        <v>0</v>
      </c>
      <c r="N385">
        <v>1</v>
      </c>
      <c r="O385" s="4">
        <f t="shared" si="33"/>
        <v>1</v>
      </c>
      <c r="P385" s="5" t="str">
        <f t="shared" si="34"/>
        <v>Low engagement</v>
      </c>
      <c r="Q385" t="b">
        <v>0</v>
      </c>
      <c r="R385" t="b">
        <v>0</v>
      </c>
      <c r="S385" t="b">
        <v>0</v>
      </c>
      <c r="T385" s="24" t="str">
        <f t="shared" si="35"/>
        <v>Text only</v>
      </c>
    </row>
    <row r="386" spans="1:20" hidden="1" x14ac:dyDescent="0.2">
      <c r="A386" t="s">
        <v>6480</v>
      </c>
      <c r="B386" t="s">
        <v>2365</v>
      </c>
      <c r="C386" t="s">
        <v>2366</v>
      </c>
      <c r="D386" t="s">
        <v>6481</v>
      </c>
      <c r="E386" t="s">
        <v>6482</v>
      </c>
      <c r="F386" t="str">
        <f>IF(Table2[[#This Row],[Date posted]]&lt; DATE(2015,9,18),"Before Crisis","During Crisis")</f>
        <v>Before Crisis</v>
      </c>
      <c r="G386" s="27">
        <f t="shared" ref="G386:G449" si="36">DATEVALUE(LEFT(E386,10))</f>
        <v>42197</v>
      </c>
      <c r="H386" s="7" t="str">
        <f t="shared" ref="H386:H449" si="37">MID(E386,12,8)</f>
        <v>16:23:02</v>
      </c>
      <c r="I386" s="8" t="str">
        <f t="shared" ref="I386:I449" si="38">IF(HOUR(H386)&lt;7,"Early morning",
IF(HOUR(H386)&lt;11,"Morning",
IF(HOUR(H386)&lt;14,"Mid-day",
IF(HOUR(H386)&lt;18,"Afternoon","Evening"))))</f>
        <v>Afternoon</v>
      </c>
      <c r="J386" t="s">
        <v>6483</v>
      </c>
      <c r="K386" t="s">
        <v>2370</v>
      </c>
      <c r="L386" s="3">
        <v>0</v>
      </c>
      <c r="M386" s="3">
        <v>0</v>
      </c>
      <c r="N386">
        <v>1</v>
      </c>
      <c r="O386" s="4">
        <f t="shared" ref="O386:O449" si="39">L386+M386+N386</f>
        <v>1</v>
      </c>
      <c r="P386" s="5" t="str">
        <f t="shared" ref="P386:P449" si="40">IF(O386&lt;1,"No engagement", IF(O386&lt;5,"Low engagement", IF(O386&lt;10,"Moderate engagement", "High engagement")))</f>
        <v>Low engagement</v>
      </c>
      <c r="Q386" t="b">
        <v>0</v>
      </c>
      <c r="R386" t="b">
        <v>0</v>
      </c>
      <c r="S386" t="b">
        <v>0</v>
      </c>
      <c r="T386" s="24" t="str">
        <f t="shared" ref="T386:T449" si="41">IF(Q386=TRUE,"Photo",
    IF(R386=TRUE,"Video",
        IF(S386=TRUE,"Link","Text only")))</f>
        <v>Text only</v>
      </c>
    </row>
    <row r="387" spans="1:20" hidden="1" x14ac:dyDescent="0.2">
      <c r="A387" t="s">
        <v>6484</v>
      </c>
      <c r="B387" t="s">
        <v>2365</v>
      </c>
      <c r="C387" t="s">
        <v>2366</v>
      </c>
      <c r="D387" t="s">
        <v>6485</v>
      </c>
      <c r="E387" t="s">
        <v>6482</v>
      </c>
      <c r="F387" t="str">
        <f>IF(Table2[[#This Row],[Date posted]]&lt; DATE(2015,9,18),"Before Crisis","During Crisis")</f>
        <v>Before Crisis</v>
      </c>
      <c r="G387" s="27">
        <f t="shared" si="36"/>
        <v>42197</v>
      </c>
      <c r="H387" s="7" t="str">
        <f t="shared" si="37"/>
        <v>16:23:02</v>
      </c>
      <c r="I387" s="8" t="str">
        <f t="shared" si="38"/>
        <v>Afternoon</v>
      </c>
      <c r="J387" t="s">
        <v>6483</v>
      </c>
      <c r="K387" t="s">
        <v>2370</v>
      </c>
      <c r="L387" s="3">
        <v>0</v>
      </c>
      <c r="M387" s="3">
        <v>0</v>
      </c>
      <c r="N387">
        <v>1</v>
      </c>
      <c r="O387" s="4">
        <f t="shared" si="39"/>
        <v>1</v>
      </c>
      <c r="P387" s="5" t="str">
        <f t="shared" si="40"/>
        <v>Low engagement</v>
      </c>
      <c r="Q387" t="b">
        <v>0</v>
      </c>
      <c r="R387" t="b">
        <v>0</v>
      </c>
      <c r="S387" t="b">
        <v>0</v>
      </c>
      <c r="T387" s="24" t="str">
        <f t="shared" si="41"/>
        <v>Text only</v>
      </c>
    </row>
    <row r="388" spans="1:20" hidden="1" x14ac:dyDescent="0.2">
      <c r="A388" t="s">
        <v>6476</v>
      </c>
      <c r="B388" t="s">
        <v>2365</v>
      </c>
      <c r="C388" t="s">
        <v>2366</v>
      </c>
      <c r="D388" t="s">
        <v>6477</v>
      </c>
      <c r="E388" t="s">
        <v>6478</v>
      </c>
      <c r="F388" t="str">
        <f>IF(Table2[[#This Row],[Date posted]]&lt; DATE(2015,9,18),"Before Crisis","During Crisis")</f>
        <v>Before Crisis</v>
      </c>
      <c r="G388" s="27">
        <f t="shared" si="36"/>
        <v>42198</v>
      </c>
      <c r="H388" s="7" t="str">
        <f t="shared" si="37"/>
        <v>12:25:02</v>
      </c>
      <c r="I388" s="8" t="str">
        <f t="shared" si="38"/>
        <v>Mid-day</v>
      </c>
      <c r="J388" t="s">
        <v>6479</v>
      </c>
      <c r="K388" t="s">
        <v>2370</v>
      </c>
      <c r="L388" s="3">
        <v>0</v>
      </c>
      <c r="M388" s="3">
        <v>0</v>
      </c>
      <c r="N388">
        <v>1</v>
      </c>
      <c r="O388" s="4">
        <f t="shared" si="39"/>
        <v>1</v>
      </c>
      <c r="P388" s="5" t="str">
        <f t="shared" si="40"/>
        <v>Low engagement</v>
      </c>
      <c r="Q388" t="b">
        <v>0</v>
      </c>
      <c r="R388" t="b">
        <v>0</v>
      </c>
      <c r="S388" t="b">
        <v>1</v>
      </c>
      <c r="T388" s="24" t="str">
        <f t="shared" si="41"/>
        <v>Link</v>
      </c>
    </row>
    <row r="389" spans="1:20" hidden="1" x14ac:dyDescent="0.2">
      <c r="A389" t="s">
        <v>6473</v>
      </c>
      <c r="B389" t="s">
        <v>2365</v>
      </c>
      <c r="C389" t="s">
        <v>2366</v>
      </c>
      <c r="D389" t="s">
        <v>6474</v>
      </c>
      <c r="E389" t="s">
        <v>6475</v>
      </c>
      <c r="F389" t="str">
        <f>IF(Table2[[#This Row],[Date posted]]&lt; DATE(2015,9,18),"Before Crisis","During Crisis")</f>
        <v>Before Crisis</v>
      </c>
      <c r="G389" s="27">
        <f t="shared" si="36"/>
        <v>42198</v>
      </c>
      <c r="H389" s="7" t="str">
        <f t="shared" si="37"/>
        <v>14:27:15</v>
      </c>
      <c r="I389" s="8" t="str">
        <f t="shared" si="38"/>
        <v>Afternoon</v>
      </c>
      <c r="J389" t="s">
        <v>2370</v>
      </c>
      <c r="K389" t="s">
        <v>2370</v>
      </c>
      <c r="L389" s="3">
        <v>0</v>
      </c>
      <c r="M389" s="3">
        <v>0</v>
      </c>
      <c r="N389">
        <v>1</v>
      </c>
      <c r="O389" s="4">
        <f t="shared" si="39"/>
        <v>1</v>
      </c>
      <c r="P389" s="5" t="str">
        <f t="shared" si="40"/>
        <v>Low engagement</v>
      </c>
      <c r="Q389" t="b">
        <v>0</v>
      </c>
      <c r="R389" t="b">
        <v>0</v>
      </c>
      <c r="S389" t="b">
        <v>0</v>
      </c>
      <c r="T389" s="24" t="str">
        <f t="shared" si="41"/>
        <v>Text only</v>
      </c>
    </row>
    <row r="390" spans="1:20" hidden="1" x14ac:dyDescent="0.2">
      <c r="A390" t="s">
        <v>6470</v>
      </c>
      <c r="B390" t="s">
        <v>2365</v>
      </c>
      <c r="C390" t="s">
        <v>2366</v>
      </c>
      <c r="D390" t="s">
        <v>6471</v>
      </c>
      <c r="E390" t="s">
        <v>6472</v>
      </c>
      <c r="F390" t="str">
        <f>IF(Table2[[#This Row],[Date posted]]&lt; DATE(2015,9,18),"Before Crisis","During Crisis")</f>
        <v>Before Crisis</v>
      </c>
      <c r="G390" s="27">
        <f t="shared" si="36"/>
        <v>42198</v>
      </c>
      <c r="H390" s="7" t="str">
        <f t="shared" si="37"/>
        <v>19:38:19</v>
      </c>
      <c r="I390" s="8" t="str">
        <f t="shared" si="38"/>
        <v>Evening</v>
      </c>
      <c r="J390" t="s">
        <v>2370</v>
      </c>
      <c r="K390" t="s">
        <v>2370</v>
      </c>
      <c r="L390" s="3">
        <v>0</v>
      </c>
      <c r="M390" s="3">
        <v>0</v>
      </c>
      <c r="N390">
        <v>1</v>
      </c>
      <c r="O390" s="4">
        <f t="shared" si="39"/>
        <v>1</v>
      </c>
      <c r="P390" s="5" t="str">
        <f t="shared" si="40"/>
        <v>Low engagement</v>
      </c>
      <c r="Q390" t="b">
        <v>0</v>
      </c>
      <c r="R390" t="b">
        <v>0</v>
      </c>
      <c r="S390" t="b">
        <v>0</v>
      </c>
      <c r="T390" s="24" t="str">
        <f t="shared" si="41"/>
        <v>Text only</v>
      </c>
    </row>
    <row r="391" spans="1:20" hidden="1" x14ac:dyDescent="0.2">
      <c r="A391" t="s">
        <v>6467</v>
      </c>
      <c r="B391" t="s">
        <v>2365</v>
      </c>
      <c r="C391" t="s">
        <v>2366</v>
      </c>
      <c r="D391" t="s">
        <v>6468</v>
      </c>
      <c r="E391" t="s">
        <v>6469</v>
      </c>
      <c r="F391" t="str">
        <f>IF(Table2[[#This Row],[Date posted]]&lt; DATE(2015,9,18),"Before Crisis","During Crisis")</f>
        <v>Before Crisis</v>
      </c>
      <c r="G391" s="27">
        <f t="shared" si="36"/>
        <v>42198</v>
      </c>
      <c r="H391" s="7" t="str">
        <f t="shared" si="37"/>
        <v>19:38:20</v>
      </c>
      <c r="I391" s="8" t="str">
        <f t="shared" si="38"/>
        <v>Evening</v>
      </c>
      <c r="J391" t="s">
        <v>2370</v>
      </c>
      <c r="K391" t="s">
        <v>2370</v>
      </c>
      <c r="L391" s="3">
        <v>0</v>
      </c>
      <c r="M391" s="3">
        <v>0</v>
      </c>
      <c r="N391">
        <v>1</v>
      </c>
      <c r="O391" s="4">
        <f t="shared" si="39"/>
        <v>1</v>
      </c>
      <c r="P391" s="5" t="str">
        <f t="shared" si="40"/>
        <v>Low engagement</v>
      </c>
      <c r="Q391" t="b">
        <v>0</v>
      </c>
      <c r="R391" t="b">
        <v>0</v>
      </c>
      <c r="S391" t="b">
        <v>0</v>
      </c>
      <c r="T391" s="24" t="str">
        <f t="shared" si="41"/>
        <v>Text only</v>
      </c>
    </row>
    <row r="392" spans="1:20" hidden="1" x14ac:dyDescent="0.2">
      <c r="A392" t="s">
        <v>6463</v>
      </c>
      <c r="B392" t="s">
        <v>2365</v>
      </c>
      <c r="C392" t="s">
        <v>2366</v>
      </c>
      <c r="D392" t="s">
        <v>6464</v>
      </c>
      <c r="E392" t="s">
        <v>6465</v>
      </c>
      <c r="F392" t="str">
        <f>IF(Table2[[#This Row],[Date posted]]&lt; DATE(2015,9,18),"Before Crisis","During Crisis")</f>
        <v>Before Crisis</v>
      </c>
      <c r="G392" s="27">
        <f t="shared" si="36"/>
        <v>42198</v>
      </c>
      <c r="H392" s="7" t="str">
        <f t="shared" si="37"/>
        <v>19:45:25</v>
      </c>
      <c r="I392" s="8" t="str">
        <f t="shared" si="38"/>
        <v>Evening</v>
      </c>
      <c r="J392" t="s">
        <v>6466</v>
      </c>
      <c r="K392" t="s">
        <v>2370</v>
      </c>
      <c r="L392" s="3">
        <v>0</v>
      </c>
      <c r="M392">
        <v>1</v>
      </c>
      <c r="N392">
        <v>1</v>
      </c>
      <c r="O392" s="4">
        <f t="shared" si="39"/>
        <v>2</v>
      </c>
      <c r="P392" s="5" t="str">
        <f t="shared" si="40"/>
        <v>Low engagement</v>
      </c>
      <c r="Q392" t="b">
        <v>0</v>
      </c>
      <c r="R392" t="b">
        <v>0</v>
      </c>
      <c r="S392" t="b">
        <v>0</v>
      </c>
      <c r="T392" s="24" t="str">
        <f t="shared" si="41"/>
        <v>Text only</v>
      </c>
    </row>
    <row r="393" spans="1:20" hidden="1" x14ac:dyDescent="0.2">
      <c r="A393" t="s">
        <v>6454</v>
      </c>
      <c r="B393" t="s">
        <v>2365</v>
      </c>
      <c r="C393" t="s">
        <v>2366</v>
      </c>
      <c r="D393" t="s">
        <v>6455</v>
      </c>
      <c r="E393" t="s">
        <v>6456</v>
      </c>
      <c r="F393" t="str">
        <f>IF(Table2[[#This Row],[Date posted]]&lt; DATE(2015,9,18),"Before Crisis","During Crisis")</f>
        <v>Before Crisis</v>
      </c>
      <c r="G393" s="27">
        <f t="shared" si="36"/>
        <v>42199</v>
      </c>
      <c r="H393" s="7" t="str">
        <f t="shared" si="37"/>
        <v>19:39:15</v>
      </c>
      <c r="I393" s="8" t="str">
        <f t="shared" si="38"/>
        <v>Evening</v>
      </c>
      <c r="J393" t="s">
        <v>6457</v>
      </c>
      <c r="K393" t="s">
        <v>2370</v>
      </c>
      <c r="L393">
        <v>1</v>
      </c>
      <c r="M393">
        <v>2</v>
      </c>
      <c r="N393">
        <v>1</v>
      </c>
      <c r="O393" s="4">
        <f t="shared" si="39"/>
        <v>4</v>
      </c>
      <c r="P393" s="5" t="str">
        <f t="shared" si="40"/>
        <v>Low engagement</v>
      </c>
      <c r="Q393" t="b">
        <v>0</v>
      </c>
      <c r="R393" t="b">
        <v>0</v>
      </c>
      <c r="S393" t="b">
        <v>0</v>
      </c>
      <c r="T393" s="24" t="str">
        <f t="shared" si="41"/>
        <v>Text only</v>
      </c>
    </row>
    <row r="394" spans="1:20" hidden="1" x14ac:dyDescent="0.2">
      <c r="A394" t="s">
        <v>6458</v>
      </c>
      <c r="B394" t="s">
        <v>2365</v>
      </c>
      <c r="C394" t="s">
        <v>2366</v>
      </c>
      <c r="D394" t="s">
        <v>6459</v>
      </c>
      <c r="E394" t="s">
        <v>6456</v>
      </c>
      <c r="F394" t="str">
        <f>IF(Table2[[#This Row],[Date posted]]&lt; DATE(2015,9,18),"Before Crisis","During Crisis")</f>
        <v>Before Crisis</v>
      </c>
      <c r="G394" s="27">
        <f t="shared" si="36"/>
        <v>42199</v>
      </c>
      <c r="H394" s="7" t="str">
        <f t="shared" si="37"/>
        <v>19:39:15</v>
      </c>
      <c r="I394" s="8" t="str">
        <f t="shared" si="38"/>
        <v>Evening</v>
      </c>
      <c r="J394" t="s">
        <v>6457</v>
      </c>
      <c r="K394" t="s">
        <v>2370</v>
      </c>
      <c r="L394">
        <v>1</v>
      </c>
      <c r="M394" s="3">
        <v>0</v>
      </c>
      <c r="N394">
        <v>1</v>
      </c>
      <c r="O394" s="4">
        <f t="shared" si="39"/>
        <v>2</v>
      </c>
      <c r="P394" s="5" t="str">
        <f t="shared" si="40"/>
        <v>Low engagement</v>
      </c>
      <c r="Q394" t="b">
        <v>0</v>
      </c>
      <c r="R394" t="b">
        <v>0</v>
      </c>
      <c r="S394" t="b">
        <v>0</v>
      </c>
      <c r="T394" s="24" t="str">
        <f t="shared" si="41"/>
        <v>Text only</v>
      </c>
    </row>
    <row r="395" spans="1:20" hidden="1" x14ac:dyDescent="0.2">
      <c r="A395" t="s">
        <v>6411</v>
      </c>
      <c r="B395" t="s">
        <v>2365</v>
      </c>
      <c r="C395" t="s">
        <v>2366</v>
      </c>
      <c r="D395" t="s">
        <v>6412</v>
      </c>
      <c r="E395" t="s">
        <v>6413</v>
      </c>
      <c r="F395" t="str">
        <f>IF(Table2[[#This Row],[Date posted]]&lt; DATE(2015,9,18),"Before Crisis","During Crisis")</f>
        <v>Before Crisis</v>
      </c>
      <c r="G395" s="27">
        <f t="shared" si="36"/>
        <v>42199</v>
      </c>
      <c r="H395" s="7" t="str">
        <f t="shared" si="37"/>
        <v>23:35:56</v>
      </c>
      <c r="I395" s="8" t="str">
        <f t="shared" si="38"/>
        <v>Evening</v>
      </c>
      <c r="J395" t="s">
        <v>2370</v>
      </c>
      <c r="K395" t="s">
        <v>2370</v>
      </c>
      <c r="L395" s="3">
        <v>0</v>
      </c>
      <c r="M395" s="3">
        <v>0</v>
      </c>
      <c r="N395">
        <v>1</v>
      </c>
      <c r="O395" s="4">
        <f t="shared" si="39"/>
        <v>1</v>
      </c>
      <c r="P395" s="5" t="str">
        <f t="shared" si="40"/>
        <v>Low engagement</v>
      </c>
      <c r="Q395" t="b">
        <v>0</v>
      </c>
      <c r="R395" t="b">
        <v>0</v>
      </c>
      <c r="S395" t="b">
        <v>0</v>
      </c>
      <c r="T395" s="24" t="str">
        <f t="shared" si="41"/>
        <v>Text only</v>
      </c>
    </row>
    <row r="396" spans="1:20" hidden="1" x14ac:dyDescent="0.2">
      <c r="A396" t="s">
        <v>6414</v>
      </c>
      <c r="B396" t="s">
        <v>2365</v>
      </c>
      <c r="C396" t="s">
        <v>2366</v>
      </c>
      <c r="D396" t="s">
        <v>6415</v>
      </c>
      <c r="E396" t="s">
        <v>6413</v>
      </c>
      <c r="F396" t="str">
        <f>IF(Table2[[#This Row],[Date posted]]&lt; DATE(2015,9,18),"Before Crisis","During Crisis")</f>
        <v>Before Crisis</v>
      </c>
      <c r="G396" s="27">
        <f t="shared" si="36"/>
        <v>42199</v>
      </c>
      <c r="H396" s="7" t="str">
        <f t="shared" si="37"/>
        <v>23:35:56</v>
      </c>
      <c r="I396" s="8" t="str">
        <f t="shared" si="38"/>
        <v>Evening</v>
      </c>
      <c r="J396" t="s">
        <v>6416</v>
      </c>
      <c r="K396" t="s">
        <v>2370</v>
      </c>
      <c r="L396" s="3">
        <v>0</v>
      </c>
      <c r="M396" s="3">
        <v>0</v>
      </c>
      <c r="N396">
        <v>1</v>
      </c>
      <c r="O396" s="4">
        <f t="shared" si="39"/>
        <v>1</v>
      </c>
      <c r="P396" s="5" t="str">
        <f t="shared" si="40"/>
        <v>Low engagement</v>
      </c>
      <c r="Q396" t="b">
        <v>0</v>
      </c>
      <c r="R396" t="b">
        <v>0</v>
      </c>
      <c r="S396" t="b">
        <v>0</v>
      </c>
      <c r="T396" s="24" t="str">
        <f t="shared" si="41"/>
        <v>Text only</v>
      </c>
    </row>
    <row r="397" spans="1:20" hidden="1" x14ac:dyDescent="0.2">
      <c r="A397" t="s">
        <v>6408</v>
      </c>
      <c r="B397" t="s">
        <v>2365</v>
      </c>
      <c r="C397" t="s">
        <v>2366</v>
      </c>
      <c r="D397" t="s">
        <v>6409</v>
      </c>
      <c r="E397" t="s">
        <v>6410</v>
      </c>
      <c r="F397" t="str">
        <f>IF(Table2[[#This Row],[Date posted]]&lt; DATE(2015,9,18),"Before Crisis","During Crisis")</f>
        <v>Before Crisis</v>
      </c>
      <c r="G397" s="27">
        <f t="shared" si="36"/>
        <v>42199</v>
      </c>
      <c r="H397" s="7" t="str">
        <f t="shared" si="37"/>
        <v>23:56:41</v>
      </c>
      <c r="I397" s="8" t="str">
        <f t="shared" si="38"/>
        <v>Evening</v>
      </c>
      <c r="J397" t="s">
        <v>2370</v>
      </c>
      <c r="K397" t="s">
        <v>2370</v>
      </c>
      <c r="L397" s="3">
        <v>0</v>
      </c>
      <c r="M397" s="3">
        <v>0</v>
      </c>
      <c r="N397">
        <v>1</v>
      </c>
      <c r="O397" s="4">
        <f t="shared" si="39"/>
        <v>1</v>
      </c>
      <c r="P397" s="5" t="str">
        <f t="shared" si="40"/>
        <v>Low engagement</v>
      </c>
      <c r="Q397" t="b">
        <v>0</v>
      </c>
      <c r="R397" t="b">
        <v>0</v>
      </c>
      <c r="S397" t="b">
        <v>0</v>
      </c>
      <c r="T397" s="24" t="str">
        <f t="shared" si="41"/>
        <v>Text only</v>
      </c>
    </row>
    <row r="398" spans="1:20" x14ac:dyDescent="0.2">
      <c r="A398" t="s">
        <v>6405</v>
      </c>
      <c r="B398" t="s">
        <v>2365</v>
      </c>
      <c r="C398" t="s">
        <v>2366</v>
      </c>
      <c r="D398" t="s">
        <v>6406</v>
      </c>
      <c r="E398" t="s">
        <v>6407</v>
      </c>
      <c r="F398" t="str">
        <f>IF(Table2[[#This Row],[Date posted]]&lt; DATE(2015,9,18),"Before Crisis","During Crisis")</f>
        <v>Before Crisis</v>
      </c>
      <c r="G398" s="27">
        <f t="shared" si="36"/>
        <v>42200</v>
      </c>
      <c r="H398" s="7" t="str">
        <f t="shared" si="37"/>
        <v>00:51:41</v>
      </c>
      <c r="I398" s="8" t="str">
        <f t="shared" si="38"/>
        <v>Early morning</v>
      </c>
      <c r="J398" t="s">
        <v>2370</v>
      </c>
      <c r="K398" t="s">
        <v>2370</v>
      </c>
      <c r="L398" s="3">
        <v>0</v>
      </c>
      <c r="M398" s="3">
        <v>0</v>
      </c>
      <c r="N398">
        <v>1</v>
      </c>
      <c r="O398" s="4">
        <f t="shared" si="39"/>
        <v>1</v>
      </c>
      <c r="P398" s="5" t="str">
        <f t="shared" si="40"/>
        <v>Low engagement</v>
      </c>
      <c r="Q398" t="b">
        <v>0</v>
      </c>
      <c r="R398" t="b">
        <v>0</v>
      </c>
      <c r="S398" t="b">
        <v>0</v>
      </c>
      <c r="T398" s="24" t="str">
        <f t="shared" si="41"/>
        <v>Text only</v>
      </c>
    </row>
    <row r="399" spans="1:20" hidden="1" x14ac:dyDescent="0.2">
      <c r="A399" t="s">
        <v>6380</v>
      </c>
      <c r="B399" t="s">
        <v>2365</v>
      </c>
      <c r="C399" t="s">
        <v>2366</v>
      </c>
      <c r="D399" t="s">
        <v>6381</v>
      </c>
      <c r="E399" t="s">
        <v>6382</v>
      </c>
      <c r="F399" t="str">
        <f>IF(Table2[[#This Row],[Date posted]]&lt; DATE(2015,9,18),"Before Crisis","During Crisis")</f>
        <v>Before Crisis</v>
      </c>
      <c r="G399" s="27">
        <f t="shared" si="36"/>
        <v>42200</v>
      </c>
      <c r="H399" s="7" t="str">
        <f t="shared" si="37"/>
        <v>19:30:29</v>
      </c>
      <c r="I399" s="8" t="str">
        <f t="shared" si="38"/>
        <v>Evening</v>
      </c>
      <c r="J399" t="s">
        <v>3536</v>
      </c>
      <c r="K399" t="s">
        <v>2370</v>
      </c>
      <c r="L399">
        <v>1</v>
      </c>
      <c r="M399" s="3">
        <v>0</v>
      </c>
      <c r="N399">
        <v>1</v>
      </c>
      <c r="O399" s="4">
        <f t="shared" si="39"/>
        <v>2</v>
      </c>
      <c r="P399" s="5" t="str">
        <f t="shared" si="40"/>
        <v>Low engagement</v>
      </c>
      <c r="Q399" t="b">
        <v>0</v>
      </c>
      <c r="R399" t="b">
        <v>0</v>
      </c>
      <c r="S399" t="b">
        <v>0</v>
      </c>
      <c r="T399" s="24" t="str">
        <f t="shared" si="41"/>
        <v>Text only</v>
      </c>
    </row>
    <row r="400" spans="1:20" hidden="1" x14ac:dyDescent="0.2">
      <c r="A400" t="s">
        <v>6377</v>
      </c>
      <c r="B400" t="s">
        <v>2365</v>
      </c>
      <c r="C400" t="s">
        <v>2366</v>
      </c>
      <c r="D400" t="s">
        <v>6378</v>
      </c>
      <c r="E400" t="s">
        <v>6379</v>
      </c>
      <c r="F400" t="str">
        <f>IF(Table2[[#This Row],[Date posted]]&lt; DATE(2015,9,18),"Before Crisis","During Crisis")</f>
        <v>Before Crisis</v>
      </c>
      <c r="G400" s="27">
        <f t="shared" si="36"/>
        <v>42200</v>
      </c>
      <c r="H400" s="7" t="str">
        <f t="shared" si="37"/>
        <v>19:30:30</v>
      </c>
      <c r="I400" s="8" t="str">
        <f t="shared" si="38"/>
        <v>Evening</v>
      </c>
      <c r="J400" t="s">
        <v>3536</v>
      </c>
      <c r="K400" t="s">
        <v>2370</v>
      </c>
      <c r="L400">
        <v>1</v>
      </c>
      <c r="M400">
        <v>1</v>
      </c>
      <c r="N400">
        <v>1</v>
      </c>
      <c r="O400" s="4">
        <f t="shared" si="39"/>
        <v>3</v>
      </c>
      <c r="P400" s="5" t="str">
        <f t="shared" si="40"/>
        <v>Low engagement</v>
      </c>
      <c r="Q400" t="b">
        <v>0</v>
      </c>
      <c r="R400" t="b">
        <v>0</v>
      </c>
      <c r="S400" t="b">
        <v>1</v>
      </c>
      <c r="T400" s="24" t="str">
        <f t="shared" si="41"/>
        <v>Link</v>
      </c>
    </row>
    <row r="401" spans="1:20" hidden="1" x14ac:dyDescent="0.2">
      <c r="A401" t="s">
        <v>6341</v>
      </c>
      <c r="B401" t="s">
        <v>2365</v>
      </c>
      <c r="C401" t="s">
        <v>2366</v>
      </c>
      <c r="D401" t="s">
        <v>6342</v>
      </c>
      <c r="E401" t="s">
        <v>6343</v>
      </c>
      <c r="F401" t="str">
        <f>IF(Table2[[#This Row],[Date posted]]&lt; DATE(2015,9,18),"Before Crisis","During Crisis")</f>
        <v>Before Crisis</v>
      </c>
      <c r="G401" s="27">
        <f t="shared" si="36"/>
        <v>42201</v>
      </c>
      <c r="H401" s="7" t="str">
        <f t="shared" si="37"/>
        <v>17:21:57</v>
      </c>
      <c r="I401" s="8" t="str">
        <f t="shared" si="38"/>
        <v>Afternoon</v>
      </c>
      <c r="J401" t="s">
        <v>6344</v>
      </c>
      <c r="K401" t="s">
        <v>2370</v>
      </c>
      <c r="L401">
        <v>1</v>
      </c>
      <c r="M401" s="3">
        <v>0</v>
      </c>
      <c r="N401">
        <v>1</v>
      </c>
      <c r="O401" s="4">
        <f t="shared" si="39"/>
        <v>2</v>
      </c>
      <c r="P401" s="5" t="str">
        <f t="shared" si="40"/>
        <v>Low engagement</v>
      </c>
      <c r="Q401" t="b">
        <v>0</v>
      </c>
      <c r="R401" t="b">
        <v>0</v>
      </c>
      <c r="S401" t="b">
        <v>1</v>
      </c>
      <c r="T401" s="24" t="str">
        <f t="shared" si="41"/>
        <v>Link</v>
      </c>
    </row>
    <row r="402" spans="1:20" hidden="1" x14ac:dyDescent="0.2">
      <c r="A402" t="s">
        <v>6329</v>
      </c>
      <c r="B402" t="s">
        <v>2365</v>
      </c>
      <c r="C402" t="s">
        <v>2366</v>
      </c>
      <c r="D402" t="s">
        <v>6330</v>
      </c>
      <c r="E402" t="s">
        <v>6331</v>
      </c>
      <c r="F402" t="str">
        <f>IF(Table2[[#This Row],[Date posted]]&lt; DATE(2015,9,18),"Before Crisis","During Crisis")</f>
        <v>Before Crisis</v>
      </c>
      <c r="G402" s="27">
        <f t="shared" si="36"/>
        <v>42202</v>
      </c>
      <c r="H402" s="7" t="str">
        <f t="shared" si="37"/>
        <v>12:38:38</v>
      </c>
      <c r="I402" s="8" t="str">
        <f t="shared" si="38"/>
        <v>Mid-day</v>
      </c>
      <c r="J402" t="s">
        <v>6332</v>
      </c>
      <c r="K402" t="s">
        <v>2370</v>
      </c>
      <c r="L402" s="3">
        <v>0</v>
      </c>
      <c r="M402" s="3">
        <v>0</v>
      </c>
      <c r="N402">
        <v>1</v>
      </c>
      <c r="O402" s="4">
        <f t="shared" si="39"/>
        <v>1</v>
      </c>
      <c r="P402" s="5" t="str">
        <f t="shared" si="40"/>
        <v>Low engagement</v>
      </c>
      <c r="Q402" t="b">
        <v>0</v>
      </c>
      <c r="R402" t="b">
        <v>0</v>
      </c>
      <c r="S402" t="b">
        <v>0</v>
      </c>
      <c r="T402" s="24" t="str">
        <f t="shared" si="41"/>
        <v>Text only</v>
      </c>
    </row>
    <row r="403" spans="1:20" x14ac:dyDescent="0.2">
      <c r="A403" t="s">
        <v>6286</v>
      </c>
      <c r="B403" t="s">
        <v>2365</v>
      </c>
      <c r="C403" t="s">
        <v>2366</v>
      </c>
      <c r="D403" t="s">
        <v>6287</v>
      </c>
      <c r="E403" t="s">
        <v>6288</v>
      </c>
      <c r="F403" t="str">
        <f>IF(Table2[[#This Row],[Date posted]]&lt; DATE(2015,9,18),"Before Crisis","During Crisis")</f>
        <v>Before Crisis</v>
      </c>
      <c r="G403" s="27">
        <f t="shared" si="36"/>
        <v>42203</v>
      </c>
      <c r="H403" s="7" t="str">
        <f t="shared" si="37"/>
        <v>01:22:08</v>
      </c>
      <c r="I403" s="8" t="str">
        <f t="shared" si="38"/>
        <v>Early morning</v>
      </c>
      <c r="J403" t="s">
        <v>6289</v>
      </c>
      <c r="K403" t="s">
        <v>2370</v>
      </c>
      <c r="L403" s="3">
        <v>0</v>
      </c>
      <c r="M403" s="3">
        <v>0</v>
      </c>
      <c r="N403">
        <v>1</v>
      </c>
      <c r="O403" s="4">
        <f t="shared" si="39"/>
        <v>1</v>
      </c>
      <c r="P403" s="5" t="str">
        <f t="shared" si="40"/>
        <v>Low engagement</v>
      </c>
      <c r="Q403" t="b">
        <v>0</v>
      </c>
      <c r="R403" t="b">
        <v>0</v>
      </c>
      <c r="S403" t="b">
        <v>0</v>
      </c>
      <c r="T403" s="24" t="str">
        <f t="shared" si="41"/>
        <v>Text only</v>
      </c>
    </row>
    <row r="404" spans="1:20" hidden="1" x14ac:dyDescent="0.2">
      <c r="A404" t="s">
        <v>6189</v>
      </c>
      <c r="B404" t="s">
        <v>2365</v>
      </c>
      <c r="C404" t="s">
        <v>2366</v>
      </c>
      <c r="D404" t="s">
        <v>6190</v>
      </c>
      <c r="E404" t="s">
        <v>6191</v>
      </c>
      <c r="F404" t="str">
        <f>IF(Table2[[#This Row],[Date posted]]&lt; DATE(2015,9,18),"Before Crisis","During Crisis")</f>
        <v>Before Crisis</v>
      </c>
      <c r="G404" s="27">
        <f t="shared" si="36"/>
        <v>42205</v>
      </c>
      <c r="H404" s="7" t="str">
        <f t="shared" si="37"/>
        <v>17:46:37</v>
      </c>
      <c r="I404" s="8" t="str">
        <f t="shared" si="38"/>
        <v>Afternoon</v>
      </c>
      <c r="J404" t="s">
        <v>2370</v>
      </c>
      <c r="K404" t="s">
        <v>2370</v>
      </c>
      <c r="L404" s="3">
        <v>0</v>
      </c>
      <c r="M404" s="3">
        <v>0</v>
      </c>
      <c r="N404">
        <v>1</v>
      </c>
      <c r="O404" s="4">
        <f t="shared" si="39"/>
        <v>1</v>
      </c>
      <c r="P404" s="5" t="str">
        <f t="shared" si="40"/>
        <v>Low engagement</v>
      </c>
      <c r="Q404" t="b">
        <v>0</v>
      </c>
      <c r="R404" t="b">
        <v>0</v>
      </c>
      <c r="S404" t="b">
        <v>0</v>
      </c>
      <c r="T404" s="24" t="str">
        <f t="shared" si="41"/>
        <v>Text only</v>
      </c>
    </row>
    <row r="405" spans="1:20" hidden="1" x14ac:dyDescent="0.2">
      <c r="A405" t="s">
        <v>6186</v>
      </c>
      <c r="B405" t="s">
        <v>2365</v>
      </c>
      <c r="C405" t="s">
        <v>2366</v>
      </c>
      <c r="D405" t="s">
        <v>6187</v>
      </c>
      <c r="E405" t="s">
        <v>6188</v>
      </c>
      <c r="F405" t="str">
        <f>IF(Table2[[#This Row],[Date posted]]&lt; DATE(2015,9,18),"Before Crisis","During Crisis")</f>
        <v>Before Crisis</v>
      </c>
      <c r="G405" s="27">
        <f t="shared" si="36"/>
        <v>42205</v>
      </c>
      <c r="H405" s="7" t="str">
        <f t="shared" si="37"/>
        <v>17:46:38</v>
      </c>
      <c r="I405" s="8" t="str">
        <f t="shared" si="38"/>
        <v>Afternoon</v>
      </c>
      <c r="J405" t="s">
        <v>2370</v>
      </c>
      <c r="K405" t="s">
        <v>2370</v>
      </c>
      <c r="L405">
        <v>1</v>
      </c>
      <c r="M405" s="3">
        <v>0</v>
      </c>
      <c r="N405">
        <v>1</v>
      </c>
      <c r="O405" s="4">
        <f t="shared" si="39"/>
        <v>2</v>
      </c>
      <c r="P405" s="5" t="str">
        <f t="shared" si="40"/>
        <v>Low engagement</v>
      </c>
      <c r="Q405" t="b">
        <v>0</v>
      </c>
      <c r="R405" t="b">
        <v>0</v>
      </c>
      <c r="S405" t="b">
        <v>0</v>
      </c>
      <c r="T405" s="24" t="str">
        <f t="shared" si="41"/>
        <v>Text only</v>
      </c>
    </row>
    <row r="406" spans="1:20" hidden="1" x14ac:dyDescent="0.2">
      <c r="A406" t="s">
        <v>6179</v>
      </c>
      <c r="B406" t="s">
        <v>2365</v>
      </c>
      <c r="C406" t="s">
        <v>2366</v>
      </c>
      <c r="D406" t="s">
        <v>6180</v>
      </c>
      <c r="E406" t="s">
        <v>6181</v>
      </c>
      <c r="F406" t="str">
        <f>IF(Table2[[#This Row],[Date posted]]&lt; DATE(2015,9,18),"Before Crisis","During Crisis")</f>
        <v>Before Crisis</v>
      </c>
      <c r="G406" s="27">
        <f t="shared" si="36"/>
        <v>42205</v>
      </c>
      <c r="H406" s="7" t="str">
        <f t="shared" si="37"/>
        <v>18:13:41</v>
      </c>
      <c r="I406" s="8" t="str">
        <f t="shared" si="38"/>
        <v>Evening</v>
      </c>
      <c r="J406" t="s">
        <v>6182</v>
      </c>
      <c r="K406" t="s">
        <v>2370</v>
      </c>
      <c r="L406" s="3">
        <v>0</v>
      </c>
      <c r="M406" s="3">
        <v>0</v>
      </c>
      <c r="N406">
        <v>1</v>
      </c>
      <c r="O406" s="4">
        <f t="shared" si="39"/>
        <v>1</v>
      </c>
      <c r="P406" s="5" t="str">
        <f t="shared" si="40"/>
        <v>Low engagement</v>
      </c>
      <c r="Q406" t="b">
        <v>0</v>
      </c>
      <c r="R406" t="b">
        <v>0</v>
      </c>
      <c r="S406" t="b">
        <v>0</v>
      </c>
      <c r="T406" s="24" t="str">
        <f t="shared" si="41"/>
        <v>Text only</v>
      </c>
    </row>
    <row r="407" spans="1:20" hidden="1" x14ac:dyDescent="0.2">
      <c r="A407" t="s">
        <v>6170</v>
      </c>
      <c r="B407" t="s">
        <v>2365</v>
      </c>
      <c r="C407" t="s">
        <v>2366</v>
      </c>
      <c r="D407" t="s">
        <v>6171</v>
      </c>
      <c r="E407" t="s">
        <v>6172</v>
      </c>
      <c r="F407" t="str">
        <f>IF(Table2[[#This Row],[Date posted]]&lt; DATE(2015,9,18),"Before Crisis","During Crisis")</f>
        <v>Before Crisis</v>
      </c>
      <c r="G407" s="27">
        <f t="shared" si="36"/>
        <v>42206</v>
      </c>
      <c r="H407" s="7" t="str">
        <f t="shared" si="37"/>
        <v>13:07:01</v>
      </c>
      <c r="I407" s="8" t="str">
        <f t="shared" si="38"/>
        <v>Mid-day</v>
      </c>
      <c r="J407" t="s">
        <v>2370</v>
      </c>
      <c r="K407" t="s">
        <v>2370</v>
      </c>
      <c r="L407" s="3">
        <v>0</v>
      </c>
      <c r="M407" s="3">
        <v>0</v>
      </c>
      <c r="N407">
        <v>1</v>
      </c>
      <c r="O407" s="4">
        <f t="shared" si="39"/>
        <v>1</v>
      </c>
      <c r="P407" s="5" t="str">
        <f t="shared" si="40"/>
        <v>Low engagement</v>
      </c>
      <c r="Q407" t="b">
        <v>0</v>
      </c>
      <c r="R407" t="b">
        <v>0</v>
      </c>
      <c r="S407" t="b">
        <v>0</v>
      </c>
      <c r="T407" s="24" t="str">
        <f t="shared" si="41"/>
        <v>Text only</v>
      </c>
    </row>
    <row r="408" spans="1:20" hidden="1" x14ac:dyDescent="0.2">
      <c r="A408" t="s">
        <v>6150</v>
      </c>
      <c r="B408" t="s">
        <v>2365</v>
      </c>
      <c r="C408" t="s">
        <v>2366</v>
      </c>
      <c r="D408" t="s">
        <v>6151</v>
      </c>
      <c r="E408" t="s">
        <v>6152</v>
      </c>
      <c r="F408" t="str">
        <f>IF(Table2[[#This Row],[Date posted]]&lt; DATE(2015,9,18),"Before Crisis","During Crisis")</f>
        <v>Before Crisis</v>
      </c>
      <c r="G408" s="27">
        <f t="shared" si="36"/>
        <v>42206</v>
      </c>
      <c r="H408" s="7" t="str">
        <f t="shared" si="37"/>
        <v>20:54:19</v>
      </c>
      <c r="I408" s="8" t="str">
        <f t="shared" si="38"/>
        <v>Evening</v>
      </c>
      <c r="J408" t="s">
        <v>2370</v>
      </c>
      <c r="K408" t="s">
        <v>2370</v>
      </c>
      <c r="L408" s="3">
        <v>0</v>
      </c>
      <c r="M408" s="3">
        <v>0</v>
      </c>
      <c r="N408">
        <v>1</v>
      </c>
      <c r="O408" s="4">
        <f t="shared" si="39"/>
        <v>1</v>
      </c>
      <c r="P408" s="5" t="str">
        <f t="shared" si="40"/>
        <v>Low engagement</v>
      </c>
      <c r="Q408" t="b">
        <v>0</v>
      </c>
      <c r="R408" t="b">
        <v>0</v>
      </c>
      <c r="S408" t="b">
        <v>0</v>
      </c>
      <c r="T408" s="24" t="str">
        <f t="shared" si="41"/>
        <v>Text only</v>
      </c>
    </row>
    <row r="409" spans="1:20" hidden="1" x14ac:dyDescent="0.2">
      <c r="A409" t="s">
        <v>6140</v>
      </c>
      <c r="B409" t="s">
        <v>2365</v>
      </c>
      <c r="C409" t="s">
        <v>2366</v>
      </c>
      <c r="D409" t="s">
        <v>6141</v>
      </c>
      <c r="E409" t="s">
        <v>6142</v>
      </c>
      <c r="F409" t="str">
        <f>IF(Table2[[#This Row],[Date posted]]&lt; DATE(2015,9,18),"Before Crisis","During Crisis")</f>
        <v>Before Crisis</v>
      </c>
      <c r="G409" s="27">
        <f t="shared" si="36"/>
        <v>42207</v>
      </c>
      <c r="H409" s="7" t="str">
        <f t="shared" si="37"/>
        <v>12:54:32</v>
      </c>
      <c r="I409" s="8" t="str">
        <f t="shared" si="38"/>
        <v>Mid-day</v>
      </c>
      <c r="J409" t="s">
        <v>6143</v>
      </c>
      <c r="K409" t="s">
        <v>2370</v>
      </c>
      <c r="L409" s="3">
        <v>0</v>
      </c>
      <c r="M409" s="3">
        <v>0</v>
      </c>
      <c r="N409">
        <v>1</v>
      </c>
      <c r="O409" s="4">
        <f t="shared" si="39"/>
        <v>1</v>
      </c>
      <c r="P409" s="5" t="str">
        <f t="shared" si="40"/>
        <v>Low engagement</v>
      </c>
      <c r="Q409" t="b">
        <v>0</v>
      </c>
      <c r="R409" t="b">
        <v>0</v>
      </c>
      <c r="S409" t="b">
        <v>0</v>
      </c>
      <c r="T409" s="24" t="str">
        <f t="shared" si="41"/>
        <v>Text only</v>
      </c>
    </row>
    <row r="410" spans="1:20" hidden="1" x14ac:dyDescent="0.2">
      <c r="A410" t="s">
        <v>6119</v>
      </c>
      <c r="B410" t="s">
        <v>2365</v>
      </c>
      <c r="C410" t="s">
        <v>2366</v>
      </c>
      <c r="D410" t="s">
        <v>6120</v>
      </c>
      <c r="E410" t="s">
        <v>6121</v>
      </c>
      <c r="F410" t="str">
        <f>IF(Table2[[#This Row],[Date posted]]&lt; DATE(2015,9,18),"Before Crisis","During Crisis")</f>
        <v>Before Crisis</v>
      </c>
      <c r="G410" s="27">
        <f t="shared" si="36"/>
        <v>42207</v>
      </c>
      <c r="H410" s="7" t="str">
        <f t="shared" si="37"/>
        <v>20:22:43</v>
      </c>
      <c r="I410" s="8" t="str">
        <f t="shared" si="38"/>
        <v>Evening</v>
      </c>
      <c r="J410" t="s">
        <v>2370</v>
      </c>
      <c r="K410" t="s">
        <v>2370</v>
      </c>
      <c r="L410" s="3">
        <v>0</v>
      </c>
      <c r="M410" s="3">
        <v>0</v>
      </c>
      <c r="N410">
        <v>1</v>
      </c>
      <c r="O410" s="4">
        <f t="shared" si="39"/>
        <v>1</v>
      </c>
      <c r="P410" s="5" t="str">
        <f t="shared" si="40"/>
        <v>Low engagement</v>
      </c>
      <c r="Q410" t="b">
        <v>0</v>
      </c>
      <c r="R410" t="b">
        <v>0</v>
      </c>
      <c r="S410" t="b">
        <v>0</v>
      </c>
      <c r="T410" s="24" t="str">
        <f t="shared" si="41"/>
        <v>Text only</v>
      </c>
    </row>
    <row r="411" spans="1:20" hidden="1" x14ac:dyDescent="0.2">
      <c r="A411" t="s">
        <v>6116</v>
      </c>
      <c r="B411" t="s">
        <v>2365</v>
      </c>
      <c r="C411" t="s">
        <v>2366</v>
      </c>
      <c r="D411" t="s">
        <v>6117</v>
      </c>
      <c r="E411" t="s">
        <v>6118</v>
      </c>
      <c r="F411" t="str">
        <f>IF(Table2[[#This Row],[Date posted]]&lt; DATE(2015,9,18),"Before Crisis","During Crisis")</f>
        <v>Before Crisis</v>
      </c>
      <c r="G411" s="27">
        <f t="shared" si="36"/>
        <v>42207</v>
      </c>
      <c r="H411" s="7" t="str">
        <f t="shared" si="37"/>
        <v>20:22:44</v>
      </c>
      <c r="I411" s="8" t="str">
        <f t="shared" si="38"/>
        <v>Evening</v>
      </c>
      <c r="J411" t="s">
        <v>2370</v>
      </c>
      <c r="K411" t="s">
        <v>2370</v>
      </c>
      <c r="L411" s="3">
        <v>0</v>
      </c>
      <c r="M411" s="3">
        <v>0</v>
      </c>
      <c r="N411">
        <v>1</v>
      </c>
      <c r="O411" s="4">
        <f t="shared" si="39"/>
        <v>1</v>
      </c>
      <c r="P411" s="5" t="str">
        <f t="shared" si="40"/>
        <v>Low engagement</v>
      </c>
      <c r="Q411" t="b">
        <v>0</v>
      </c>
      <c r="R411" t="b">
        <v>0</v>
      </c>
      <c r="S411" t="b">
        <v>0</v>
      </c>
      <c r="T411" s="24" t="str">
        <f t="shared" si="41"/>
        <v>Text only</v>
      </c>
    </row>
    <row r="412" spans="1:20" hidden="1" x14ac:dyDescent="0.2">
      <c r="A412" t="s">
        <v>6090</v>
      </c>
      <c r="B412" t="s">
        <v>2365</v>
      </c>
      <c r="C412" t="s">
        <v>2366</v>
      </c>
      <c r="D412" t="s">
        <v>6091</v>
      </c>
      <c r="E412" t="s">
        <v>6092</v>
      </c>
      <c r="F412" t="str">
        <f>IF(Table2[[#This Row],[Date posted]]&lt; DATE(2015,9,18),"Before Crisis","During Crisis")</f>
        <v>Before Crisis</v>
      </c>
      <c r="G412" s="27">
        <f t="shared" si="36"/>
        <v>42208</v>
      </c>
      <c r="H412" s="7" t="str">
        <f t="shared" si="37"/>
        <v>17:35:25</v>
      </c>
      <c r="I412" s="8" t="str">
        <f t="shared" si="38"/>
        <v>Afternoon</v>
      </c>
      <c r="J412" t="s">
        <v>6062</v>
      </c>
      <c r="K412" t="s">
        <v>2370</v>
      </c>
      <c r="L412" s="3">
        <v>0</v>
      </c>
      <c r="M412">
        <v>1</v>
      </c>
      <c r="N412">
        <v>1</v>
      </c>
      <c r="O412" s="4">
        <f t="shared" si="39"/>
        <v>2</v>
      </c>
      <c r="P412" s="5" t="str">
        <f t="shared" si="40"/>
        <v>Low engagement</v>
      </c>
      <c r="Q412" t="b">
        <v>0</v>
      </c>
      <c r="R412" t="b">
        <v>0</v>
      </c>
      <c r="S412" t="b">
        <v>0</v>
      </c>
      <c r="T412" s="24" t="str">
        <f t="shared" si="41"/>
        <v>Text only</v>
      </c>
    </row>
    <row r="413" spans="1:20" hidden="1" x14ac:dyDescent="0.2">
      <c r="A413" t="s">
        <v>6087</v>
      </c>
      <c r="B413" t="s">
        <v>2365</v>
      </c>
      <c r="C413" t="s">
        <v>2366</v>
      </c>
      <c r="D413" t="s">
        <v>6088</v>
      </c>
      <c r="E413" t="s">
        <v>6089</v>
      </c>
      <c r="F413" t="str">
        <f>IF(Table2[[#This Row],[Date posted]]&lt; DATE(2015,9,18),"Before Crisis","During Crisis")</f>
        <v>Before Crisis</v>
      </c>
      <c r="G413" s="27">
        <f t="shared" si="36"/>
        <v>42208</v>
      </c>
      <c r="H413" s="7" t="str">
        <f t="shared" si="37"/>
        <v>17:38:57</v>
      </c>
      <c r="I413" s="8" t="str">
        <f t="shared" si="38"/>
        <v>Afternoon</v>
      </c>
      <c r="J413" t="s">
        <v>5818</v>
      </c>
      <c r="K413" t="s">
        <v>2370</v>
      </c>
      <c r="L413" s="3">
        <v>0</v>
      </c>
      <c r="M413" s="3">
        <v>0</v>
      </c>
      <c r="N413">
        <v>1</v>
      </c>
      <c r="O413" s="4">
        <f t="shared" si="39"/>
        <v>1</v>
      </c>
      <c r="P413" s="5" t="str">
        <f t="shared" si="40"/>
        <v>Low engagement</v>
      </c>
      <c r="Q413" t="b">
        <v>0</v>
      </c>
      <c r="R413" t="b">
        <v>0</v>
      </c>
      <c r="S413" t="b">
        <v>0</v>
      </c>
      <c r="T413" s="24" t="str">
        <f t="shared" si="41"/>
        <v>Text only</v>
      </c>
    </row>
    <row r="414" spans="1:20" hidden="1" x14ac:dyDescent="0.2">
      <c r="A414" t="s">
        <v>6059</v>
      </c>
      <c r="B414" t="s">
        <v>2365</v>
      </c>
      <c r="C414" t="s">
        <v>2366</v>
      </c>
      <c r="D414" t="s">
        <v>6060</v>
      </c>
      <c r="E414" t="s">
        <v>6061</v>
      </c>
      <c r="F414" t="str">
        <f>IF(Table2[[#This Row],[Date posted]]&lt; DATE(2015,9,18),"Before Crisis","During Crisis")</f>
        <v>Before Crisis</v>
      </c>
      <c r="G414" s="27">
        <f t="shared" si="36"/>
        <v>42209</v>
      </c>
      <c r="H414" s="7" t="str">
        <f t="shared" si="37"/>
        <v>16:53:19</v>
      </c>
      <c r="I414" s="8" t="str">
        <f t="shared" si="38"/>
        <v>Afternoon</v>
      </c>
      <c r="J414" t="s">
        <v>6062</v>
      </c>
      <c r="K414" t="s">
        <v>2370</v>
      </c>
      <c r="L414" s="3">
        <v>0</v>
      </c>
      <c r="M414" s="3">
        <v>0</v>
      </c>
      <c r="N414">
        <v>1</v>
      </c>
      <c r="O414" s="4">
        <f t="shared" si="39"/>
        <v>1</v>
      </c>
      <c r="P414" s="5" t="str">
        <f t="shared" si="40"/>
        <v>Low engagement</v>
      </c>
      <c r="Q414" t="b">
        <v>0</v>
      </c>
      <c r="R414" t="b">
        <v>0</v>
      </c>
      <c r="S414" t="b">
        <v>0</v>
      </c>
      <c r="T414" s="24" t="str">
        <f t="shared" si="41"/>
        <v>Text only</v>
      </c>
    </row>
    <row r="415" spans="1:20" hidden="1" x14ac:dyDescent="0.2">
      <c r="A415" t="s">
        <v>6046</v>
      </c>
      <c r="B415" t="s">
        <v>2365</v>
      </c>
      <c r="C415" t="s">
        <v>2366</v>
      </c>
      <c r="D415" t="s">
        <v>6047</v>
      </c>
      <c r="E415" t="s">
        <v>6048</v>
      </c>
      <c r="F415" t="str">
        <f>IF(Table2[[#This Row],[Date posted]]&lt; DATE(2015,9,18),"Before Crisis","During Crisis")</f>
        <v>Before Crisis</v>
      </c>
      <c r="G415" s="27">
        <f t="shared" si="36"/>
        <v>42209</v>
      </c>
      <c r="H415" s="7" t="str">
        <f t="shared" si="37"/>
        <v>19:54:07</v>
      </c>
      <c r="I415" s="8" t="str">
        <f t="shared" si="38"/>
        <v>Evening</v>
      </c>
      <c r="J415" t="s">
        <v>6049</v>
      </c>
      <c r="K415" t="s">
        <v>2370</v>
      </c>
      <c r="L415" s="3">
        <v>0</v>
      </c>
      <c r="M415">
        <v>1</v>
      </c>
      <c r="N415">
        <v>1</v>
      </c>
      <c r="O415" s="4">
        <f t="shared" si="39"/>
        <v>2</v>
      </c>
      <c r="P415" s="5" t="str">
        <f t="shared" si="40"/>
        <v>Low engagement</v>
      </c>
      <c r="Q415" t="b">
        <v>0</v>
      </c>
      <c r="R415" t="b">
        <v>0</v>
      </c>
      <c r="S415" t="b">
        <v>0</v>
      </c>
      <c r="T415" s="24" t="str">
        <f t="shared" si="41"/>
        <v>Text only</v>
      </c>
    </row>
    <row r="416" spans="1:20" hidden="1" x14ac:dyDescent="0.2">
      <c r="A416" t="s">
        <v>6036</v>
      </c>
      <c r="B416" t="s">
        <v>2365</v>
      </c>
      <c r="C416" t="s">
        <v>2366</v>
      </c>
      <c r="D416" t="s">
        <v>6037</v>
      </c>
      <c r="E416" t="s">
        <v>6038</v>
      </c>
      <c r="F416" t="str">
        <f>IF(Table2[[#This Row],[Date posted]]&lt; DATE(2015,9,18),"Before Crisis","During Crisis")</f>
        <v>Before Crisis</v>
      </c>
      <c r="G416" s="27">
        <f t="shared" si="36"/>
        <v>42210</v>
      </c>
      <c r="H416" s="7" t="str">
        <f t="shared" si="37"/>
        <v>14:45:44</v>
      </c>
      <c r="I416" s="8" t="str">
        <f t="shared" si="38"/>
        <v>Afternoon</v>
      </c>
      <c r="J416" t="s">
        <v>2370</v>
      </c>
      <c r="K416" t="s">
        <v>2370</v>
      </c>
      <c r="L416" s="3">
        <v>0</v>
      </c>
      <c r="M416" s="3">
        <v>0</v>
      </c>
      <c r="N416">
        <v>1</v>
      </c>
      <c r="O416" s="4">
        <f t="shared" si="39"/>
        <v>1</v>
      </c>
      <c r="P416" s="5" t="str">
        <f t="shared" si="40"/>
        <v>Low engagement</v>
      </c>
      <c r="Q416" t="b">
        <v>0</v>
      </c>
      <c r="R416" t="b">
        <v>0</v>
      </c>
      <c r="S416" t="b">
        <v>0</v>
      </c>
      <c r="T416" s="24" t="str">
        <f t="shared" si="41"/>
        <v>Text only</v>
      </c>
    </row>
    <row r="417" spans="1:20" hidden="1" x14ac:dyDescent="0.2">
      <c r="A417" t="s">
        <v>6029</v>
      </c>
      <c r="B417" t="s">
        <v>2365</v>
      </c>
      <c r="C417" t="s">
        <v>2366</v>
      </c>
      <c r="D417" t="s">
        <v>6030</v>
      </c>
      <c r="E417" t="s">
        <v>6031</v>
      </c>
      <c r="F417" t="str">
        <f>IF(Table2[[#This Row],[Date posted]]&lt; DATE(2015,9,18),"Before Crisis","During Crisis")</f>
        <v>Before Crisis</v>
      </c>
      <c r="G417" s="27">
        <f t="shared" si="36"/>
        <v>42210</v>
      </c>
      <c r="H417" s="7" t="str">
        <f t="shared" si="37"/>
        <v>15:13:53</v>
      </c>
      <c r="I417" s="8" t="str">
        <f t="shared" si="38"/>
        <v>Afternoon</v>
      </c>
      <c r="J417" t="s">
        <v>2370</v>
      </c>
      <c r="K417" t="s">
        <v>2370</v>
      </c>
      <c r="L417" s="3">
        <v>0</v>
      </c>
      <c r="M417" s="3">
        <v>0</v>
      </c>
      <c r="N417">
        <v>1</v>
      </c>
      <c r="O417" s="4">
        <f t="shared" si="39"/>
        <v>1</v>
      </c>
      <c r="P417" s="5" t="str">
        <f t="shared" si="40"/>
        <v>Low engagement</v>
      </c>
      <c r="Q417" t="b">
        <v>0</v>
      </c>
      <c r="R417" t="b">
        <v>0</v>
      </c>
      <c r="S417" t="b">
        <v>0</v>
      </c>
      <c r="T417" s="24" t="str">
        <f t="shared" si="41"/>
        <v>Text only</v>
      </c>
    </row>
    <row r="418" spans="1:20" hidden="1" x14ac:dyDescent="0.2">
      <c r="A418" t="s">
        <v>5977</v>
      </c>
      <c r="B418" t="s">
        <v>2365</v>
      </c>
      <c r="C418" t="s">
        <v>2366</v>
      </c>
      <c r="D418" t="s">
        <v>5978</v>
      </c>
      <c r="E418" t="s">
        <v>5979</v>
      </c>
      <c r="F418" t="str">
        <f>IF(Table2[[#This Row],[Date posted]]&lt; DATE(2015,9,18),"Before Crisis","During Crisis")</f>
        <v>Before Crisis</v>
      </c>
      <c r="G418" s="27">
        <f t="shared" si="36"/>
        <v>42211</v>
      </c>
      <c r="H418" s="7" t="str">
        <f t="shared" si="37"/>
        <v>22:03:07</v>
      </c>
      <c r="I418" s="8" t="str">
        <f t="shared" si="38"/>
        <v>Evening</v>
      </c>
      <c r="J418" t="s">
        <v>5980</v>
      </c>
      <c r="K418" t="s">
        <v>2370</v>
      </c>
      <c r="L418" s="3">
        <v>0</v>
      </c>
      <c r="M418" s="3">
        <v>0</v>
      </c>
      <c r="N418">
        <v>1</v>
      </c>
      <c r="O418" s="4">
        <f t="shared" si="39"/>
        <v>1</v>
      </c>
      <c r="P418" s="5" t="str">
        <f t="shared" si="40"/>
        <v>Low engagement</v>
      </c>
      <c r="Q418" t="b">
        <v>0</v>
      </c>
      <c r="R418" t="b">
        <v>0</v>
      </c>
      <c r="S418" t="b">
        <v>0</v>
      </c>
      <c r="T418" s="24" t="str">
        <f t="shared" si="41"/>
        <v>Text only</v>
      </c>
    </row>
    <row r="419" spans="1:20" hidden="1" x14ac:dyDescent="0.2">
      <c r="A419" t="s">
        <v>5971</v>
      </c>
      <c r="B419" t="s">
        <v>2365</v>
      </c>
      <c r="C419" t="s">
        <v>2366</v>
      </c>
      <c r="D419" t="s">
        <v>5972</v>
      </c>
      <c r="E419" t="s">
        <v>5973</v>
      </c>
      <c r="F419" t="str">
        <f>IF(Table2[[#This Row],[Date posted]]&lt; DATE(2015,9,18),"Before Crisis","During Crisis")</f>
        <v>Before Crisis</v>
      </c>
      <c r="G419" s="27">
        <f t="shared" si="36"/>
        <v>42211</v>
      </c>
      <c r="H419" s="7" t="str">
        <f t="shared" si="37"/>
        <v>22:30:15</v>
      </c>
      <c r="I419" s="8" t="str">
        <f t="shared" si="38"/>
        <v>Evening</v>
      </c>
      <c r="J419" t="s">
        <v>5928</v>
      </c>
      <c r="K419" t="s">
        <v>2370</v>
      </c>
      <c r="L419">
        <v>1</v>
      </c>
      <c r="M419">
        <v>1</v>
      </c>
      <c r="N419">
        <v>1</v>
      </c>
      <c r="O419" s="4">
        <f t="shared" si="39"/>
        <v>3</v>
      </c>
      <c r="P419" s="5" t="str">
        <f t="shared" si="40"/>
        <v>Low engagement</v>
      </c>
      <c r="Q419" t="b">
        <v>0</v>
      </c>
      <c r="R419" t="b">
        <v>0</v>
      </c>
      <c r="S419" t="b">
        <v>0</v>
      </c>
      <c r="T419" s="24" t="str">
        <f t="shared" si="41"/>
        <v>Text only</v>
      </c>
    </row>
    <row r="420" spans="1:20" hidden="1" x14ac:dyDescent="0.2">
      <c r="A420" t="s">
        <v>5944</v>
      </c>
      <c r="B420" t="s">
        <v>2365</v>
      </c>
      <c r="C420" t="s">
        <v>2366</v>
      </c>
      <c r="D420" t="s">
        <v>5945</v>
      </c>
      <c r="E420" t="s">
        <v>5946</v>
      </c>
      <c r="F420" t="str">
        <f>IF(Table2[[#This Row],[Date posted]]&lt; DATE(2015,9,18),"Before Crisis","During Crisis")</f>
        <v>Before Crisis</v>
      </c>
      <c r="G420" s="27">
        <f t="shared" si="36"/>
        <v>42213</v>
      </c>
      <c r="H420" s="7" t="str">
        <f t="shared" si="37"/>
        <v>12:34:35</v>
      </c>
      <c r="I420" s="8" t="str">
        <f t="shared" si="38"/>
        <v>Mid-day</v>
      </c>
      <c r="J420" t="s">
        <v>2370</v>
      </c>
      <c r="K420" t="s">
        <v>2370</v>
      </c>
      <c r="L420" s="3">
        <v>0</v>
      </c>
      <c r="M420" s="3">
        <v>0</v>
      </c>
      <c r="N420">
        <v>1</v>
      </c>
      <c r="O420" s="4">
        <f t="shared" si="39"/>
        <v>1</v>
      </c>
      <c r="P420" s="5" t="str">
        <f t="shared" si="40"/>
        <v>Low engagement</v>
      </c>
      <c r="Q420" t="b">
        <v>0</v>
      </c>
      <c r="R420" t="b">
        <v>0</v>
      </c>
      <c r="S420" t="b">
        <v>0</v>
      </c>
      <c r="T420" s="24" t="str">
        <f t="shared" si="41"/>
        <v>Text only</v>
      </c>
    </row>
    <row r="421" spans="1:20" hidden="1" x14ac:dyDescent="0.2">
      <c r="A421" t="s">
        <v>5941</v>
      </c>
      <c r="B421" t="s">
        <v>2365</v>
      </c>
      <c r="C421" t="s">
        <v>2366</v>
      </c>
      <c r="D421" t="s">
        <v>5942</v>
      </c>
      <c r="E421" t="s">
        <v>5943</v>
      </c>
      <c r="F421" t="str">
        <f>IF(Table2[[#This Row],[Date posted]]&lt; DATE(2015,9,18),"Before Crisis","During Crisis")</f>
        <v>Before Crisis</v>
      </c>
      <c r="G421" s="27">
        <f t="shared" si="36"/>
        <v>42213</v>
      </c>
      <c r="H421" s="7" t="str">
        <f t="shared" si="37"/>
        <v>20:32:44</v>
      </c>
      <c r="I421" s="8" t="str">
        <f t="shared" si="38"/>
        <v>Evening</v>
      </c>
      <c r="J421" t="s">
        <v>5928</v>
      </c>
      <c r="K421" t="s">
        <v>2370</v>
      </c>
      <c r="L421" s="3">
        <v>0</v>
      </c>
      <c r="M421">
        <v>3</v>
      </c>
      <c r="N421">
        <v>1</v>
      </c>
      <c r="O421" s="4">
        <f t="shared" si="39"/>
        <v>4</v>
      </c>
      <c r="P421" s="5" t="str">
        <f t="shared" si="40"/>
        <v>Low engagement</v>
      </c>
      <c r="Q421" t="b">
        <v>0</v>
      </c>
      <c r="R421" t="b">
        <v>0</v>
      </c>
      <c r="S421" t="b">
        <v>0</v>
      </c>
      <c r="T421" s="24" t="str">
        <f t="shared" si="41"/>
        <v>Text only</v>
      </c>
    </row>
    <row r="422" spans="1:20" hidden="1" x14ac:dyDescent="0.2">
      <c r="A422" t="s">
        <v>5932</v>
      </c>
      <c r="B422" t="s">
        <v>2365</v>
      </c>
      <c r="C422" t="s">
        <v>2366</v>
      </c>
      <c r="D422" t="s">
        <v>5933</v>
      </c>
      <c r="E422" t="s">
        <v>5934</v>
      </c>
      <c r="F422" t="str">
        <f>IF(Table2[[#This Row],[Date posted]]&lt; DATE(2015,9,18),"Before Crisis","During Crisis")</f>
        <v>Before Crisis</v>
      </c>
      <c r="G422" s="27">
        <f t="shared" si="36"/>
        <v>42213</v>
      </c>
      <c r="H422" s="7" t="str">
        <f t="shared" si="37"/>
        <v>20:32:45</v>
      </c>
      <c r="I422" s="8" t="str">
        <f t="shared" si="38"/>
        <v>Evening</v>
      </c>
      <c r="J422" t="s">
        <v>2370</v>
      </c>
      <c r="K422" t="s">
        <v>2370</v>
      </c>
      <c r="L422" s="3">
        <v>0</v>
      </c>
      <c r="M422" s="3">
        <v>0</v>
      </c>
      <c r="N422">
        <v>1</v>
      </c>
      <c r="O422" s="4">
        <f t="shared" si="39"/>
        <v>1</v>
      </c>
      <c r="P422" s="5" t="str">
        <f t="shared" si="40"/>
        <v>Low engagement</v>
      </c>
      <c r="Q422" t="b">
        <v>0</v>
      </c>
      <c r="R422" t="b">
        <v>0</v>
      </c>
      <c r="S422" t="b">
        <v>1</v>
      </c>
      <c r="T422" s="24" t="str">
        <f t="shared" si="41"/>
        <v>Link</v>
      </c>
    </row>
    <row r="423" spans="1:20" hidden="1" x14ac:dyDescent="0.2">
      <c r="A423" t="s">
        <v>5935</v>
      </c>
      <c r="B423" t="s">
        <v>2365</v>
      </c>
      <c r="C423" t="s">
        <v>2366</v>
      </c>
      <c r="D423" t="s">
        <v>5936</v>
      </c>
      <c r="E423" t="s">
        <v>5934</v>
      </c>
      <c r="F423" t="str">
        <f>IF(Table2[[#This Row],[Date posted]]&lt; DATE(2015,9,18),"Before Crisis","During Crisis")</f>
        <v>Before Crisis</v>
      </c>
      <c r="G423" s="27">
        <f t="shared" si="36"/>
        <v>42213</v>
      </c>
      <c r="H423" s="7" t="str">
        <f t="shared" si="37"/>
        <v>20:32:45</v>
      </c>
      <c r="I423" s="8" t="str">
        <f t="shared" si="38"/>
        <v>Evening</v>
      </c>
      <c r="J423" t="s">
        <v>5937</v>
      </c>
      <c r="K423" t="s">
        <v>2370</v>
      </c>
      <c r="L423">
        <v>1</v>
      </c>
      <c r="M423" s="3">
        <v>0</v>
      </c>
      <c r="N423">
        <v>1</v>
      </c>
      <c r="O423" s="4">
        <f t="shared" si="39"/>
        <v>2</v>
      </c>
      <c r="P423" s="5" t="str">
        <f t="shared" si="40"/>
        <v>Low engagement</v>
      </c>
      <c r="Q423" t="b">
        <v>0</v>
      </c>
      <c r="R423" t="b">
        <v>0</v>
      </c>
      <c r="S423" t="b">
        <v>0</v>
      </c>
      <c r="T423" s="24" t="str">
        <f t="shared" si="41"/>
        <v>Text only</v>
      </c>
    </row>
    <row r="424" spans="1:20" hidden="1" x14ac:dyDescent="0.2">
      <c r="A424" t="s">
        <v>5938</v>
      </c>
      <c r="B424" t="s">
        <v>2365</v>
      </c>
      <c r="C424" t="s">
        <v>2366</v>
      </c>
      <c r="D424" t="s">
        <v>5939</v>
      </c>
      <c r="E424" t="s">
        <v>5934</v>
      </c>
      <c r="F424" t="str">
        <f>IF(Table2[[#This Row],[Date posted]]&lt; DATE(2015,9,18),"Before Crisis","During Crisis")</f>
        <v>Before Crisis</v>
      </c>
      <c r="G424" s="27">
        <f t="shared" si="36"/>
        <v>42213</v>
      </c>
      <c r="H424" s="7" t="str">
        <f t="shared" si="37"/>
        <v>20:32:45</v>
      </c>
      <c r="I424" s="8" t="str">
        <f t="shared" si="38"/>
        <v>Evening</v>
      </c>
      <c r="J424" t="s">
        <v>5940</v>
      </c>
      <c r="K424" t="s">
        <v>2370</v>
      </c>
      <c r="L424">
        <v>1</v>
      </c>
      <c r="M424" s="3">
        <v>0</v>
      </c>
      <c r="N424">
        <v>1</v>
      </c>
      <c r="O424" s="4">
        <f t="shared" si="39"/>
        <v>2</v>
      </c>
      <c r="P424" s="5" t="str">
        <f t="shared" si="40"/>
        <v>Low engagement</v>
      </c>
      <c r="Q424" t="b">
        <v>0</v>
      </c>
      <c r="R424" t="b">
        <v>0</v>
      </c>
      <c r="S424" t="b">
        <v>0</v>
      </c>
      <c r="T424" s="24" t="str">
        <f t="shared" si="41"/>
        <v>Text only</v>
      </c>
    </row>
    <row r="425" spans="1:20" hidden="1" x14ac:dyDescent="0.2">
      <c r="A425" t="s">
        <v>5925</v>
      </c>
      <c r="B425" t="s">
        <v>2365</v>
      </c>
      <c r="C425" t="s">
        <v>2366</v>
      </c>
      <c r="D425" t="s">
        <v>5926</v>
      </c>
      <c r="E425" t="s">
        <v>5927</v>
      </c>
      <c r="F425" t="str">
        <f>IF(Table2[[#This Row],[Date posted]]&lt; DATE(2015,9,18),"Before Crisis","During Crisis")</f>
        <v>Before Crisis</v>
      </c>
      <c r="G425" s="27">
        <f t="shared" si="36"/>
        <v>42214</v>
      </c>
      <c r="H425" s="7" t="str">
        <f t="shared" si="37"/>
        <v>12:18:55</v>
      </c>
      <c r="I425" s="8" t="str">
        <f t="shared" si="38"/>
        <v>Mid-day</v>
      </c>
      <c r="J425" t="s">
        <v>5928</v>
      </c>
      <c r="K425" t="s">
        <v>2370</v>
      </c>
      <c r="L425" s="3">
        <v>0</v>
      </c>
      <c r="M425" s="3">
        <v>0</v>
      </c>
      <c r="N425">
        <v>1</v>
      </c>
      <c r="O425" s="4">
        <f t="shared" si="39"/>
        <v>1</v>
      </c>
      <c r="P425" s="5" t="str">
        <f t="shared" si="40"/>
        <v>Low engagement</v>
      </c>
      <c r="Q425" t="b">
        <v>0</v>
      </c>
      <c r="R425" t="b">
        <v>0</v>
      </c>
      <c r="S425" t="b">
        <v>0</v>
      </c>
      <c r="T425" s="24" t="str">
        <f t="shared" si="41"/>
        <v>Text only</v>
      </c>
    </row>
    <row r="426" spans="1:20" hidden="1" x14ac:dyDescent="0.2">
      <c r="A426" t="s">
        <v>5921</v>
      </c>
      <c r="B426" t="s">
        <v>2365</v>
      </c>
      <c r="C426" t="s">
        <v>2366</v>
      </c>
      <c r="D426" t="s">
        <v>5922</v>
      </c>
      <c r="E426" t="s">
        <v>5923</v>
      </c>
      <c r="F426" t="str">
        <f>IF(Table2[[#This Row],[Date posted]]&lt; DATE(2015,9,18),"Before Crisis","During Crisis")</f>
        <v>Before Crisis</v>
      </c>
      <c r="G426" s="27">
        <f t="shared" si="36"/>
        <v>42214</v>
      </c>
      <c r="H426" s="7" t="str">
        <f t="shared" si="37"/>
        <v>13:56:40</v>
      </c>
      <c r="I426" s="8" t="str">
        <f t="shared" si="38"/>
        <v>Mid-day</v>
      </c>
      <c r="J426" t="s">
        <v>5924</v>
      </c>
      <c r="K426" t="s">
        <v>2370</v>
      </c>
      <c r="L426" s="3">
        <v>0</v>
      </c>
      <c r="M426" s="3">
        <v>0</v>
      </c>
      <c r="N426">
        <v>1</v>
      </c>
      <c r="O426" s="4">
        <f t="shared" si="39"/>
        <v>1</v>
      </c>
      <c r="P426" s="5" t="str">
        <f t="shared" si="40"/>
        <v>Low engagement</v>
      </c>
      <c r="Q426" t="b">
        <v>0</v>
      </c>
      <c r="R426" t="b">
        <v>0</v>
      </c>
      <c r="S426" t="b">
        <v>0</v>
      </c>
      <c r="T426" s="24" t="str">
        <f t="shared" si="41"/>
        <v>Text only</v>
      </c>
    </row>
    <row r="427" spans="1:20" hidden="1" x14ac:dyDescent="0.2">
      <c r="A427" t="s">
        <v>5914</v>
      </c>
      <c r="B427" t="s">
        <v>2365</v>
      </c>
      <c r="C427" t="s">
        <v>2366</v>
      </c>
      <c r="D427" t="s">
        <v>5915</v>
      </c>
      <c r="E427" t="s">
        <v>5916</v>
      </c>
      <c r="F427" t="str">
        <f>IF(Table2[[#This Row],[Date posted]]&lt; DATE(2015,9,18),"Before Crisis","During Crisis")</f>
        <v>Before Crisis</v>
      </c>
      <c r="G427" s="27">
        <f t="shared" si="36"/>
        <v>42214</v>
      </c>
      <c r="H427" s="7" t="str">
        <f t="shared" si="37"/>
        <v>15:54:57</v>
      </c>
      <c r="I427" s="8" t="str">
        <f t="shared" si="38"/>
        <v>Afternoon</v>
      </c>
      <c r="J427" t="s">
        <v>5917</v>
      </c>
      <c r="K427" t="s">
        <v>2370</v>
      </c>
      <c r="L427">
        <v>1</v>
      </c>
      <c r="M427">
        <v>1</v>
      </c>
      <c r="N427">
        <v>1</v>
      </c>
      <c r="O427" s="4">
        <f t="shared" si="39"/>
        <v>3</v>
      </c>
      <c r="P427" s="5" t="str">
        <f t="shared" si="40"/>
        <v>Low engagement</v>
      </c>
      <c r="Q427" t="b">
        <v>0</v>
      </c>
      <c r="R427" t="b">
        <v>0</v>
      </c>
      <c r="S427" t="b">
        <v>0</v>
      </c>
      <c r="T427" s="24" t="str">
        <f t="shared" si="41"/>
        <v>Text only</v>
      </c>
    </row>
    <row r="428" spans="1:20" hidden="1" x14ac:dyDescent="0.2">
      <c r="A428" t="s">
        <v>5918</v>
      </c>
      <c r="B428" t="s">
        <v>2365</v>
      </c>
      <c r="C428" t="s">
        <v>2366</v>
      </c>
      <c r="D428" t="s">
        <v>5919</v>
      </c>
      <c r="E428" t="s">
        <v>5916</v>
      </c>
      <c r="F428" t="str">
        <f>IF(Table2[[#This Row],[Date posted]]&lt; DATE(2015,9,18),"Before Crisis","During Crisis")</f>
        <v>Before Crisis</v>
      </c>
      <c r="G428" s="27">
        <f t="shared" si="36"/>
        <v>42214</v>
      </c>
      <c r="H428" s="7" t="str">
        <f t="shared" si="37"/>
        <v>15:54:57</v>
      </c>
      <c r="I428" s="8" t="str">
        <f t="shared" si="38"/>
        <v>Afternoon</v>
      </c>
      <c r="J428" t="s">
        <v>5920</v>
      </c>
      <c r="K428" t="s">
        <v>2370</v>
      </c>
      <c r="L428">
        <v>1</v>
      </c>
      <c r="M428" s="3">
        <v>0</v>
      </c>
      <c r="N428">
        <v>1</v>
      </c>
      <c r="O428" s="4">
        <f t="shared" si="39"/>
        <v>2</v>
      </c>
      <c r="P428" s="5" t="str">
        <f t="shared" si="40"/>
        <v>Low engagement</v>
      </c>
      <c r="Q428" t="b">
        <v>0</v>
      </c>
      <c r="R428" t="b">
        <v>0</v>
      </c>
      <c r="S428" t="b">
        <v>0</v>
      </c>
      <c r="T428" s="24" t="str">
        <f t="shared" si="41"/>
        <v>Text only</v>
      </c>
    </row>
    <row r="429" spans="1:20" hidden="1" x14ac:dyDescent="0.2">
      <c r="A429" t="s">
        <v>5910</v>
      </c>
      <c r="B429" t="s">
        <v>2365</v>
      </c>
      <c r="C429" t="s">
        <v>2366</v>
      </c>
      <c r="D429" t="s">
        <v>5911</v>
      </c>
      <c r="E429" t="s">
        <v>5912</v>
      </c>
      <c r="F429" t="str">
        <f>IF(Table2[[#This Row],[Date posted]]&lt; DATE(2015,9,18),"Before Crisis","During Crisis")</f>
        <v>Before Crisis</v>
      </c>
      <c r="G429" s="27">
        <f t="shared" si="36"/>
        <v>42214</v>
      </c>
      <c r="H429" s="7" t="str">
        <f t="shared" si="37"/>
        <v>17:00:44</v>
      </c>
      <c r="I429" s="8" t="str">
        <f t="shared" si="38"/>
        <v>Afternoon</v>
      </c>
      <c r="J429" t="s">
        <v>5913</v>
      </c>
      <c r="K429" t="s">
        <v>2370</v>
      </c>
      <c r="L429" s="3">
        <v>0</v>
      </c>
      <c r="M429" s="3">
        <v>0</v>
      </c>
      <c r="N429">
        <v>1</v>
      </c>
      <c r="O429" s="4">
        <f t="shared" si="39"/>
        <v>1</v>
      </c>
      <c r="P429" s="5" t="str">
        <f t="shared" si="40"/>
        <v>Low engagement</v>
      </c>
      <c r="Q429" t="b">
        <v>0</v>
      </c>
      <c r="R429" t="b">
        <v>0</v>
      </c>
      <c r="S429" t="b">
        <v>0</v>
      </c>
      <c r="T429" s="24" t="str">
        <f t="shared" si="41"/>
        <v>Text only</v>
      </c>
    </row>
    <row r="430" spans="1:20" hidden="1" x14ac:dyDescent="0.2">
      <c r="A430" t="s">
        <v>5904</v>
      </c>
      <c r="B430" t="s">
        <v>2365</v>
      </c>
      <c r="C430" t="s">
        <v>2366</v>
      </c>
      <c r="D430" t="s">
        <v>5905</v>
      </c>
      <c r="E430" t="s">
        <v>5903</v>
      </c>
      <c r="F430" t="str">
        <f>IF(Table2[[#This Row],[Date posted]]&lt; DATE(2015,9,18),"Before Crisis","During Crisis")</f>
        <v>Before Crisis</v>
      </c>
      <c r="G430" s="27">
        <f t="shared" si="36"/>
        <v>42214</v>
      </c>
      <c r="H430" s="7" t="str">
        <f t="shared" si="37"/>
        <v>19:31:27</v>
      </c>
      <c r="I430" s="8" t="str">
        <f t="shared" si="38"/>
        <v>Evening</v>
      </c>
      <c r="J430" t="s">
        <v>5906</v>
      </c>
      <c r="K430" t="s">
        <v>2370</v>
      </c>
      <c r="L430" s="3">
        <v>0</v>
      </c>
      <c r="M430" s="3">
        <v>0</v>
      </c>
      <c r="N430">
        <v>1</v>
      </c>
      <c r="O430" s="4">
        <f t="shared" si="39"/>
        <v>1</v>
      </c>
      <c r="P430" s="5" t="str">
        <f t="shared" si="40"/>
        <v>Low engagement</v>
      </c>
      <c r="Q430" t="b">
        <v>0</v>
      </c>
      <c r="R430" t="b">
        <v>0</v>
      </c>
      <c r="S430" t="b">
        <v>0</v>
      </c>
      <c r="T430" s="24" t="str">
        <f t="shared" si="41"/>
        <v>Text only</v>
      </c>
    </row>
    <row r="431" spans="1:20" hidden="1" x14ac:dyDescent="0.2">
      <c r="A431" t="s">
        <v>5889</v>
      </c>
      <c r="B431" t="s">
        <v>2365</v>
      </c>
      <c r="C431" t="s">
        <v>2366</v>
      </c>
      <c r="D431" t="s">
        <v>5890</v>
      </c>
      <c r="E431" t="s">
        <v>5891</v>
      </c>
      <c r="F431" t="str">
        <f>IF(Table2[[#This Row],[Date posted]]&lt; DATE(2015,9,18),"Before Crisis","During Crisis")</f>
        <v>Before Crisis</v>
      </c>
      <c r="G431" s="27">
        <f t="shared" si="36"/>
        <v>42216</v>
      </c>
      <c r="H431" s="7" t="str">
        <f t="shared" si="37"/>
        <v>13:48:10</v>
      </c>
      <c r="I431" s="8" t="str">
        <f t="shared" si="38"/>
        <v>Mid-day</v>
      </c>
      <c r="J431" t="s">
        <v>2370</v>
      </c>
      <c r="K431" t="s">
        <v>2370</v>
      </c>
      <c r="L431">
        <v>1</v>
      </c>
      <c r="M431" s="3">
        <v>0</v>
      </c>
      <c r="N431">
        <v>1</v>
      </c>
      <c r="O431" s="4">
        <f t="shared" si="39"/>
        <v>2</v>
      </c>
      <c r="P431" s="5" t="str">
        <f t="shared" si="40"/>
        <v>Low engagement</v>
      </c>
      <c r="Q431" t="b">
        <v>0</v>
      </c>
      <c r="R431" t="b">
        <v>0</v>
      </c>
      <c r="S431" t="b">
        <v>0</v>
      </c>
      <c r="T431" s="24" t="str">
        <f t="shared" si="41"/>
        <v>Text only</v>
      </c>
    </row>
    <row r="432" spans="1:20" hidden="1" x14ac:dyDescent="0.2">
      <c r="A432" t="s">
        <v>5885</v>
      </c>
      <c r="B432" t="s">
        <v>2365</v>
      </c>
      <c r="C432" t="s">
        <v>2366</v>
      </c>
      <c r="D432" t="s">
        <v>5886</v>
      </c>
      <c r="E432" t="s">
        <v>5887</v>
      </c>
      <c r="F432" t="str">
        <f>IF(Table2[[#This Row],[Date posted]]&lt; DATE(2015,9,18),"Before Crisis","During Crisis")</f>
        <v>Before Crisis</v>
      </c>
      <c r="G432" s="27">
        <f t="shared" si="36"/>
        <v>42216</v>
      </c>
      <c r="H432" s="7" t="str">
        <f t="shared" si="37"/>
        <v>18:46:54</v>
      </c>
      <c r="I432" s="8" t="str">
        <f t="shared" si="38"/>
        <v>Evening</v>
      </c>
      <c r="J432" t="s">
        <v>5888</v>
      </c>
      <c r="K432" t="s">
        <v>2370</v>
      </c>
      <c r="L432" s="3">
        <v>0</v>
      </c>
      <c r="M432" s="3">
        <v>0</v>
      </c>
      <c r="N432">
        <v>1</v>
      </c>
      <c r="O432" s="4">
        <f t="shared" si="39"/>
        <v>1</v>
      </c>
      <c r="P432" s="5" t="str">
        <f t="shared" si="40"/>
        <v>Low engagement</v>
      </c>
      <c r="Q432" t="b">
        <v>0</v>
      </c>
      <c r="R432" t="b">
        <v>0</v>
      </c>
      <c r="S432" t="b">
        <v>0</v>
      </c>
      <c r="T432" s="24" t="str">
        <f t="shared" si="41"/>
        <v>Text only</v>
      </c>
    </row>
    <row r="433" spans="1:20" hidden="1" x14ac:dyDescent="0.2">
      <c r="A433" t="s">
        <v>5879</v>
      </c>
      <c r="B433" t="s">
        <v>2365</v>
      </c>
      <c r="C433" t="s">
        <v>2366</v>
      </c>
      <c r="D433" t="s">
        <v>5880</v>
      </c>
      <c r="E433" t="s">
        <v>5881</v>
      </c>
      <c r="F433" t="str">
        <f>IF(Table2[[#This Row],[Date posted]]&lt; DATE(2015,9,18),"Before Crisis","During Crisis")</f>
        <v>Before Crisis</v>
      </c>
      <c r="G433" s="27">
        <f t="shared" si="36"/>
        <v>42216</v>
      </c>
      <c r="H433" s="7" t="str">
        <f t="shared" si="37"/>
        <v>18:46:55</v>
      </c>
      <c r="I433" s="8" t="str">
        <f t="shared" si="38"/>
        <v>Evening</v>
      </c>
      <c r="J433" t="s">
        <v>5882</v>
      </c>
      <c r="K433" t="s">
        <v>2370</v>
      </c>
      <c r="L433" s="3">
        <v>0</v>
      </c>
      <c r="M433" s="3">
        <v>0</v>
      </c>
      <c r="N433">
        <v>1</v>
      </c>
      <c r="O433" s="4">
        <f t="shared" si="39"/>
        <v>1</v>
      </c>
      <c r="P433" s="5" t="str">
        <f t="shared" si="40"/>
        <v>Low engagement</v>
      </c>
      <c r="Q433" t="b">
        <v>0</v>
      </c>
      <c r="R433" t="b">
        <v>0</v>
      </c>
      <c r="S433" t="b">
        <v>1</v>
      </c>
      <c r="T433" s="24" t="str">
        <f t="shared" si="41"/>
        <v>Link</v>
      </c>
    </row>
    <row r="434" spans="1:20" hidden="1" x14ac:dyDescent="0.2">
      <c r="A434" t="s">
        <v>5883</v>
      </c>
      <c r="B434" t="s">
        <v>2365</v>
      </c>
      <c r="C434" t="s">
        <v>2366</v>
      </c>
      <c r="D434" t="s">
        <v>5884</v>
      </c>
      <c r="E434" t="s">
        <v>5881</v>
      </c>
      <c r="F434" t="str">
        <f>IF(Table2[[#This Row],[Date posted]]&lt; DATE(2015,9,18),"Before Crisis","During Crisis")</f>
        <v>Before Crisis</v>
      </c>
      <c r="G434" s="27">
        <f t="shared" si="36"/>
        <v>42216</v>
      </c>
      <c r="H434" s="7" t="str">
        <f t="shared" si="37"/>
        <v>18:46:55</v>
      </c>
      <c r="I434" s="8" t="str">
        <f t="shared" si="38"/>
        <v>Evening</v>
      </c>
      <c r="J434" t="s">
        <v>5882</v>
      </c>
      <c r="K434" t="s">
        <v>2370</v>
      </c>
      <c r="L434" s="3">
        <v>0</v>
      </c>
      <c r="M434" s="3">
        <v>0</v>
      </c>
      <c r="N434">
        <v>1</v>
      </c>
      <c r="O434" s="4">
        <f t="shared" si="39"/>
        <v>1</v>
      </c>
      <c r="P434" s="5" t="str">
        <f t="shared" si="40"/>
        <v>Low engagement</v>
      </c>
      <c r="Q434" t="b">
        <v>0</v>
      </c>
      <c r="R434" t="b">
        <v>0</v>
      </c>
      <c r="S434" t="b">
        <v>0</v>
      </c>
      <c r="T434" s="24" t="str">
        <f t="shared" si="41"/>
        <v>Text only</v>
      </c>
    </row>
    <row r="435" spans="1:20" hidden="1" x14ac:dyDescent="0.2">
      <c r="A435" t="s">
        <v>5873</v>
      </c>
      <c r="B435" t="s">
        <v>2365</v>
      </c>
      <c r="C435" t="s">
        <v>2366</v>
      </c>
      <c r="D435" t="s">
        <v>5874</v>
      </c>
      <c r="E435" t="s">
        <v>5875</v>
      </c>
      <c r="F435" t="str">
        <f>IF(Table2[[#This Row],[Date posted]]&lt; DATE(2015,9,18),"Before Crisis","During Crisis")</f>
        <v>Before Crisis</v>
      </c>
      <c r="G435" s="27">
        <f t="shared" si="36"/>
        <v>42216</v>
      </c>
      <c r="H435" s="7" t="str">
        <f t="shared" si="37"/>
        <v>19:02:12</v>
      </c>
      <c r="I435" s="8" t="str">
        <f t="shared" si="38"/>
        <v>Evening</v>
      </c>
      <c r="J435" t="s">
        <v>5545</v>
      </c>
      <c r="K435" t="s">
        <v>2370</v>
      </c>
      <c r="L435" s="3">
        <v>0</v>
      </c>
      <c r="M435">
        <v>1</v>
      </c>
      <c r="N435">
        <v>1</v>
      </c>
      <c r="O435" s="4">
        <f t="shared" si="39"/>
        <v>2</v>
      </c>
      <c r="P435" s="5" t="str">
        <f t="shared" si="40"/>
        <v>Low engagement</v>
      </c>
      <c r="Q435" t="b">
        <v>0</v>
      </c>
      <c r="R435" t="b">
        <v>0</v>
      </c>
      <c r="S435" t="b">
        <v>0</v>
      </c>
      <c r="T435" s="24" t="str">
        <f t="shared" si="41"/>
        <v>Text only</v>
      </c>
    </row>
    <row r="436" spans="1:20" hidden="1" x14ac:dyDescent="0.2">
      <c r="A436" t="s">
        <v>5869</v>
      </c>
      <c r="B436" t="s">
        <v>2365</v>
      </c>
      <c r="C436" t="s">
        <v>2366</v>
      </c>
      <c r="D436" t="s">
        <v>5870</v>
      </c>
      <c r="E436" t="s">
        <v>5871</v>
      </c>
      <c r="F436" t="str">
        <f>IF(Table2[[#This Row],[Date posted]]&lt; DATE(2015,9,18),"Before Crisis","During Crisis")</f>
        <v>Before Crisis</v>
      </c>
      <c r="G436" s="27">
        <f t="shared" si="36"/>
        <v>42216</v>
      </c>
      <c r="H436" s="7" t="str">
        <f t="shared" si="37"/>
        <v>19:02:13</v>
      </c>
      <c r="I436" s="8" t="str">
        <f t="shared" si="38"/>
        <v>Evening</v>
      </c>
      <c r="J436" t="s">
        <v>5872</v>
      </c>
      <c r="K436" t="s">
        <v>2370</v>
      </c>
      <c r="L436" s="3">
        <v>0</v>
      </c>
      <c r="M436" s="3">
        <v>0</v>
      </c>
      <c r="N436">
        <v>1</v>
      </c>
      <c r="O436" s="4">
        <f t="shared" si="39"/>
        <v>1</v>
      </c>
      <c r="P436" s="5" t="str">
        <f t="shared" si="40"/>
        <v>Low engagement</v>
      </c>
      <c r="Q436" t="b">
        <v>0</v>
      </c>
      <c r="R436" t="b">
        <v>0</v>
      </c>
      <c r="S436" t="b">
        <v>0</v>
      </c>
      <c r="T436" s="24" t="str">
        <f t="shared" si="41"/>
        <v>Text only</v>
      </c>
    </row>
    <row r="437" spans="1:20" hidden="1" x14ac:dyDescent="0.2">
      <c r="A437" t="s">
        <v>5866</v>
      </c>
      <c r="B437" t="s">
        <v>2365</v>
      </c>
      <c r="C437" t="s">
        <v>2366</v>
      </c>
      <c r="D437" t="s">
        <v>5867</v>
      </c>
      <c r="E437" t="s">
        <v>5868</v>
      </c>
      <c r="F437" t="str">
        <f>IF(Table2[[#This Row],[Date posted]]&lt; DATE(2015,9,18),"Before Crisis","During Crisis")</f>
        <v>Before Crisis</v>
      </c>
      <c r="G437" s="27">
        <f t="shared" si="36"/>
        <v>42216</v>
      </c>
      <c r="H437" s="7" t="str">
        <f t="shared" si="37"/>
        <v>20:09:59</v>
      </c>
      <c r="I437" s="8" t="str">
        <f t="shared" si="38"/>
        <v>Evening</v>
      </c>
      <c r="J437" t="s">
        <v>5865</v>
      </c>
      <c r="K437" t="s">
        <v>2370</v>
      </c>
      <c r="L437" s="3">
        <v>0</v>
      </c>
      <c r="M437" s="3">
        <v>0</v>
      </c>
      <c r="N437">
        <v>1</v>
      </c>
      <c r="O437" s="4">
        <f t="shared" si="39"/>
        <v>1</v>
      </c>
      <c r="P437" s="5" t="str">
        <f t="shared" si="40"/>
        <v>Low engagement</v>
      </c>
      <c r="Q437" t="b">
        <v>0</v>
      </c>
      <c r="R437" t="b">
        <v>0</v>
      </c>
      <c r="S437" t="b">
        <v>0</v>
      </c>
      <c r="T437" s="24" t="str">
        <f t="shared" si="41"/>
        <v>Text only</v>
      </c>
    </row>
    <row r="438" spans="1:20" hidden="1" x14ac:dyDescent="0.2">
      <c r="A438" t="s">
        <v>5862</v>
      </c>
      <c r="B438" t="s">
        <v>2365</v>
      </c>
      <c r="C438" t="s">
        <v>2366</v>
      </c>
      <c r="D438" t="s">
        <v>5863</v>
      </c>
      <c r="E438" t="s">
        <v>5864</v>
      </c>
      <c r="F438" t="str">
        <f>IF(Table2[[#This Row],[Date posted]]&lt; DATE(2015,9,18),"Before Crisis","During Crisis")</f>
        <v>Before Crisis</v>
      </c>
      <c r="G438" s="27">
        <f t="shared" si="36"/>
        <v>42216</v>
      </c>
      <c r="H438" s="7" t="str">
        <f t="shared" si="37"/>
        <v>20:10:00</v>
      </c>
      <c r="I438" s="8" t="str">
        <f t="shared" si="38"/>
        <v>Evening</v>
      </c>
      <c r="J438" t="s">
        <v>5865</v>
      </c>
      <c r="K438" t="s">
        <v>2370</v>
      </c>
      <c r="L438" s="3">
        <v>0</v>
      </c>
      <c r="M438" s="3">
        <v>0</v>
      </c>
      <c r="N438">
        <v>1</v>
      </c>
      <c r="O438" s="4">
        <f t="shared" si="39"/>
        <v>1</v>
      </c>
      <c r="P438" s="5" t="str">
        <f t="shared" si="40"/>
        <v>Low engagement</v>
      </c>
      <c r="Q438" t="b">
        <v>0</v>
      </c>
      <c r="R438" t="b">
        <v>0</v>
      </c>
      <c r="S438" t="b">
        <v>0</v>
      </c>
      <c r="T438" s="24" t="str">
        <f t="shared" si="41"/>
        <v>Text only</v>
      </c>
    </row>
    <row r="439" spans="1:20" hidden="1" x14ac:dyDescent="0.2">
      <c r="A439" t="s">
        <v>5858</v>
      </c>
      <c r="B439" t="s">
        <v>2365</v>
      </c>
      <c r="C439" t="s">
        <v>2366</v>
      </c>
      <c r="D439" t="s">
        <v>5859</v>
      </c>
      <c r="E439" t="s">
        <v>5860</v>
      </c>
      <c r="F439" t="str">
        <f>IF(Table2[[#This Row],[Date posted]]&lt; DATE(2015,9,18),"Before Crisis","During Crisis")</f>
        <v>Before Crisis</v>
      </c>
      <c r="G439" s="27">
        <f t="shared" si="36"/>
        <v>42216</v>
      </c>
      <c r="H439" s="7" t="str">
        <f t="shared" si="37"/>
        <v>20:16:14</v>
      </c>
      <c r="I439" s="8" t="str">
        <f t="shared" si="38"/>
        <v>Evening</v>
      </c>
      <c r="J439" t="s">
        <v>5861</v>
      </c>
      <c r="K439" t="s">
        <v>2370</v>
      </c>
      <c r="L439">
        <v>1</v>
      </c>
      <c r="M439">
        <v>1</v>
      </c>
      <c r="N439">
        <v>1</v>
      </c>
      <c r="O439" s="4">
        <f t="shared" si="39"/>
        <v>3</v>
      </c>
      <c r="P439" s="5" t="str">
        <f t="shared" si="40"/>
        <v>Low engagement</v>
      </c>
      <c r="Q439" t="b">
        <v>0</v>
      </c>
      <c r="R439" t="b">
        <v>0</v>
      </c>
      <c r="S439" t="b">
        <v>0</v>
      </c>
      <c r="T439" s="24" t="str">
        <f t="shared" si="41"/>
        <v>Text only</v>
      </c>
    </row>
    <row r="440" spans="1:20" hidden="1" x14ac:dyDescent="0.2">
      <c r="A440" t="s">
        <v>5815</v>
      </c>
      <c r="B440" t="s">
        <v>2365</v>
      </c>
      <c r="C440" t="s">
        <v>2366</v>
      </c>
      <c r="D440" t="s">
        <v>5816</v>
      </c>
      <c r="E440" t="s">
        <v>5817</v>
      </c>
      <c r="F440" t="str">
        <f>IF(Table2[[#This Row],[Date posted]]&lt; DATE(2015,9,18),"Before Crisis","During Crisis")</f>
        <v>Before Crisis</v>
      </c>
      <c r="G440" s="27">
        <f t="shared" si="36"/>
        <v>42219</v>
      </c>
      <c r="H440" s="7" t="str">
        <f t="shared" si="37"/>
        <v>19:03:24</v>
      </c>
      <c r="I440" s="8" t="str">
        <f t="shared" si="38"/>
        <v>Evening</v>
      </c>
      <c r="J440" t="s">
        <v>5818</v>
      </c>
      <c r="K440" t="s">
        <v>2370</v>
      </c>
      <c r="L440" s="3">
        <v>0</v>
      </c>
      <c r="M440" s="3">
        <v>0</v>
      </c>
      <c r="N440">
        <v>1</v>
      </c>
      <c r="O440" s="4">
        <f t="shared" si="39"/>
        <v>1</v>
      </c>
      <c r="P440" s="5" t="str">
        <f t="shared" si="40"/>
        <v>Low engagement</v>
      </c>
      <c r="Q440" t="b">
        <v>0</v>
      </c>
      <c r="R440" t="b">
        <v>0</v>
      </c>
      <c r="S440" t="b">
        <v>0</v>
      </c>
      <c r="T440" s="24" t="str">
        <f t="shared" si="41"/>
        <v>Text only</v>
      </c>
    </row>
    <row r="441" spans="1:20" hidden="1" x14ac:dyDescent="0.2">
      <c r="A441" t="s">
        <v>5811</v>
      </c>
      <c r="B441" t="s">
        <v>2365</v>
      </c>
      <c r="C441" t="s">
        <v>2366</v>
      </c>
      <c r="D441" t="s">
        <v>5812</v>
      </c>
      <c r="E441" t="s">
        <v>5813</v>
      </c>
      <c r="F441" t="str">
        <f>IF(Table2[[#This Row],[Date posted]]&lt; DATE(2015,9,18),"Before Crisis","During Crisis")</f>
        <v>Before Crisis</v>
      </c>
      <c r="G441" s="27">
        <f t="shared" si="36"/>
        <v>42219</v>
      </c>
      <c r="H441" s="7" t="str">
        <f t="shared" si="37"/>
        <v>19:57:31</v>
      </c>
      <c r="I441" s="8" t="str">
        <f t="shared" si="38"/>
        <v>Evening</v>
      </c>
      <c r="J441" t="s">
        <v>5814</v>
      </c>
      <c r="K441" t="s">
        <v>2370</v>
      </c>
      <c r="L441" s="3">
        <v>0</v>
      </c>
      <c r="M441" s="3">
        <v>0</v>
      </c>
      <c r="N441">
        <v>1</v>
      </c>
      <c r="O441" s="4">
        <f t="shared" si="39"/>
        <v>1</v>
      </c>
      <c r="P441" s="5" t="str">
        <f t="shared" si="40"/>
        <v>Low engagement</v>
      </c>
      <c r="Q441" t="b">
        <v>0</v>
      </c>
      <c r="R441" t="b">
        <v>0</v>
      </c>
      <c r="S441" t="b">
        <v>0</v>
      </c>
      <c r="T441" s="24" t="str">
        <f t="shared" si="41"/>
        <v>Text only</v>
      </c>
    </row>
    <row r="442" spans="1:20" hidden="1" x14ac:dyDescent="0.2">
      <c r="A442" t="s">
        <v>5807</v>
      </c>
      <c r="B442" t="s">
        <v>2365</v>
      </c>
      <c r="C442" t="s">
        <v>2366</v>
      </c>
      <c r="D442" t="s">
        <v>5808</v>
      </c>
      <c r="E442" t="s">
        <v>5809</v>
      </c>
      <c r="F442" t="str">
        <f>IF(Table2[[#This Row],[Date posted]]&lt; DATE(2015,9,18),"Before Crisis","During Crisis")</f>
        <v>Before Crisis</v>
      </c>
      <c r="G442" s="27">
        <f t="shared" si="36"/>
        <v>42219</v>
      </c>
      <c r="H442" s="7" t="str">
        <f t="shared" si="37"/>
        <v>19:57:32</v>
      </c>
      <c r="I442" s="8" t="str">
        <f t="shared" si="38"/>
        <v>Evening</v>
      </c>
      <c r="J442" t="s">
        <v>5810</v>
      </c>
      <c r="K442" t="s">
        <v>2370</v>
      </c>
      <c r="L442" s="3">
        <v>0</v>
      </c>
      <c r="M442">
        <v>1</v>
      </c>
      <c r="N442">
        <v>1</v>
      </c>
      <c r="O442" s="4">
        <f t="shared" si="39"/>
        <v>2</v>
      </c>
      <c r="P442" s="5" t="str">
        <f t="shared" si="40"/>
        <v>Low engagement</v>
      </c>
      <c r="Q442" t="b">
        <v>0</v>
      </c>
      <c r="R442" t="b">
        <v>0</v>
      </c>
      <c r="S442" t="b">
        <v>0</v>
      </c>
      <c r="T442" s="24" t="str">
        <f t="shared" si="41"/>
        <v>Text only</v>
      </c>
    </row>
    <row r="443" spans="1:20" hidden="1" x14ac:dyDescent="0.2">
      <c r="A443" t="s">
        <v>5804</v>
      </c>
      <c r="B443" t="s">
        <v>2365</v>
      </c>
      <c r="C443" t="s">
        <v>2366</v>
      </c>
      <c r="D443" t="s">
        <v>5805</v>
      </c>
      <c r="E443" t="s">
        <v>5806</v>
      </c>
      <c r="F443" t="str">
        <f>IF(Table2[[#This Row],[Date posted]]&lt; DATE(2015,9,18),"Before Crisis","During Crisis")</f>
        <v>Before Crisis</v>
      </c>
      <c r="G443" s="27">
        <f t="shared" si="36"/>
        <v>42219</v>
      </c>
      <c r="H443" s="7" t="str">
        <f t="shared" si="37"/>
        <v>20:25:14</v>
      </c>
      <c r="I443" s="8" t="str">
        <f t="shared" si="38"/>
        <v>Evening</v>
      </c>
      <c r="J443" t="s">
        <v>2370</v>
      </c>
      <c r="K443" t="s">
        <v>2370</v>
      </c>
      <c r="L443">
        <v>1</v>
      </c>
      <c r="M443" s="3">
        <v>0</v>
      </c>
      <c r="N443">
        <v>1</v>
      </c>
      <c r="O443" s="4">
        <f t="shared" si="39"/>
        <v>2</v>
      </c>
      <c r="P443" s="5" t="str">
        <f t="shared" si="40"/>
        <v>Low engagement</v>
      </c>
      <c r="Q443" t="b">
        <v>0</v>
      </c>
      <c r="R443" t="b">
        <v>0</v>
      </c>
      <c r="S443" t="b">
        <v>1</v>
      </c>
      <c r="T443" s="24" t="str">
        <f t="shared" si="41"/>
        <v>Link</v>
      </c>
    </row>
    <row r="444" spans="1:20" hidden="1" x14ac:dyDescent="0.2">
      <c r="A444" t="s">
        <v>5796</v>
      </c>
      <c r="B444" t="s">
        <v>2365</v>
      </c>
      <c r="C444" t="s">
        <v>2366</v>
      </c>
      <c r="D444" t="s">
        <v>5797</v>
      </c>
      <c r="E444" t="s">
        <v>5798</v>
      </c>
      <c r="F444" t="str">
        <f>IF(Table2[[#This Row],[Date posted]]&lt; DATE(2015,9,18),"Before Crisis","During Crisis")</f>
        <v>Before Crisis</v>
      </c>
      <c r="G444" s="27">
        <f t="shared" si="36"/>
        <v>42220</v>
      </c>
      <c r="H444" s="7" t="str">
        <f t="shared" si="37"/>
        <v>19:48:28</v>
      </c>
      <c r="I444" s="8" t="str">
        <f t="shared" si="38"/>
        <v>Evening</v>
      </c>
      <c r="J444" t="s">
        <v>2370</v>
      </c>
      <c r="K444" t="s">
        <v>2370</v>
      </c>
      <c r="L444" s="3">
        <v>0</v>
      </c>
      <c r="M444" s="3">
        <v>0</v>
      </c>
      <c r="N444">
        <v>1</v>
      </c>
      <c r="O444" s="4">
        <f t="shared" si="39"/>
        <v>1</v>
      </c>
      <c r="P444" s="5" t="str">
        <f t="shared" si="40"/>
        <v>Low engagement</v>
      </c>
      <c r="Q444" t="b">
        <v>0</v>
      </c>
      <c r="R444" t="b">
        <v>0</v>
      </c>
      <c r="S444" t="b">
        <v>0</v>
      </c>
      <c r="T444" s="24" t="str">
        <f t="shared" si="41"/>
        <v>Text only</v>
      </c>
    </row>
    <row r="445" spans="1:20" hidden="1" x14ac:dyDescent="0.2">
      <c r="A445" t="s">
        <v>5793</v>
      </c>
      <c r="B445" t="s">
        <v>2365</v>
      </c>
      <c r="C445" t="s">
        <v>2366</v>
      </c>
      <c r="D445" t="s">
        <v>5794</v>
      </c>
      <c r="E445" t="s">
        <v>5795</v>
      </c>
      <c r="F445" t="str">
        <f>IF(Table2[[#This Row],[Date posted]]&lt; DATE(2015,9,18),"Before Crisis","During Crisis")</f>
        <v>Before Crisis</v>
      </c>
      <c r="G445" s="27">
        <f t="shared" si="36"/>
        <v>42220</v>
      </c>
      <c r="H445" s="7" t="str">
        <f t="shared" si="37"/>
        <v>19:48:29</v>
      </c>
      <c r="I445" s="8" t="str">
        <f t="shared" si="38"/>
        <v>Evening</v>
      </c>
      <c r="J445" t="s">
        <v>2370</v>
      </c>
      <c r="K445" t="s">
        <v>2370</v>
      </c>
      <c r="L445" s="3">
        <v>0</v>
      </c>
      <c r="M445" s="3">
        <v>0</v>
      </c>
      <c r="N445">
        <v>1</v>
      </c>
      <c r="O445" s="4">
        <f t="shared" si="39"/>
        <v>1</v>
      </c>
      <c r="P445" s="5" t="str">
        <f t="shared" si="40"/>
        <v>Low engagement</v>
      </c>
      <c r="Q445" t="b">
        <v>0</v>
      </c>
      <c r="R445" t="b">
        <v>0</v>
      </c>
      <c r="S445" t="b">
        <v>0</v>
      </c>
      <c r="T445" s="24" t="str">
        <f t="shared" si="41"/>
        <v>Text only</v>
      </c>
    </row>
    <row r="446" spans="1:20" hidden="1" x14ac:dyDescent="0.2">
      <c r="A446" t="s">
        <v>5786</v>
      </c>
      <c r="B446" t="s">
        <v>2365</v>
      </c>
      <c r="C446" t="s">
        <v>2366</v>
      </c>
      <c r="D446" t="s">
        <v>5787</v>
      </c>
      <c r="E446" t="s">
        <v>5788</v>
      </c>
      <c r="F446" t="str">
        <f>IF(Table2[[#This Row],[Date posted]]&lt; DATE(2015,9,18),"Before Crisis","During Crisis")</f>
        <v>Before Crisis</v>
      </c>
      <c r="G446" s="27">
        <f t="shared" si="36"/>
        <v>42220</v>
      </c>
      <c r="H446" s="7" t="str">
        <f t="shared" si="37"/>
        <v>19:51:50</v>
      </c>
      <c r="I446" s="8" t="str">
        <f t="shared" si="38"/>
        <v>Evening</v>
      </c>
      <c r="J446" t="s">
        <v>5789</v>
      </c>
      <c r="K446" t="s">
        <v>2370</v>
      </c>
      <c r="L446" s="3">
        <v>0</v>
      </c>
      <c r="M446" s="3">
        <v>0</v>
      </c>
      <c r="N446">
        <v>1</v>
      </c>
      <c r="O446" s="4">
        <f t="shared" si="39"/>
        <v>1</v>
      </c>
      <c r="P446" s="5" t="str">
        <f t="shared" si="40"/>
        <v>Low engagement</v>
      </c>
      <c r="Q446" t="b">
        <v>0</v>
      </c>
      <c r="R446" t="b">
        <v>0</v>
      </c>
      <c r="S446" t="b">
        <v>0</v>
      </c>
      <c r="T446" s="24" t="str">
        <f t="shared" si="41"/>
        <v>Text only</v>
      </c>
    </row>
    <row r="447" spans="1:20" hidden="1" x14ac:dyDescent="0.2">
      <c r="A447" t="s">
        <v>5790</v>
      </c>
      <c r="B447" t="s">
        <v>2365</v>
      </c>
      <c r="C447" t="s">
        <v>2366</v>
      </c>
      <c r="D447" t="s">
        <v>5791</v>
      </c>
      <c r="E447" t="s">
        <v>5788</v>
      </c>
      <c r="F447" t="str">
        <f>IF(Table2[[#This Row],[Date posted]]&lt; DATE(2015,9,18),"Before Crisis","During Crisis")</f>
        <v>Before Crisis</v>
      </c>
      <c r="G447" s="27">
        <f t="shared" si="36"/>
        <v>42220</v>
      </c>
      <c r="H447" s="7" t="str">
        <f t="shared" si="37"/>
        <v>19:51:50</v>
      </c>
      <c r="I447" s="8" t="str">
        <f t="shared" si="38"/>
        <v>Evening</v>
      </c>
      <c r="J447" t="s">
        <v>5792</v>
      </c>
      <c r="K447" t="s">
        <v>2370</v>
      </c>
      <c r="L447" s="3">
        <v>0</v>
      </c>
      <c r="M447">
        <v>2</v>
      </c>
      <c r="N447">
        <v>1</v>
      </c>
      <c r="O447" s="4">
        <f t="shared" si="39"/>
        <v>3</v>
      </c>
      <c r="P447" s="5" t="str">
        <f t="shared" si="40"/>
        <v>Low engagement</v>
      </c>
      <c r="Q447" t="b">
        <v>0</v>
      </c>
      <c r="R447" t="b">
        <v>0</v>
      </c>
      <c r="S447" t="b">
        <v>0</v>
      </c>
      <c r="T447" s="24" t="str">
        <f t="shared" si="41"/>
        <v>Text only</v>
      </c>
    </row>
    <row r="448" spans="1:20" hidden="1" x14ac:dyDescent="0.2">
      <c r="A448" t="s">
        <v>5783</v>
      </c>
      <c r="B448" t="s">
        <v>2365</v>
      </c>
      <c r="C448" t="s">
        <v>2366</v>
      </c>
      <c r="D448" t="s">
        <v>5784</v>
      </c>
      <c r="E448" t="s">
        <v>5782</v>
      </c>
      <c r="F448" t="str">
        <f>IF(Table2[[#This Row],[Date posted]]&lt; DATE(2015,9,18),"Before Crisis","During Crisis")</f>
        <v>Before Crisis</v>
      </c>
      <c r="G448" s="27">
        <f t="shared" si="36"/>
        <v>42220</v>
      </c>
      <c r="H448" s="7" t="str">
        <f t="shared" si="37"/>
        <v>22:34:34</v>
      </c>
      <c r="I448" s="8" t="str">
        <f t="shared" si="38"/>
        <v>Evening</v>
      </c>
      <c r="J448" t="s">
        <v>5785</v>
      </c>
      <c r="K448" t="s">
        <v>2370</v>
      </c>
      <c r="L448" s="3">
        <v>0</v>
      </c>
      <c r="M448" s="3">
        <v>0</v>
      </c>
      <c r="N448">
        <v>1</v>
      </c>
      <c r="O448" s="4">
        <f t="shared" si="39"/>
        <v>1</v>
      </c>
      <c r="P448" s="5" t="str">
        <f t="shared" si="40"/>
        <v>Low engagement</v>
      </c>
      <c r="Q448" t="b">
        <v>0</v>
      </c>
      <c r="R448" t="b">
        <v>0</v>
      </c>
      <c r="S448" t="b">
        <v>0</v>
      </c>
      <c r="T448" s="24" t="str">
        <f t="shared" si="41"/>
        <v>Text only</v>
      </c>
    </row>
    <row r="449" spans="1:20" hidden="1" x14ac:dyDescent="0.2">
      <c r="A449" t="s">
        <v>5776</v>
      </c>
      <c r="B449" t="s">
        <v>2365</v>
      </c>
      <c r="C449" t="s">
        <v>2366</v>
      </c>
      <c r="D449" t="s">
        <v>5777</v>
      </c>
      <c r="E449" t="s">
        <v>5778</v>
      </c>
      <c r="F449" t="str">
        <f>IF(Table2[[#This Row],[Date posted]]&lt; DATE(2015,9,18),"Before Crisis","During Crisis")</f>
        <v>Before Crisis</v>
      </c>
      <c r="G449" s="27">
        <f t="shared" si="36"/>
        <v>42221</v>
      </c>
      <c r="H449" s="7" t="str">
        <f t="shared" si="37"/>
        <v>20:38:22</v>
      </c>
      <c r="I449" s="8" t="str">
        <f t="shared" si="38"/>
        <v>Evening</v>
      </c>
      <c r="J449" t="s">
        <v>5779</v>
      </c>
      <c r="K449" t="s">
        <v>2370</v>
      </c>
      <c r="L449" s="3">
        <v>0</v>
      </c>
      <c r="M449" s="3">
        <v>0</v>
      </c>
      <c r="N449">
        <v>1</v>
      </c>
      <c r="O449" s="4">
        <f t="shared" si="39"/>
        <v>1</v>
      </c>
      <c r="P449" s="5" t="str">
        <f t="shared" si="40"/>
        <v>Low engagement</v>
      </c>
      <c r="Q449" t="b">
        <v>0</v>
      </c>
      <c r="R449" t="b">
        <v>0</v>
      </c>
      <c r="S449" t="b">
        <v>0</v>
      </c>
      <c r="T449" s="24" t="str">
        <f t="shared" si="41"/>
        <v>Text only</v>
      </c>
    </row>
    <row r="450" spans="1:20" hidden="1" x14ac:dyDescent="0.2">
      <c r="A450" t="s">
        <v>5773</v>
      </c>
      <c r="B450" t="s">
        <v>2365</v>
      </c>
      <c r="C450" t="s">
        <v>2366</v>
      </c>
      <c r="D450" t="s">
        <v>5774</v>
      </c>
      <c r="E450" t="s">
        <v>5775</v>
      </c>
      <c r="F450" t="str">
        <f>IF(Table2[[#This Row],[Date posted]]&lt; DATE(2015,9,18),"Before Crisis","During Crisis")</f>
        <v>Before Crisis</v>
      </c>
      <c r="G450" s="27">
        <f t="shared" ref="G450:G513" si="42">DATEVALUE(LEFT(E450,10))</f>
        <v>42221</v>
      </c>
      <c r="H450" s="7" t="str">
        <f t="shared" ref="H450:H513" si="43">MID(E450,12,8)</f>
        <v>20:45:19</v>
      </c>
      <c r="I450" s="8" t="str">
        <f t="shared" ref="I450:I513" si="44">IF(HOUR(H450)&lt;7,"Early morning",
IF(HOUR(H450)&lt;11,"Morning",
IF(HOUR(H450)&lt;14,"Mid-day",
IF(HOUR(H450)&lt;18,"Afternoon","Evening"))))</f>
        <v>Evening</v>
      </c>
      <c r="J450" t="s">
        <v>5609</v>
      </c>
      <c r="K450" t="s">
        <v>2370</v>
      </c>
      <c r="L450" s="3">
        <v>0</v>
      </c>
      <c r="M450" s="3">
        <v>0</v>
      </c>
      <c r="N450">
        <v>1</v>
      </c>
      <c r="O450" s="4">
        <f t="shared" ref="O450:O513" si="45">L450+M450+N450</f>
        <v>1</v>
      </c>
      <c r="P450" s="5" t="str">
        <f t="shared" ref="P450:P513" si="46">IF(O450&lt;1,"No engagement", IF(O450&lt;5,"Low engagement", IF(O450&lt;10,"Moderate engagement", "High engagement")))</f>
        <v>Low engagement</v>
      </c>
      <c r="Q450" t="b">
        <v>0</v>
      </c>
      <c r="R450" t="b">
        <v>0</v>
      </c>
      <c r="S450" t="b">
        <v>0</v>
      </c>
      <c r="T450" s="24" t="str">
        <f t="shared" ref="T450:T513" si="47">IF(Q450=TRUE,"Photo",
    IF(R450=TRUE,"Video",
        IF(S450=TRUE,"Link","Text only")))</f>
        <v>Text only</v>
      </c>
    </row>
    <row r="451" spans="1:20" hidden="1" x14ac:dyDescent="0.2">
      <c r="A451" t="s">
        <v>5771</v>
      </c>
      <c r="B451" t="s">
        <v>2365</v>
      </c>
      <c r="C451" t="s">
        <v>2366</v>
      </c>
      <c r="D451" t="s">
        <v>5772</v>
      </c>
      <c r="E451" t="s">
        <v>5770</v>
      </c>
      <c r="F451" t="str">
        <f>IF(Table2[[#This Row],[Date posted]]&lt; DATE(2015,9,18),"Before Crisis","During Crisis")</f>
        <v>Before Crisis</v>
      </c>
      <c r="G451" s="27">
        <f t="shared" si="42"/>
        <v>42221</v>
      </c>
      <c r="H451" s="7" t="str">
        <f t="shared" si="43"/>
        <v>20:45:20</v>
      </c>
      <c r="I451" s="8" t="str">
        <f t="shared" si="44"/>
        <v>Evening</v>
      </c>
      <c r="J451" t="s">
        <v>5609</v>
      </c>
      <c r="K451" t="s">
        <v>2370</v>
      </c>
      <c r="L451" s="3">
        <v>0</v>
      </c>
      <c r="M451">
        <v>1</v>
      </c>
      <c r="N451">
        <v>1</v>
      </c>
      <c r="O451" s="4">
        <f t="shared" si="45"/>
        <v>2</v>
      </c>
      <c r="P451" s="5" t="str">
        <f t="shared" si="46"/>
        <v>Low engagement</v>
      </c>
      <c r="Q451" t="b">
        <v>0</v>
      </c>
      <c r="R451" t="b">
        <v>0</v>
      </c>
      <c r="S451" t="b">
        <v>0</v>
      </c>
      <c r="T451" s="24" t="str">
        <f t="shared" si="47"/>
        <v>Text only</v>
      </c>
    </row>
    <row r="452" spans="1:20" hidden="1" x14ac:dyDescent="0.2">
      <c r="A452" t="s">
        <v>5765</v>
      </c>
      <c r="B452" t="s">
        <v>2365</v>
      </c>
      <c r="C452" t="s">
        <v>2366</v>
      </c>
      <c r="D452" t="s">
        <v>5766</v>
      </c>
      <c r="E452" t="s">
        <v>5767</v>
      </c>
      <c r="F452" t="str">
        <f>IF(Table2[[#This Row],[Date posted]]&lt; DATE(2015,9,18),"Before Crisis","During Crisis")</f>
        <v>Before Crisis</v>
      </c>
      <c r="G452" s="27">
        <f t="shared" si="42"/>
        <v>42221</v>
      </c>
      <c r="H452" s="7" t="str">
        <f t="shared" si="43"/>
        <v>20:45:21</v>
      </c>
      <c r="I452" s="8" t="str">
        <f t="shared" si="44"/>
        <v>Evening</v>
      </c>
      <c r="J452" t="s">
        <v>2370</v>
      </c>
      <c r="K452" t="s">
        <v>2370</v>
      </c>
      <c r="L452" s="3">
        <v>0</v>
      </c>
      <c r="M452" s="3">
        <v>0</v>
      </c>
      <c r="N452">
        <v>1</v>
      </c>
      <c r="O452" s="4">
        <f t="shared" si="45"/>
        <v>1</v>
      </c>
      <c r="P452" s="5" t="str">
        <f t="shared" si="46"/>
        <v>Low engagement</v>
      </c>
      <c r="Q452" t="b">
        <v>0</v>
      </c>
      <c r="R452" t="b">
        <v>0</v>
      </c>
      <c r="S452" t="b">
        <v>1</v>
      </c>
      <c r="T452" s="24" t="str">
        <f t="shared" si="47"/>
        <v>Link</v>
      </c>
    </row>
    <row r="453" spans="1:20" x14ac:dyDescent="0.2">
      <c r="A453" t="s">
        <v>5750</v>
      </c>
      <c r="B453" t="s">
        <v>2365</v>
      </c>
      <c r="C453" t="s">
        <v>2366</v>
      </c>
      <c r="D453" t="s">
        <v>5751</v>
      </c>
      <c r="E453" t="s">
        <v>5752</v>
      </c>
      <c r="F453" t="str">
        <f>IF(Table2[[#This Row],[Date posted]]&lt; DATE(2015,9,18),"Before Crisis","During Crisis")</f>
        <v>Before Crisis</v>
      </c>
      <c r="G453" s="27">
        <f t="shared" si="42"/>
        <v>42223</v>
      </c>
      <c r="H453" s="7" t="str">
        <f t="shared" si="43"/>
        <v>00:36:54</v>
      </c>
      <c r="I453" s="8" t="str">
        <f t="shared" si="44"/>
        <v>Early morning</v>
      </c>
      <c r="J453" t="s">
        <v>5753</v>
      </c>
      <c r="K453" t="s">
        <v>2370</v>
      </c>
      <c r="L453" s="3">
        <v>0</v>
      </c>
      <c r="M453" s="3">
        <v>0</v>
      </c>
      <c r="N453">
        <v>1</v>
      </c>
      <c r="O453" s="4">
        <f t="shared" si="45"/>
        <v>1</v>
      </c>
      <c r="P453" s="5" t="str">
        <f t="shared" si="46"/>
        <v>Low engagement</v>
      </c>
      <c r="Q453" t="b">
        <v>0</v>
      </c>
      <c r="R453" t="b">
        <v>0</v>
      </c>
      <c r="S453" t="b">
        <v>0</v>
      </c>
      <c r="T453" s="24" t="str">
        <f t="shared" si="47"/>
        <v>Text only</v>
      </c>
    </row>
    <row r="454" spans="1:20" x14ac:dyDescent="0.2">
      <c r="A454" t="s">
        <v>5746</v>
      </c>
      <c r="B454" t="s">
        <v>2365</v>
      </c>
      <c r="C454" t="s">
        <v>2366</v>
      </c>
      <c r="D454" t="s">
        <v>5747</v>
      </c>
      <c r="E454" t="s">
        <v>5748</v>
      </c>
      <c r="F454" t="str">
        <f>IF(Table2[[#This Row],[Date posted]]&lt; DATE(2015,9,18),"Before Crisis","During Crisis")</f>
        <v>Before Crisis</v>
      </c>
      <c r="G454" s="27">
        <f t="shared" si="42"/>
        <v>42223</v>
      </c>
      <c r="H454" s="7" t="str">
        <f t="shared" si="43"/>
        <v>00:36:55</v>
      </c>
      <c r="I454" s="8" t="str">
        <f t="shared" si="44"/>
        <v>Early morning</v>
      </c>
      <c r="J454" t="s">
        <v>5749</v>
      </c>
      <c r="K454" t="s">
        <v>2370</v>
      </c>
      <c r="L454" s="3">
        <v>0</v>
      </c>
      <c r="M454">
        <v>1</v>
      </c>
      <c r="N454">
        <v>1</v>
      </c>
      <c r="O454" s="4">
        <f t="shared" si="45"/>
        <v>2</v>
      </c>
      <c r="P454" s="5" t="str">
        <f t="shared" si="46"/>
        <v>Low engagement</v>
      </c>
      <c r="Q454" t="b">
        <v>0</v>
      </c>
      <c r="R454" t="b">
        <v>0</v>
      </c>
      <c r="S454" t="b">
        <v>0</v>
      </c>
      <c r="T454" s="24" t="str">
        <f t="shared" si="47"/>
        <v>Text only</v>
      </c>
    </row>
    <row r="455" spans="1:20" hidden="1" x14ac:dyDescent="0.2">
      <c r="A455" t="s">
        <v>5740</v>
      </c>
      <c r="B455" t="s">
        <v>2365</v>
      </c>
      <c r="C455" t="s">
        <v>2366</v>
      </c>
      <c r="D455" t="s">
        <v>5741</v>
      </c>
      <c r="E455" t="s">
        <v>5742</v>
      </c>
      <c r="F455" t="str">
        <f>IF(Table2[[#This Row],[Date posted]]&lt; DATE(2015,9,18),"Before Crisis","During Crisis")</f>
        <v>Before Crisis</v>
      </c>
      <c r="G455" s="27">
        <f t="shared" si="42"/>
        <v>42223</v>
      </c>
      <c r="H455" s="7" t="str">
        <f t="shared" si="43"/>
        <v>17:22:02</v>
      </c>
      <c r="I455" s="8" t="str">
        <f t="shared" si="44"/>
        <v>Afternoon</v>
      </c>
      <c r="J455" t="s">
        <v>2370</v>
      </c>
      <c r="K455" t="s">
        <v>2370</v>
      </c>
      <c r="L455" s="3">
        <v>0</v>
      </c>
      <c r="M455" s="3">
        <v>0</v>
      </c>
      <c r="N455">
        <v>1</v>
      </c>
      <c r="O455" s="4">
        <f t="shared" si="45"/>
        <v>1</v>
      </c>
      <c r="P455" s="5" t="str">
        <f t="shared" si="46"/>
        <v>Low engagement</v>
      </c>
      <c r="Q455" t="b">
        <v>0</v>
      </c>
      <c r="R455" t="b">
        <v>0</v>
      </c>
      <c r="S455" t="b">
        <v>0</v>
      </c>
      <c r="T455" s="24" t="str">
        <f t="shared" si="47"/>
        <v>Text only</v>
      </c>
    </row>
    <row r="456" spans="1:20" hidden="1" x14ac:dyDescent="0.2">
      <c r="A456" t="s">
        <v>5743</v>
      </c>
      <c r="B456" t="s">
        <v>2365</v>
      </c>
      <c r="C456" t="s">
        <v>2366</v>
      </c>
      <c r="D456" t="s">
        <v>5744</v>
      </c>
      <c r="E456" t="s">
        <v>5742</v>
      </c>
      <c r="F456" t="str">
        <f>IF(Table2[[#This Row],[Date posted]]&lt; DATE(2015,9,18),"Before Crisis","During Crisis")</f>
        <v>Before Crisis</v>
      </c>
      <c r="G456" s="27">
        <f t="shared" si="42"/>
        <v>42223</v>
      </c>
      <c r="H456" s="7" t="str">
        <f t="shared" si="43"/>
        <v>17:22:02</v>
      </c>
      <c r="I456" s="8" t="str">
        <f t="shared" si="44"/>
        <v>Afternoon</v>
      </c>
      <c r="J456" t="s">
        <v>5745</v>
      </c>
      <c r="K456" t="s">
        <v>2370</v>
      </c>
      <c r="L456" s="3">
        <v>0</v>
      </c>
      <c r="M456" s="3">
        <v>0</v>
      </c>
      <c r="N456">
        <v>1</v>
      </c>
      <c r="O456" s="4">
        <f t="shared" si="45"/>
        <v>1</v>
      </c>
      <c r="P456" s="5" t="str">
        <f t="shared" si="46"/>
        <v>Low engagement</v>
      </c>
      <c r="Q456" t="b">
        <v>0</v>
      </c>
      <c r="R456" t="b">
        <v>0</v>
      </c>
      <c r="S456" t="b">
        <v>0</v>
      </c>
      <c r="T456" s="24" t="str">
        <f t="shared" si="47"/>
        <v>Text only</v>
      </c>
    </row>
    <row r="457" spans="1:20" hidden="1" x14ac:dyDescent="0.2">
      <c r="A457" t="s">
        <v>5737</v>
      </c>
      <c r="B457" t="s">
        <v>2365</v>
      </c>
      <c r="C457" t="s">
        <v>2366</v>
      </c>
      <c r="D457" t="s">
        <v>5738</v>
      </c>
      <c r="E457" t="s">
        <v>5733</v>
      </c>
      <c r="F457" t="str">
        <f>IF(Table2[[#This Row],[Date posted]]&lt; DATE(2015,9,18),"Before Crisis","During Crisis")</f>
        <v>Before Crisis</v>
      </c>
      <c r="G457" s="27">
        <f t="shared" si="42"/>
        <v>42224</v>
      </c>
      <c r="H457" s="7" t="str">
        <f t="shared" si="43"/>
        <v>17:15:44</v>
      </c>
      <c r="I457" s="8" t="str">
        <f t="shared" si="44"/>
        <v>Afternoon</v>
      </c>
      <c r="J457" t="s">
        <v>5739</v>
      </c>
      <c r="K457" t="s">
        <v>2370</v>
      </c>
      <c r="L457" s="3">
        <v>0</v>
      </c>
      <c r="M457" s="3">
        <v>0</v>
      </c>
      <c r="N457">
        <v>1</v>
      </c>
      <c r="O457" s="4">
        <f t="shared" si="45"/>
        <v>1</v>
      </c>
      <c r="P457" s="5" t="str">
        <f t="shared" si="46"/>
        <v>Low engagement</v>
      </c>
      <c r="Q457" t="b">
        <v>0</v>
      </c>
      <c r="R457" t="b">
        <v>0</v>
      </c>
      <c r="S457" t="b">
        <v>0</v>
      </c>
      <c r="T457" s="24" t="str">
        <f t="shared" si="47"/>
        <v>Text only</v>
      </c>
    </row>
    <row r="458" spans="1:20" hidden="1" x14ac:dyDescent="0.2">
      <c r="A458" t="s">
        <v>5728</v>
      </c>
      <c r="B458" t="s">
        <v>2365</v>
      </c>
      <c r="C458" t="s">
        <v>2366</v>
      </c>
      <c r="D458" t="s">
        <v>5729</v>
      </c>
      <c r="E458" t="s">
        <v>5727</v>
      </c>
      <c r="F458" t="str">
        <f>IF(Table2[[#This Row],[Date posted]]&lt; DATE(2015,9,18),"Before Crisis","During Crisis")</f>
        <v>Before Crisis</v>
      </c>
      <c r="G458" s="27">
        <f t="shared" si="42"/>
        <v>42224</v>
      </c>
      <c r="H458" s="7" t="str">
        <f t="shared" si="43"/>
        <v>17:15:45</v>
      </c>
      <c r="I458" s="8" t="str">
        <f t="shared" si="44"/>
        <v>Afternoon</v>
      </c>
      <c r="J458" t="s">
        <v>5730</v>
      </c>
      <c r="K458" t="s">
        <v>2370</v>
      </c>
      <c r="L458" s="3">
        <v>0</v>
      </c>
      <c r="M458" s="3">
        <v>0</v>
      </c>
      <c r="N458">
        <v>1</v>
      </c>
      <c r="O458" s="4">
        <f t="shared" si="45"/>
        <v>1</v>
      </c>
      <c r="P458" s="5" t="str">
        <f t="shared" si="46"/>
        <v>Low engagement</v>
      </c>
      <c r="Q458" t="b">
        <v>0</v>
      </c>
      <c r="R458" t="b">
        <v>0</v>
      </c>
      <c r="S458" t="b">
        <v>0</v>
      </c>
      <c r="T458" s="24" t="str">
        <f t="shared" si="47"/>
        <v>Text only</v>
      </c>
    </row>
    <row r="459" spans="1:20" hidden="1" x14ac:dyDescent="0.2">
      <c r="A459" t="s">
        <v>5718</v>
      </c>
      <c r="B459" t="s">
        <v>2365</v>
      </c>
      <c r="C459" t="s">
        <v>2366</v>
      </c>
      <c r="D459" t="s">
        <v>5719</v>
      </c>
      <c r="E459" t="s">
        <v>5720</v>
      </c>
      <c r="F459" t="str">
        <f>IF(Table2[[#This Row],[Date posted]]&lt; DATE(2015,9,18),"Before Crisis","During Crisis")</f>
        <v>Before Crisis</v>
      </c>
      <c r="G459" s="27">
        <f t="shared" si="42"/>
        <v>42224</v>
      </c>
      <c r="H459" s="7" t="str">
        <f t="shared" si="43"/>
        <v>20:05:34</v>
      </c>
      <c r="I459" s="8" t="str">
        <f t="shared" si="44"/>
        <v>Evening</v>
      </c>
      <c r="J459" t="s">
        <v>5721</v>
      </c>
      <c r="K459" t="s">
        <v>2370</v>
      </c>
      <c r="L459" s="3">
        <v>0</v>
      </c>
      <c r="M459">
        <v>1</v>
      </c>
      <c r="N459">
        <v>1</v>
      </c>
      <c r="O459" s="4">
        <f t="shared" si="45"/>
        <v>2</v>
      </c>
      <c r="P459" s="5" t="str">
        <f t="shared" si="46"/>
        <v>Low engagement</v>
      </c>
      <c r="Q459" t="b">
        <v>0</v>
      </c>
      <c r="R459" t="b">
        <v>0</v>
      </c>
      <c r="S459" t="b">
        <v>1</v>
      </c>
      <c r="T459" s="24" t="str">
        <f t="shared" si="47"/>
        <v>Link</v>
      </c>
    </row>
    <row r="460" spans="1:20" hidden="1" x14ac:dyDescent="0.2">
      <c r="A460" t="s">
        <v>5698</v>
      </c>
      <c r="B460" t="s">
        <v>2365</v>
      </c>
      <c r="C460" t="s">
        <v>2366</v>
      </c>
      <c r="D460" t="s">
        <v>5699</v>
      </c>
      <c r="E460" t="s">
        <v>5700</v>
      </c>
      <c r="F460" t="str">
        <f>IF(Table2[[#This Row],[Date posted]]&lt; DATE(2015,9,18),"Before Crisis","During Crisis")</f>
        <v>Before Crisis</v>
      </c>
      <c r="G460" s="27">
        <f t="shared" si="42"/>
        <v>42226</v>
      </c>
      <c r="H460" s="7" t="str">
        <f t="shared" si="43"/>
        <v>11:19:05</v>
      </c>
      <c r="I460" s="8" t="str">
        <f t="shared" si="44"/>
        <v>Mid-day</v>
      </c>
      <c r="J460" t="s">
        <v>2370</v>
      </c>
      <c r="K460" t="s">
        <v>2370</v>
      </c>
      <c r="L460" s="3">
        <v>0</v>
      </c>
      <c r="M460" s="3">
        <v>0</v>
      </c>
      <c r="N460">
        <v>1</v>
      </c>
      <c r="O460" s="4">
        <f t="shared" si="45"/>
        <v>1</v>
      </c>
      <c r="P460" s="5" t="str">
        <f t="shared" si="46"/>
        <v>Low engagement</v>
      </c>
      <c r="Q460" t="b">
        <v>0</v>
      </c>
      <c r="R460" t="b">
        <v>0</v>
      </c>
      <c r="S460" t="b">
        <v>0</v>
      </c>
      <c r="T460" s="24" t="str">
        <f t="shared" si="47"/>
        <v>Text only</v>
      </c>
    </row>
    <row r="461" spans="1:20" hidden="1" x14ac:dyDescent="0.2">
      <c r="A461" t="s">
        <v>5701</v>
      </c>
      <c r="B461" t="s">
        <v>2365</v>
      </c>
      <c r="C461" t="s">
        <v>2366</v>
      </c>
      <c r="D461" t="s">
        <v>5702</v>
      </c>
      <c r="E461" t="s">
        <v>5700</v>
      </c>
      <c r="F461" t="str">
        <f>IF(Table2[[#This Row],[Date posted]]&lt; DATE(2015,9,18),"Before Crisis","During Crisis")</f>
        <v>Before Crisis</v>
      </c>
      <c r="G461" s="27">
        <f t="shared" si="42"/>
        <v>42226</v>
      </c>
      <c r="H461" s="7" t="str">
        <f t="shared" si="43"/>
        <v>11:19:05</v>
      </c>
      <c r="I461" s="8" t="str">
        <f t="shared" si="44"/>
        <v>Mid-day</v>
      </c>
      <c r="J461" t="s">
        <v>2370</v>
      </c>
      <c r="K461" t="s">
        <v>2370</v>
      </c>
      <c r="L461" s="3">
        <v>0</v>
      </c>
      <c r="M461" s="3">
        <v>0</v>
      </c>
      <c r="N461">
        <v>1</v>
      </c>
      <c r="O461" s="4">
        <f t="shared" si="45"/>
        <v>1</v>
      </c>
      <c r="P461" s="5" t="str">
        <f t="shared" si="46"/>
        <v>Low engagement</v>
      </c>
      <c r="Q461" t="b">
        <v>0</v>
      </c>
      <c r="R461" t="b">
        <v>0</v>
      </c>
      <c r="S461" t="b">
        <v>0</v>
      </c>
      <c r="T461" s="24" t="str">
        <f t="shared" si="47"/>
        <v>Text only</v>
      </c>
    </row>
    <row r="462" spans="1:20" hidden="1" x14ac:dyDescent="0.2">
      <c r="A462" t="s">
        <v>5695</v>
      </c>
      <c r="B462" t="s">
        <v>2365</v>
      </c>
      <c r="C462" t="s">
        <v>2366</v>
      </c>
      <c r="D462" t="s">
        <v>5696</v>
      </c>
      <c r="E462" t="s">
        <v>5697</v>
      </c>
      <c r="F462" t="str">
        <f>IF(Table2[[#This Row],[Date posted]]&lt; DATE(2015,9,18),"Before Crisis","During Crisis")</f>
        <v>Before Crisis</v>
      </c>
      <c r="G462" s="27">
        <f t="shared" si="42"/>
        <v>42226</v>
      </c>
      <c r="H462" s="7" t="str">
        <f t="shared" si="43"/>
        <v>21:50:20</v>
      </c>
      <c r="I462" s="8" t="str">
        <f t="shared" si="44"/>
        <v>Evening</v>
      </c>
      <c r="J462" t="s">
        <v>5694</v>
      </c>
      <c r="K462" t="s">
        <v>2370</v>
      </c>
      <c r="L462" s="3">
        <v>0</v>
      </c>
      <c r="M462" s="3">
        <v>0</v>
      </c>
      <c r="N462">
        <v>1</v>
      </c>
      <c r="O462" s="4">
        <f t="shared" si="45"/>
        <v>1</v>
      </c>
      <c r="P462" s="5" t="str">
        <f t="shared" si="46"/>
        <v>Low engagement</v>
      </c>
      <c r="Q462" t="b">
        <v>0</v>
      </c>
      <c r="R462" t="b">
        <v>0</v>
      </c>
      <c r="S462" t="b">
        <v>0</v>
      </c>
      <c r="T462" s="24" t="str">
        <f t="shared" si="47"/>
        <v>Text only</v>
      </c>
    </row>
    <row r="463" spans="1:20" hidden="1" x14ac:dyDescent="0.2">
      <c r="A463" t="s">
        <v>5691</v>
      </c>
      <c r="B463" t="s">
        <v>2365</v>
      </c>
      <c r="C463" t="s">
        <v>2366</v>
      </c>
      <c r="D463" t="s">
        <v>5692</v>
      </c>
      <c r="E463" t="s">
        <v>5693</v>
      </c>
      <c r="F463" t="str">
        <f>IF(Table2[[#This Row],[Date posted]]&lt; DATE(2015,9,18),"Before Crisis","During Crisis")</f>
        <v>Before Crisis</v>
      </c>
      <c r="G463" s="27">
        <f t="shared" si="42"/>
        <v>42226</v>
      </c>
      <c r="H463" s="7" t="str">
        <f t="shared" si="43"/>
        <v>21:50:25</v>
      </c>
      <c r="I463" s="8" t="str">
        <f t="shared" si="44"/>
        <v>Evening</v>
      </c>
      <c r="J463" t="s">
        <v>5694</v>
      </c>
      <c r="K463" t="s">
        <v>2370</v>
      </c>
      <c r="L463" s="3">
        <v>0</v>
      </c>
      <c r="M463" s="3">
        <v>0</v>
      </c>
      <c r="N463">
        <v>1</v>
      </c>
      <c r="O463" s="4">
        <f t="shared" si="45"/>
        <v>1</v>
      </c>
      <c r="P463" s="5" t="str">
        <f t="shared" si="46"/>
        <v>Low engagement</v>
      </c>
      <c r="Q463" t="b">
        <v>0</v>
      </c>
      <c r="R463" t="b">
        <v>0</v>
      </c>
      <c r="S463" t="b">
        <v>0</v>
      </c>
      <c r="T463" s="24" t="str">
        <f t="shared" si="47"/>
        <v>Text only</v>
      </c>
    </row>
    <row r="464" spans="1:20" hidden="1" x14ac:dyDescent="0.2">
      <c r="A464" t="s">
        <v>5685</v>
      </c>
      <c r="B464" t="s">
        <v>2365</v>
      </c>
      <c r="C464" t="s">
        <v>2366</v>
      </c>
      <c r="D464" t="s">
        <v>5686</v>
      </c>
      <c r="E464" t="s">
        <v>5687</v>
      </c>
      <c r="F464" t="str">
        <f>IF(Table2[[#This Row],[Date posted]]&lt; DATE(2015,9,18),"Before Crisis","During Crisis")</f>
        <v>Before Crisis</v>
      </c>
      <c r="G464" s="27">
        <f t="shared" si="42"/>
        <v>42226</v>
      </c>
      <c r="H464" s="7" t="str">
        <f t="shared" si="43"/>
        <v>21:50:31</v>
      </c>
      <c r="I464" s="8" t="str">
        <f t="shared" si="44"/>
        <v>Evening</v>
      </c>
      <c r="J464" t="s">
        <v>2370</v>
      </c>
      <c r="K464" t="s">
        <v>2370</v>
      </c>
      <c r="L464" s="3">
        <v>0</v>
      </c>
      <c r="M464" s="3">
        <v>0</v>
      </c>
      <c r="N464">
        <v>1</v>
      </c>
      <c r="O464" s="4">
        <f t="shared" si="45"/>
        <v>1</v>
      </c>
      <c r="P464" s="5" t="str">
        <f t="shared" si="46"/>
        <v>Low engagement</v>
      </c>
      <c r="Q464" t="b">
        <v>0</v>
      </c>
      <c r="R464" t="b">
        <v>0</v>
      </c>
      <c r="S464" t="b">
        <v>0</v>
      </c>
      <c r="T464" s="24" t="str">
        <f t="shared" si="47"/>
        <v>Text only</v>
      </c>
    </row>
    <row r="465" spans="1:20" hidden="1" x14ac:dyDescent="0.2">
      <c r="A465" t="s">
        <v>5678</v>
      </c>
      <c r="B465" t="s">
        <v>2365</v>
      </c>
      <c r="C465" t="s">
        <v>2366</v>
      </c>
      <c r="D465" t="s">
        <v>5679</v>
      </c>
      <c r="E465" t="s">
        <v>5680</v>
      </c>
      <c r="F465" t="str">
        <f>IF(Table2[[#This Row],[Date posted]]&lt; DATE(2015,9,18),"Before Crisis","During Crisis")</f>
        <v>Before Crisis</v>
      </c>
      <c r="G465" s="27">
        <f t="shared" si="42"/>
        <v>42226</v>
      </c>
      <c r="H465" s="7" t="str">
        <f t="shared" si="43"/>
        <v>22:20:50</v>
      </c>
      <c r="I465" s="8" t="str">
        <f t="shared" si="44"/>
        <v>Evening</v>
      </c>
      <c r="J465" t="s">
        <v>5677</v>
      </c>
      <c r="K465" t="s">
        <v>2370</v>
      </c>
      <c r="L465" s="3">
        <v>0</v>
      </c>
      <c r="M465">
        <v>1</v>
      </c>
      <c r="N465">
        <v>1</v>
      </c>
      <c r="O465" s="4">
        <f t="shared" si="45"/>
        <v>2</v>
      </c>
      <c r="P465" s="5" t="str">
        <f t="shared" si="46"/>
        <v>Low engagement</v>
      </c>
      <c r="Q465" t="b">
        <v>0</v>
      </c>
      <c r="R465" t="b">
        <v>0</v>
      </c>
      <c r="S465" t="b">
        <v>0</v>
      </c>
      <c r="T465" s="24" t="str">
        <f t="shared" si="47"/>
        <v>Text only</v>
      </c>
    </row>
    <row r="466" spans="1:20" hidden="1" x14ac:dyDescent="0.2">
      <c r="A466" t="s">
        <v>5674</v>
      </c>
      <c r="B466" t="s">
        <v>2365</v>
      </c>
      <c r="C466" t="s">
        <v>2366</v>
      </c>
      <c r="D466" t="s">
        <v>5675</v>
      </c>
      <c r="E466" t="s">
        <v>5676</v>
      </c>
      <c r="F466" t="str">
        <f>IF(Table2[[#This Row],[Date posted]]&lt; DATE(2015,9,18),"Before Crisis","During Crisis")</f>
        <v>Before Crisis</v>
      </c>
      <c r="G466" s="27">
        <f t="shared" si="42"/>
        <v>42226</v>
      </c>
      <c r="H466" s="7" t="str">
        <f t="shared" si="43"/>
        <v>22:20:51</v>
      </c>
      <c r="I466" s="8" t="str">
        <f t="shared" si="44"/>
        <v>Evening</v>
      </c>
      <c r="J466" t="s">
        <v>5677</v>
      </c>
      <c r="K466" t="s">
        <v>2370</v>
      </c>
      <c r="L466" s="3">
        <v>0</v>
      </c>
      <c r="M466" s="3">
        <v>0</v>
      </c>
      <c r="N466">
        <v>1</v>
      </c>
      <c r="O466" s="4">
        <f t="shared" si="45"/>
        <v>1</v>
      </c>
      <c r="P466" s="5" t="str">
        <f t="shared" si="46"/>
        <v>Low engagement</v>
      </c>
      <c r="Q466" t="b">
        <v>0</v>
      </c>
      <c r="R466" t="b">
        <v>0</v>
      </c>
      <c r="S466" t="b">
        <v>0</v>
      </c>
      <c r="T466" s="24" t="str">
        <f t="shared" si="47"/>
        <v>Text only</v>
      </c>
    </row>
    <row r="467" spans="1:20" hidden="1" x14ac:dyDescent="0.2">
      <c r="A467" t="s">
        <v>5667</v>
      </c>
      <c r="B467" t="s">
        <v>2365</v>
      </c>
      <c r="C467" t="s">
        <v>2366</v>
      </c>
      <c r="D467" t="s">
        <v>5668</v>
      </c>
      <c r="E467" t="s">
        <v>5669</v>
      </c>
      <c r="F467" t="str">
        <f>IF(Table2[[#This Row],[Date posted]]&lt; DATE(2015,9,18),"Before Crisis","During Crisis")</f>
        <v>Before Crisis</v>
      </c>
      <c r="G467" s="27">
        <f t="shared" si="42"/>
        <v>42227</v>
      </c>
      <c r="H467" s="7" t="str">
        <f t="shared" si="43"/>
        <v>22:00:45</v>
      </c>
      <c r="I467" s="8" t="str">
        <f t="shared" si="44"/>
        <v>Evening</v>
      </c>
      <c r="J467" t="s">
        <v>2370</v>
      </c>
      <c r="K467" t="s">
        <v>2370</v>
      </c>
      <c r="L467" s="3">
        <v>0</v>
      </c>
      <c r="M467" s="3">
        <v>0</v>
      </c>
      <c r="N467">
        <v>1</v>
      </c>
      <c r="O467" s="4">
        <f t="shared" si="45"/>
        <v>1</v>
      </c>
      <c r="P467" s="5" t="str">
        <f t="shared" si="46"/>
        <v>Low engagement</v>
      </c>
      <c r="Q467" t="b">
        <v>0</v>
      </c>
      <c r="R467" t="b">
        <v>0</v>
      </c>
      <c r="S467" t="b">
        <v>1</v>
      </c>
      <c r="T467" s="24" t="str">
        <f t="shared" si="47"/>
        <v>Link</v>
      </c>
    </row>
    <row r="468" spans="1:20" hidden="1" x14ac:dyDescent="0.2">
      <c r="A468" t="s">
        <v>5663</v>
      </c>
      <c r="B468" t="s">
        <v>2365</v>
      </c>
      <c r="C468" t="s">
        <v>2366</v>
      </c>
      <c r="D468" t="s">
        <v>5664</v>
      </c>
      <c r="E468" t="s">
        <v>5665</v>
      </c>
      <c r="F468" t="str">
        <f>IF(Table2[[#This Row],[Date posted]]&lt; DATE(2015,9,18),"Before Crisis","During Crisis")</f>
        <v>Before Crisis</v>
      </c>
      <c r="G468" s="27">
        <f t="shared" si="42"/>
        <v>42227</v>
      </c>
      <c r="H468" s="7" t="str">
        <f t="shared" si="43"/>
        <v>22:00:47</v>
      </c>
      <c r="I468" s="8" t="str">
        <f t="shared" si="44"/>
        <v>Evening</v>
      </c>
      <c r="J468" t="s">
        <v>5666</v>
      </c>
      <c r="K468" t="s">
        <v>2370</v>
      </c>
      <c r="L468" s="3">
        <v>0</v>
      </c>
      <c r="M468" s="3">
        <v>0</v>
      </c>
      <c r="N468">
        <v>1</v>
      </c>
      <c r="O468" s="4">
        <f t="shared" si="45"/>
        <v>1</v>
      </c>
      <c r="P468" s="5" t="str">
        <f t="shared" si="46"/>
        <v>Low engagement</v>
      </c>
      <c r="Q468" t="b">
        <v>0</v>
      </c>
      <c r="R468" t="b">
        <v>0</v>
      </c>
      <c r="S468" t="b">
        <v>0</v>
      </c>
      <c r="T468" s="24" t="str">
        <f t="shared" si="47"/>
        <v>Text only</v>
      </c>
    </row>
    <row r="469" spans="1:20" hidden="1" x14ac:dyDescent="0.2">
      <c r="A469" t="s">
        <v>5660</v>
      </c>
      <c r="B469" t="s">
        <v>2365</v>
      </c>
      <c r="C469" t="s">
        <v>2366</v>
      </c>
      <c r="D469" t="s">
        <v>5661</v>
      </c>
      <c r="E469" t="s">
        <v>5662</v>
      </c>
      <c r="F469" t="str">
        <f>IF(Table2[[#This Row],[Date posted]]&lt; DATE(2015,9,18),"Before Crisis","During Crisis")</f>
        <v>Before Crisis</v>
      </c>
      <c r="G469" s="27">
        <f t="shared" si="42"/>
        <v>42227</v>
      </c>
      <c r="H469" s="7" t="str">
        <f t="shared" si="43"/>
        <v>22:00:54</v>
      </c>
      <c r="I469" s="8" t="str">
        <f t="shared" si="44"/>
        <v>Evening</v>
      </c>
      <c r="J469" t="s">
        <v>5659</v>
      </c>
      <c r="K469" t="s">
        <v>2370</v>
      </c>
      <c r="L469" s="3">
        <v>0</v>
      </c>
      <c r="M469" s="3">
        <v>0</v>
      </c>
      <c r="N469">
        <v>1</v>
      </c>
      <c r="O469" s="4">
        <f t="shared" si="45"/>
        <v>1</v>
      </c>
      <c r="P469" s="5" t="str">
        <f t="shared" si="46"/>
        <v>Low engagement</v>
      </c>
      <c r="Q469" t="b">
        <v>0</v>
      </c>
      <c r="R469" t="b">
        <v>0</v>
      </c>
      <c r="S469" t="b">
        <v>0</v>
      </c>
      <c r="T469" s="24" t="str">
        <f t="shared" si="47"/>
        <v>Text only</v>
      </c>
    </row>
    <row r="470" spans="1:20" hidden="1" x14ac:dyDescent="0.2">
      <c r="A470" t="s">
        <v>5656</v>
      </c>
      <c r="B470" t="s">
        <v>2365</v>
      </c>
      <c r="C470" t="s">
        <v>2366</v>
      </c>
      <c r="D470" t="s">
        <v>5657</v>
      </c>
      <c r="E470" t="s">
        <v>5658</v>
      </c>
      <c r="F470" t="str">
        <f>IF(Table2[[#This Row],[Date posted]]&lt; DATE(2015,9,18),"Before Crisis","During Crisis")</f>
        <v>Before Crisis</v>
      </c>
      <c r="G470" s="27">
        <f t="shared" si="42"/>
        <v>42227</v>
      </c>
      <c r="H470" s="7" t="str">
        <f t="shared" si="43"/>
        <v>22:00:59</v>
      </c>
      <c r="I470" s="8" t="str">
        <f t="shared" si="44"/>
        <v>Evening</v>
      </c>
      <c r="J470" t="s">
        <v>5659</v>
      </c>
      <c r="K470" t="s">
        <v>2370</v>
      </c>
      <c r="L470">
        <v>2</v>
      </c>
      <c r="M470" s="3">
        <v>0</v>
      </c>
      <c r="N470">
        <v>1</v>
      </c>
      <c r="O470" s="4">
        <f t="shared" si="45"/>
        <v>3</v>
      </c>
      <c r="P470" s="5" t="str">
        <f t="shared" si="46"/>
        <v>Low engagement</v>
      </c>
      <c r="Q470" t="b">
        <v>0</v>
      </c>
      <c r="R470" t="b">
        <v>0</v>
      </c>
      <c r="S470" t="b">
        <v>1</v>
      </c>
      <c r="T470" s="24" t="str">
        <f t="shared" si="47"/>
        <v>Link</v>
      </c>
    </row>
    <row r="471" spans="1:20" hidden="1" x14ac:dyDescent="0.2">
      <c r="A471" t="s">
        <v>5650</v>
      </c>
      <c r="B471" t="s">
        <v>2365</v>
      </c>
      <c r="C471" t="s">
        <v>2366</v>
      </c>
      <c r="D471" t="s">
        <v>5651</v>
      </c>
      <c r="E471" t="s">
        <v>5652</v>
      </c>
      <c r="F471" t="str">
        <f>IF(Table2[[#This Row],[Date posted]]&lt; DATE(2015,9,18),"Before Crisis","During Crisis")</f>
        <v>Before Crisis</v>
      </c>
      <c r="G471" s="27">
        <f t="shared" si="42"/>
        <v>42228</v>
      </c>
      <c r="H471" s="7" t="str">
        <f t="shared" si="43"/>
        <v>12:31:34</v>
      </c>
      <c r="I471" s="8" t="str">
        <f t="shared" si="44"/>
        <v>Mid-day</v>
      </c>
      <c r="J471" t="s">
        <v>5617</v>
      </c>
      <c r="K471" t="s">
        <v>2370</v>
      </c>
      <c r="L471">
        <v>1</v>
      </c>
      <c r="M471">
        <v>1</v>
      </c>
      <c r="N471">
        <v>1</v>
      </c>
      <c r="O471" s="4">
        <f t="shared" si="45"/>
        <v>3</v>
      </c>
      <c r="P471" s="5" t="str">
        <f t="shared" si="46"/>
        <v>Low engagement</v>
      </c>
      <c r="Q471" t="b">
        <v>0</v>
      </c>
      <c r="R471" t="b">
        <v>0</v>
      </c>
      <c r="S471" t="b">
        <v>0</v>
      </c>
      <c r="T471" s="24" t="str">
        <f t="shared" si="47"/>
        <v>Text only</v>
      </c>
    </row>
    <row r="472" spans="1:20" hidden="1" x14ac:dyDescent="0.2">
      <c r="A472" t="s">
        <v>5647</v>
      </c>
      <c r="B472" t="s">
        <v>2365</v>
      </c>
      <c r="C472" t="s">
        <v>2366</v>
      </c>
      <c r="D472" t="s">
        <v>5648</v>
      </c>
      <c r="E472" t="s">
        <v>5649</v>
      </c>
      <c r="F472" t="str">
        <f>IF(Table2[[#This Row],[Date posted]]&lt; DATE(2015,9,18),"Before Crisis","During Crisis")</f>
        <v>Before Crisis</v>
      </c>
      <c r="G472" s="27">
        <f t="shared" si="42"/>
        <v>42228</v>
      </c>
      <c r="H472" s="7" t="str">
        <f t="shared" si="43"/>
        <v>18:36:39</v>
      </c>
      <c r="I472" s="8" t="str">
        <f t="shared" si="44"/>
        <v>Evening</v>
      </c>
      <c r="J472" t="s">
        <v>5621</v>
      </c>
      <c r="K472" t="s">
        <v>2370</v>
      </c>
      <c r="L472">
        <v>1</v>
      </c>
      <c r="M472" s="3">
        <v>0</v>
      </c>
      <c r="N472">
        <v>1</v>
      </c>
      <c r="O472" s="4">
        <f t="shared" si="45"/>
        <v>2</v>
      </c>
      <c r="P472" s="5" t="str">
        <f t="shared" si="46"/>
        <v>Low engagement</v>
      </c>
      <c r="Q472" t="b">
        <v>0</v>
      </c>
      <c r="R472" t="b">
        <v>0</v>
      </c>
      <c r="S472" t="b">
        <v>0</v>
      </c>
      <c r="T472" s="24" t="str">
        <f t="shared" si="47"/>
        <v>Text only</v>
      </c>
    </row>
    <row r="473" spans="1:20" hidden="1" x14ac:dyDescent="0.2">
      <c r="A473" t="s">
        <v>5644</v>
      </c>
      <c r="B473" t="s">
        <v>2365</v>
      </c>
      <c r="C473" t="s">
        <v>2366</v>
      </c>
      <c r="D473" t="s">
        <v>5645</v>
      </c>
      <c r="E473" t="s">
        <v>5646</v>
      </c>
      <c r="F473" t="str">
        <f>IF(Table2[[#This Row],[Date posted]]&lt; DATE(2015,9,18),"Before Crisis","During Crisis")</f>
        <v>Before Crisis</v>
      </c>
      <c r="G473" s="27">
        <f t="shared" si="42"/>
        <v>42228</v>
      </c>
      <c r="H473" s="7" t="str">
        <f t="shared" si="43"/>
        <v>18:36:41</v>
      </c>
      <c r="I473" s="8" t="str">
        <f t="shared" si="44"/>
        <v>Evening</v>
      </c>
      <c r="J473" t="s">
        <v>5643</v>
      </c>
      <c r="K473" t="s">
        <v>2370</v>
      </c>
      <c r="L473">
        <v>1</v>
      </c>
      <c r="M473" s="3">
        <v>0</v>
      </c>
      <c r="N473">
        <v>1</v>
      </c>
      <c r="O473" s="4">
        <f t="shared" si="45"/>
        <v>2</v>
      </c>
      <c r="P473" s="5" t="str">
        <f t="shared" si="46"/>
        <v>Low engagement</v>
      </c>
      <c r="Q473" t="b">
        <v>0</v>
      </c>
      <c r="R473" t="b">
        <v>0</v>
      </c>
      <c r="S473" t="b">
        <v>0</v>
      </c>
      <c r="T473" s="24" t="str">
        <f t="shared" si="47"/>
        <v>Text only</v>
      </c>
    </row>
    <row r="474" spans="1:20" hidden="1" x14ac:dyDescent="0.2">
      <c r="A474" t="s">
        <v>5635</v>
      </c>
      <c r="B474" t="s">
        <v>2365</v>
      </c>
      <c r="C474" t="s">
        <v>2366</v>
      </c>
      <c r="D474" t="s">
        <v>5636</v>
      </c>
      <c r="E474" t="s">
        <v>5637</v>
      </c>
      <c r="F474" t="str">
        <f>IF(Table2[[#This Row],[Date posted]]&lt; DATE(2015,9,18),"Before Crisis","During Crisis")</f>
        <v>Before Crisis</v>
      </c>
      <c r="G474" s="27">
        <f t="shared" si="42"/>
        <v>42228</v>
      </c>
      <c r="H474" s="7" t="str">
        <f t="shared" si="43"/>
        <v>18:36:42</v>
      </c>
      <c r="I474" s="8" t="str">
        <f t="shared" si="44"/>
        <v>Evening</v>
      </c>
      <c r="J474" t="s">
        <v>5638</v>
      </c>
      <c r="K474" t="s">
        <v>2370</v>
      </c>
      <c r="L474" s="3">
        <v>0</v>
      </c>
      <c r="M474" s="3">
        <v>0</v>
      </c>
      <c r="N474">
        <v>1</v>
      </c>
      <c r="O474" s="4">
        <f t="shared" si="45"/>
        <v>1</v>
      </c>
      <c r="P474" s="5" t="str">
        <f t="shared" si="46"/>
        <v>Low engagement</v>
      </c>
      <c r="Q474" t="b">
        <v>0</v>
      </c>
      <c r="R474" t="b">
        <v>0</v>
      </c>
      <c r="S474" t="b">
        <v>0</v>
      </c>
      <c r="T474" s="24" t="str">
        <f t="shared" si="47"/>
        <v>Text only</v>
      </c>
    </row>
    <row r="475" spans="1:20" hidden="1" x14ac:dyDescent="0.2">
      <c r="A475" t="s">
        <v>5641</v>
      </c>
      <c r="B475" t="s">
        <v>2365</v>
      </c>
      <c r="C475" t="s">
        <v>2366</v>
      </c>
      <c r="D475" t="s">
        <v>5642</v>
      </c>
      <c r="E475" t="s">
        <v>5637</v>
      </c>
      <c r="F475" t="str">
        <f>IF(Table2[[#This Row],[Date posted]]&lt; DATE(2015,9,18),"Before Crisis","During Crisis")</f>
        <v>Before Crisis</v>
      </c>
      <c r="G475" s="27">
        <f t="shared" si="42"/>
        <v>42228</v>
      </c>
      <c r="H475" s="7" t="str">
        <f t="shared" si="43"/>
        <v>18:36:42</v>
      </c>
      <c r="I475" s="8" t="str">
        <f t="shared" si="44"/>
        <v>Evening</v>
      </c>
      <c r="J475" t="s">
        <v>5643</v>
      </c>
      <c r="K475" t="s">
        <v>2370</v>
      </c>
      <c r="L475" s="3">
        <v>0</v>
      </c>
      <c r="M475" s="3">
        <v>0</v>
      </c>
      <c r="N475">
        <v>1</v>
      </c>
      <c r="O475" s="4">
        <f t="shared" si="45"/>
        <v>1</v>
      </c>
      <c r="P475" s="5" t="str">
        <f t="shared" si="46"/>
        <v>Low engagement</v>
      </c>
      <c r="Q475" t="b">
        <v>0</v>
      </c>
      <c r="R475" t="b">
        <v>0</v>
      </c>
      <c r="S475" t="b">
        <v>1</v>
      </c>
      <c r="T475" s="24" t="str">
        <f t="shared" si="47"/>
        <v>Link</v>
      </c>
    </row>
    <row r="476" spans="1:20" hidden="1" x14ac:dyDescent="0.2">
      <c r="A476" t="s">
        <v>5629</v>
      </c>
      <c r="B476" t="s">
        <v>2365</v>
      </c>
      <c r="C476" t="s">
        <v>2366</v>
      </c>
      <c r="D476" t="s">
        <v>5630</v>
      </c>
      <c r="E476" t="s">
        <v>5631</v>
      </c>
      <c r="F476" t="str">
        <f>IF(Table2[[#This Row],[Date posted]]&lt; DATE(2015,9,18),"Before Crisis","During Crisis")</f>
        <v>Before Crisis</v>
      </c>
      <c r="G476" s="27">
        <f t="shared" si="42"/>
        <v>42228</v>
      </c>
      <c r="H476" s="7" t="str">
        <f t="shared" si="43"/>
        <v>18:36:43</v>
      </c>
      <c r="I476" s="8" t="str">
        <f t="shared" si="44"/>
        <v>Evening</v>
      </c>
      <c r="J476" t="s">
        <v>2370</v>
      </c>
      <c r="K476" t="s">
        <v>2370</v>
      </c>
      <c r="L476" s="3">
        <v>0</v>
      </c>
      <c r="M476" s="3">
        <v>0</v>
      </c>
      <c r="N476">
        <v>1</v>
      </c>
      <c r="O476" s="4">
        <f t="shared" si="45"/>
        <v>1</v>
      </c>
      <c r="P476" s="5" t="str">
        <f t="shared" si="46"/>
        <v>Low engagement</v>
      </c>
      <c r="Q476" t="b">
        <v>0</v>
      </c>
      <c r="R476" t="b">
        <v>0</v>
      </c>
      <c r="S476" t="b">
        <v>0</v>
      </c>
      <c r="T476" s="24" t="str">
        <f t="shared" si="47"/>
        <v>Text only</v>
      </c>
    </row>
    <row r="477" spans="1:20" hidden="1" x14ac:dyDescent="0.2">
      <c r="A477" t="s">
        <v>5632</v>
      </c>
      <c r="B477" t="s">
        <v>2365</v>
      </c>
      <c r="C477" t="s">
        <v>2366</v>
      </c>
      <c r="D477" t="s">
        <v>5633</v>
      </c>
      <c r="E477" t="s">
        <v>5631</v>
      </c>
      <c r="F477" t="str">
        <f>IF(Table2[[#This Row],[Date posted]]&lt; DATE(2015,9,18),"Before Crisis","During Crisis")</f>
        <v>Before Crisis</v>
      </c>
      <c r="G477" s="27">
        <f t="shared" si="42"/>
        <v>42228</v>
      </c>
      <c r="H477" s="7" t="str">
        <f t="shared" si="43"/>
        <v>18:36:43</v>
      </c>
      <c r="I477" s="8" t="str">
        <f t="shared" si="44"/>
        <v>Evening</v>
      </c>
      <c r="J477" t="s">
        <v>5634</v>
      </c>
      <c r="K477" t="s">
        <v>2370</v>
      </c>
      <c r="L477" s="3">
        <v>0</v>
      </c>
      <c r="M477" s="3">
        <v>0</v>
      </c>
      <c r="N477">
        <v>1</v>
      </c>
      <c r="O477" s="4">
        <f t="shared" si="45"/>
        <v>1</v>
      </c>
      <c r="P477" s="5" t="str">
        <f t="shared" si="46"/>
        <v>Low engagement</v>
      </c>
      <c r="Q477" t="b">
        <v>0</v>
      </c>
      <c r="R477" t="b">
        <v>0</v>
      </c>
      <c r="S477" t="b">
        <v>0</v>
      </c>
      <c r="T477" s="24" t="str">
        <f t="shared" si="47"/>
        <v>Text only</v>
      </c>
    </row>
    <row r="478" spans="1:20" hidden="1" x14ac:dyDescent="0.2">
      <c r="A478" t="s">
        <v>5626</v>
      </c>
      <c r="B478" t="s">
        <v>2365</v>
      </c>
      <c r="C478" t="s">
        <v>2366</v>
      </c>
      <c r="D478" t="s">
        <v>5627</v>
      </c>
      <c r="E478" t="s">
        <v>5628</v>
      </c>
      <c r="F478" t="str">
        <f>IF(Table2[[#This Row],[Date posted]]&lt; DATE(2015,9,18),"Before Crisis","During Crisis")</f>
        <v>Before Crisis</v>
      </c>
      <c r="G478" s="27">
        <f t="shared" si="42"/>
        <v>42228</v>
      </c>
      <c r="H478" s="7" t="str">
        <f t="shared" si="43"/>
        <v>18:36:44</v>
      </c>
      <c r="I478" s="8" t="str">
        <f t="shared" si="44"/>
        <v>Evening</v>
      </c>
      <c r="J478" t="s">
        <v>5625</v>
      </c>
      <c r="K478" t="s">
        <v>2370</v>
      </c>
      <c r="L478">
        <v>1</v>
      </c>
      <c r="M478">
        <v>1</v>
      </c>
      <c r="N478">
        <v>1</v>
      </c>
      <c r="O478" s="4">
        <f t="shared" si="45"/>
        <v>3</v>
      </c>
      <c r="P478" s="5" t="str">
        <f t="shared" si="46"/>
        <v>Low engagement</v>
      </c>
      <c r="Q478" t="b">
        <v>0</v>
      </c>
      <c r="R478" t="b">
        <v>0</v>
      </c>
      <c r="S478" t="b">
        <v>0</v>
      </c>
      <c r="T478" s="24" t="str">
        <f t="shared" si="47"/>
        <v>Text only</v>
      </c>
    </row>
    <row r="479" spans="1:20" hidden="1" x14ac:dyDescent="0.2">
      <c r="A479" t="s">
        <v>5622</v>
      </c>
      <c r="B479" t="s">
        <v>2365</v>
      </c>
      <c r="C479" t="s">
        <v>2366</v>
      </c>
      <c r="D479" t="s">
        <v>5623</v>
      </c>
      <c r="E479" t="s">
        <v>5624</v>
      </c>
      <c r="F479" t="str">
        <f>IF(Table2[[#This Row],[Date posted]]&lt; DATE(2015,9,18),"Before Crisis","During Crisis")</f>
        <v>Before Crisis</v>
      </c>
      <c r="G479" s="27">
        <f t="shared" si="42"/>
        <v>42228</v>
      </c>
      <c r="H479" s="7" t="str">
        <f t="shared" si="43"/>
        <v>18:36:45</v>
      </c>
      <c r="I479" s="8" t="str">
        <f t="shared" si="44"/>
        <v>Evening</v>
      </c>
      <c r="J479" t="s">
        <v>5625</v>
      </c>
      <c r="K479" t="s">
        <v>2370</v>
      </c>
      <c r="L479">
        <v>1</v>
      </c>
      <c r="M479" s="3">
        <v>0</v>
      </c>
      <c r="N479">
        <v>1</v>
      </c>
      <c r="O479" s="4">
        <f t="shared" si="45"/>
        <v>2</v>
      </c>
      <c r="P479" s="5" t="str">
        <f t="shared" si="46"/>
        <v>Low engagement</v>
      </c>
      <c r="Q479" t="b">
        <v>0</v>
      </c>
      <c r="R479" t="b">
        <v>0</v>
      </c>
      <c r="S479" t="b">
        <v>0</v>
      </c>
      <c r="T479" s="24" t="str">
        <f t="shared" si="47"/>
        <v>Text only</v>
      </c>
    </row>
    <row r="480" spans="1:20" hidden="1" x14ac:dyDescent="0.2">
      <c r="A480" t="s">
        <v>5618</v>
      </c>
      <c r="B480" t="s">
        <v>2365</v>
      </c>
      <c r="C480" t="s">
        <v>2366</v>
      </c>
      <c r="D480" t="s">
        <v>5619</v>
      </c>
      <c r="E480" t="s">
        <v>5620</v>
      </c>
      <c r="F480" t="str">
        <f>IF(Table2[[#This Row],[Date posted]]&lt; DATE(2015,9,18),"Before Crisis","During Crisis")</f>
        <v>Before Crisis</v>
      </c>
      <c r="G480" s="27">
        <f t="shared" si="42"/>
        <v>42228</v>
      </c>
      <c r="H480" s="7" t="str">
        <f t="shared" si="43"/>
        <v>18:36:47</v>
      </c>
      <c r="I480" s="8" t="str">
        <f t="shared" si="44"/>
        <v>Evening</v>
      </c>
      <c r="J480" t="s">
        <v>5621</v>
      </c>
      <c r="K480" t="s">
        <v>2370</v>
      </c>
      <c r="L480" s="3">
        <v>0</v>
      </c>
      <c r="M480" s="3">
        <v>0</v>
      </c>
      <c r="N480">
        <v>1</v>
      </c>
      <c r="O480" s="4">
        <f t="shared" si="45"/>
        <v>1</v>
      </c>
      <c r="P480" s="5" t="str">
        <f t="shared" si="46"/>
        <v>Low engagement</v>
      </c>
      <c r="Q480" t="b">
        <v>0</v>
      </c>
      <c r="R480" t="b">
        <v>0</v>
      </c>
      <c r="S480" t="b">
        <v>0</v>
      </c>
      <c r="T480" s="24" t="str">
        <f t="shared" si="47"/>
        <v>Text only</v>
      </c>
    </row>
    <row r="481" spans="1:20" hidden="1" x14ac:dyDescent="0.2">
      <c r="A481" t="s">
        <v>5614</v>
      </c>
      <c r="B481" t="s">
        <v>2365</v>
      </c>
      <c r="C481" t="s">
        <v>2366</v>
      </c>
      <c r="D481" t="s">
        <v>5615</v>
      </c>
      <c r="E481" t="s">
        <v>5616</v>
      </c>
      <c r="F481" t="str">
        <f>IF(Table2[[#This Row],[Date posted]]&lt; DATE(2015,9,18),"Before Crisis","During Crisis")</f>
        <v>Before Crisis</v>
      </c>
      <c r="G481" s="27">
        <f t="shared" si="42"/>
        <v>42229</v>
      </c>
      <c r="H481" s="7" t="str">
        <f t="shared" si="43"/>
        <v>14:10:49</v>
      </c>
      <c r="I481" s="8" t="str">
        <f t="shared" si="44"/>
        <v>Afternoon</v>
      </c>
      <c r="J481" t="s">
        <v>5617</v>
      </c>
      <c r="K481" t="s">
        <v>2370</v>
      </c>
      <c r="L481">
        <v>1</v>
      </c>
      <c r="M481">
        <v>2</v>
      </c>
      <c r="N481">
        <v>1</v>
      </c>
      <c r="O481" s="4">
        <f t="shared" si="45"/>
        <v>4</v>
      </c>
      <c r="P481" s="5" t="str">
        <f t="shared" si="46"/>
        <v>Low engagement</v>
      </c>
      <c r="Q481" t="b">
        <v>0</v>
      </c>
      <c r="R481" t="b">
        <v>0</v>
      </c>
      <c r="S481" t="b">
        <v>0</v>
      </c>
      <c r="T481" s="24" t="str">
        <f t="shared" si="47"/>
        <v>Text only</v>
      </c>
    </row>
    <row r="482" spans="1:20" hidden="1" x14ac:dyDescent="0.2">
      <c r="A482" t="s">
        <v>5610</v>
      </c>
      <c r="B482" t="s">
        <v>2365</v>
      </c>
      <c r="C482" t="s">
        <v>2366</v>
      </c>
      <c r="D482" t="s">
        <v>5611</v>
      </c>
      <c r="E482" t="s">
        <v>5612</v>
      </c>
      <c r="F482" t="str">
        <f>IF(Table2[[#This Row],[Date posted]]&lt; DATE(2015,9,18),"Before Crisis","During Crisis")</f>
        <v>Before Crisis</v>
      </c>
      <c r="G482" s="27">
        <f t="shared" si="42"/>
        <v>42229</v>
      </c>
      <c r="H482" s="7" t="str">
        <f t="shared" si="43"/>
        <v>19:23:12</v>
      </c>
      <c r="I482" s="8" t="str">
        <f t="shared" si="44"/>
        <v>Evening</v>
      </c>
      <c r="J482" t="s">
        <v>5613</v>
      </c>
      <c r="K482" t="s">
        <v>2370</v>
      </c>
      <c r="L482" s="3">
        <v>0</v>
      </c>
      <c r="M482" s="3">
        <v>0</v>
      </c>
      <c r="N482">
        <v>1</v>
      </c>
      <c r="O482" s="4">
        <f t="shared" si="45"/>
        <v>1</v>
      </c>
      <c r="P482" s="5" t="str">
        <f t="shared" si="46"/>
        <v>Low engagement</v>
      </c>
      <c r="Q482" t="b">
        <v>0</v>
      </c>
      <c r="R482" t="b">
        <v>0</v>
      </c>
      <c r="S482" t="b">
        <v>0</v>
      </c>
      <c r="T482" s="24" t="str">
        <f t="shared" si="47"/>
        <v>Text only</v>
      </c>
    </row>
    <row r="483" spans="1:20" hidden="1" x14ac:dyDescent="0.2">
      <c r="A483" t="s">
        <v>5606</v>
      </c>
      <c r="B483" t="s">
        <v>2365</v>
      </c>
      <c r="C483" t="s">
        <v>2366</v>
      </c>
      <c r="D483" t="s">
        <v>5607</v>
      </c>
      <c r="E483" t="s">
        <v>5608</v>
      </c>
      <c r="F483" t="str">
        <f>IF(Table2[[#This Row],[Date posted]]&lt; DATE(2015,9,18),"Before Crisis","During Crisis")</f>
        <v>Before Crisis</v>
      </c>
      <c r="G483" s="27">
        <f t="shared" si="42"/>
        <v>42230</v>
      </c>
      <c r="H483" s="7" t="str">
        <f t="shared" si="43"/>
        <v>12:45:39</v>
      </c>
      <c r="I483" s="8" t="str">
        <f t="shared" si="44"/>
        <v>Mid-day</v>
      </c>
      <c r="J483" t="s">
        <v>5609</v>
      </c>
      <c r="K483" t="s">
        <v>2370</v>
      </c>
      <c r="L483" s="3">
        <v>0</v>
      </c>
      <c r="M483" s="3">
        <v>0</v>
      </c>
      <c r="N483">
        <v>1</v>
      </c>
      <c r="O483" s="4">
        <f t="shared" si="45"/>
        <v>1</v>
      </c>
      <c r="P483" s="5" t="str">
        <f t="shared" si="46"/>
        <v>Low engagement</v>
      </c>
      <c r="Q483" t="b">
        <v>0</v>
      </c>
      <c r="R483" t="b">
        <v>0</v>
      </c>
      <c r="S483" t="b">
        <v>0</v>
      </c>
      <c r="T483" s="24" t="str">
        <f t="shared" si="47"/>
        <v>Text only</v>
      </c>
    </row>
    <row r="484" spans="1:20" hidden="1" x14ac:dyDescent="0.2">
      <c r="A484" t="s">
        <v>5603</v>
      </c>
      <c r="B484" t="s">
        <v>2365</v>
      </c>
      <c r="C484" t="s">
        <v>2366</v>
      </c>
      <c r="D484" t="s">
        <v>5604</v>
      </c>
      <c r="E484" t="s">
        <v>5605</v>
      </c>
      <c r="F484" t="str">
        <f>IF(Table2[[#This Row],[Date posted]]&lt; DATE(2015,9,18),"Before Crisis","During Crisis")</f>
        <v>Before Crisis</v>
      </c>
      <c r="G484" s="27">
        <f t="shared" si="42"/>
        <v>42230</v>
      </c>
      <c r="H484" s="7" t="str">
        <f t="shared" si="43"/>
        <v>12:45:40</v>
      </c>
      <c r="I484" s="8" t="str">
        <f t="shared" si="44"/>
        <v>Mid-day</v>
      </c>
      <c r="J484" t="s">
        <v>5602</v>
      </c>
      <c r="K484" t="s">
        <v>2370</v>
      </c>
      <c r="L484">
        <v>1</v>
      </c>
      <c r="M484" s="3">
        <v>0</v>
      </c>
      <c r="N484">
        <v>1</v>
      </c>
      <c r="O484" s="4">
        <f t="shared" si="45"/>
        <v>2</v>
      </c>
      <c r="P484" s="5" t="str">
        <f t="shared" si="46"/>
        <v>Low engagement</v>
      </c>
      <c r="Q484" t="b">
        <v>0</v>
      </c>
      <c r="R484" t="b">
        <v>0</v>
      </c>
      <c r="S484" t="b">
        <v>0</v>
      </c>
      <c r="T484" s="24" t="str">
        <f t="shared" si="47"/>
        <v>Text only</v>
      </c>
    </row>
    <row r="485" spans="1:20" hidden="1" x14ac:dyDescent="0.2">
      <c r="A485" t="s">
        <v>5599</v>
      </c>
      <c r="B485" t="s">
        <v>2365</v>
      </c>
      <c r="C485" t="s">
        <v>2366</v>
      </c>
      <c r="D485" t="s">
        <v>5600</v>
      </c>
      <c r="E485" t="s">
        <v>5601</v>
      </c>
      <c r="F485" t="str">
        <f>IF(Table2[[#This Row],[Date posted]]&lt; DATE(2015,9,18),"Before Crisis","During Crisis")</f>
        <v>Before Crisis</v>
      </c>
      <c r="G485" s="27">
        <f t="shared" si="42"/>
        <v>42230</v>
      </c>
      <c r="H485" s="7" t="str">
        <f t="shared" si="43"/>
        <v>12:45:41</v>
      </c>
      <c r="I485" s="8" t="str">
        <f t="shared" si="44"/>
        <v>Mid-day</v>
      </c>
      <c r="J485" t="s">
        <v>5602</v>
      </c>
      <c r="K485" t="s">
        <v>2370</v>
      </c>
      <c r="L485">
        <v>1</v>
      </c>
      <c r="M485">
        <v>2</v>
      </c>
      <c r="N485">
        <v>1</v>
      </c>
      <c r="O485" s="4">
        <f t="shared" si="45"/>
        <v>4</v>
      </c>
      <c r="P485" s="5" t="str">
        <f t="shared" si="46"/>
        <v>Low engagement</v>
      </c>
      <c r="Q485" t="b">
        <v>0</v>
      </c>
      <c r="R485" t="b">
        <v>0</v>
      </c>
      <c r="S485" t="b">
        <v>0</v>
      </c>
      <c r="T485" s="24" t="str">
        <f t="shared" si="47"/>
        <v>Text only</v>
      </c>
    </row>
    <row r="486" spans="1:20" hidden="1" x14ac:dyDescent="0.2">
      <c r="A486" t="s">
        <v>5585</v>
      </c>
      <c r="B486" t="s">
        <v>2365</v>
      </c>
      <c r="C486" t="s">
        <v>2366</v>
      </c>
      <c r="D486" t="s">
        <v>5586</v>
      </c>
      <c r="E486" t="s">
        <v>5587</v>
      </c>
      <c r="F486" t="str">
        <f>IF(Table2[[#This Row],[Date posted]]&lt; DATE(2015,9,18),"Before Crisis","During Crisis")</f>
        <v>Before Crisis</v>
      </c>
      <c r="G486" s="27">
        <f t="shared" si="42"/>
        <v>42230</v>
      </c>
      <c r="H486" s="7" t="str">
        <f t="shared" si="43"/>
        <v>17:50:26</v>
      </c>
      <c r="I486" s="8" t="str">
        <f t="shared" si="44"/>
        <v>Afternoon</v>
      </c>
      <c r="J486" t="s">
        <v>2370</v>
      </c>
      <c r="K486" t="s">
        <v>2370</v>
      </c>
      <c r="L486" s="3">
        <v>0</v>
      </c>
      <c r="M486" s="3">
        <v>0</v>
      </c>
      <c r="N486">
        <v>1</v>
      </c>
      <c r="O486" s="4">
        <f t="shared" si="45"/>
        <v>1</v>
      </c>
      <c r="P486" s="5" t="str">
        <f t="shared" si="46"/>
        <v>Low engagement</v>
      </c>
      <c r="Q486" t="b">
        <v>0</v>
      </c>
      <c r="R486" t="b">
        <v>0</v>
      </c>
      <c r="S486" t="b">
        <v>1</v>
      </c>
      <c r="T486" s="24" t="str">
        <f t="shared" si="47"/>
        <v>Link</v>
      </c>
    </row>
    <row r="487" spans="1:20" x14ac:dyDescent="0.2">
      <c r="A487" t="s">
        <v>5572</v>
      </c>
      <c r="B487" t="s">
        <v>2365</v>
      </c>
      <c r="C487" t="s">
        <v>2366</v>
      </c>
      <c r="D487" t="s">
        <v>5573</v>
      </c>
      <c r="E487" t="s">
        <v>5574</v>
      </c>
      <c r="F487" t="str">
        <f>IF(Table2[[#This Row],[Date posted]]&lt; DATE(2015,9,18),"Before Crisis","During Crisis")</f>
        <v>Before Crisis</v>
      </c>
      <c r="G487" s="27">
        <f t="shared" si="42"/>
        <v>42231</v>
      </c>
      <c r="H487" s="7" t="str">
        <f t="shared" si="43"/>
        <v>00:09:36</v>
      </c>
      <c r="I487" s="8" t="str">
        <f t="shared" si="44"/>
        <v>Early morning</v>
      </c>
      <c r="J487" t="s">
        <v>5575</v>
      </c>
      <c r="K487" t="s">
        <v>2370</v>
      </c>
      <c r="L487" s="3">
        <v>0</v>
      </c>
      <c r="M487" s="3">
        <v>0</v>
      </c>
      <c r="N487">
        <v>1</v>
      </c>
      <c r="O487" s="4">
        <f t="shared" si="45"/>
        <v>1</v>
      </c>
      <c r="P487" s="5" t="str">
        <f t="shared" si="46"/>
        <v>Low engagement</v>
      </c>
      <c r="Q487" t="b">
        <v>0</v>
      </c>
      <c r="R487" t="b">
        <v>0</v>
      </c>
      <c r="S487" t="b">
        <v>0</v>
      </c>
      <c r="T487" s="24" t="str">
        <f t="shared" si="47"/>
        <v>Text only</v>
      </c>
    </row>
    <row r="488" spans="1:20" x14ac:dyDescent="0.2">
      <c r="A488" t="s">
        <v>5567</v>
      </c>
      <c r="B488" t="s">
        <v>2365</v>
      </c>
      <c r="C488" t="s">
        <v>2366</v>
      </c>
      <c r="D488" t="s">
        <v>5568</v>
      </c>
      <c r="E488" t="s">
        <v>5569</v>
      </c>
      <c r="F488" t="str">
        <f>IF(Table2[[#This Row],[Date posted]]&lt; DATE(2015,9,18),"Before Crisis","During Crisis")</f>
        <v>Before Crisis</v>
      </c>
      <c r="G488" s="27">
        <f t="shared" si="42"/>
        <v>42231</v>
      </c>
      <c r="H488" s="7" t="str">
        <f t="shared" si="43"/>
        <v>00:09:37</v>
      </c>
      <c r="I488" s="8" t="str">
        <f t="shared" si="44"/>
        <v>Early morning</v>
      </c>
      <c r="J488" t="s">
        <v>2370</v>
      </c>
      <c r="K488" t="s">
        <v>2370</v>
      </c>
      <c r="L488" s="3">
        <v>0</v>
      </c>
      <c r="M488">
        <v>1</v>
      </c>
      <c r="N488">
        <v>1</v>
      </c>
      <c r="O488" s="4">
        <f t="shared" si="45"/>
        <v>2</v>
      </c>
      <c r="P488" s="5" t="str">
        <f t="shared" si="46"/>
        <v>Low engagement</v>
      </c>
      <c r="Q488" t="b">
        <v>0</v>
      </c>
      <c r="R488" t="b">
        <v>0</v>
      </c>
      <c r="S488" t="b">
        <v>0</v>
      </c>
      <c r="T488" s="24" t="str">
        <f t="shared" si="47"/>
        <v>Text only</v>
      </c>
    </row>
    <row r="489" spans="1:20" hidden="1" x14ac:dyDescent="0.2">
      <c r="A489" t="s">
        <v>5536</v>
      </c>
      <c r="B489" t="s">
        <v>2365</v>
      </c>
      <c r="C489" t="s">
        <v>2366</v>
      </c>
      <c r="D489" t="s">
        <v>5537</v>
      </c>
      <c r="E489" t="s">
        <v>5538</v>
      </c>
      <c r="F489" t="str">
        <f>IF(Table2[[#This Row],[Date posted]]&lt; DATE(2015,9,18),"Before Crisis","During Crisis")</f>
        <v>Before Crisis</v>
      </c>
      <c r="G489" s="27">
        <f t="shared" si="42"/>
        <v>42233</v>
      </c>
      <c r="H489" s="7" t="str">
        <f t="shared" si="43"/>
        <v>18:28:03</v>
      </c>
      <c r="I489" s="8" t="str">
        <f t="shared" si="44"/>
        <v>Evening</v>
      </c>
      <c r="J489" t="s">
        <v>5539</v>
      </c>
      <c r="K489" t="s">
        <v>2370</v>
      </c>
      <c r="L489" s="3">
        <v>0</v>
      </c>
      <c r="M489" s="3">
        <v>0</v>
      </c>
      <c r="N489">
        <v>1</v>
      </c>
      <c r="O489" s="4">
        <f t="shared" si="45"/>
        <v>1</v>
      </c>
      <c r="P489" s="5" t="str">
        <f t="shared" si="46"/>
        <v>Low engagement</v>
      </c>
      <c r="Q489" t="b">
        <v>0</v>
      </c>
      <c r="R489" t="b">
        <v>0</v>
      </c>
      <c r="S489" t="b">
        <v>0</v>
      </c>
      <c r="T489" s="24" t="str">
        <f t="shared" si="47"/>
        <v>Text only</v>
      </c>
    </row>
    <row r="490" spans="1:20" hidden="1" x14ac:dyDescent="0.2">
      <c r="A490" t="s">
        <v>5533</v>
      </c>
      <c r="B490" t="s">
        <v>2365</v>
      </c>
      <c r="C490" t="s">
        <v>2366</v>
      </c>
      <c r="D490" t="s">
        <v>5534</v>
      </c>
      <c r="E490" t="s">
        <v>5535</v>
      </c>
      <c r="F490" t="str">
        <f>IF(Table2[[#This Row],[Date posted]]&lt; DATE(2015,9,18),"Before Crisis","During Crisis")</f>
        <v>Before Crisis</v>
      </c>
      <c r="G490" s="27">
        <f t="shared" si="42"/>
        <v>42233</v>
      </c>
      <c r="H490" s="7" t="str">
        <f t="shared" si="43"/>
        <v>21:28:08</v>
      </c>
      <c r="I490" s="8" t="str">
        <f t="shared" si="44"/>
        <v>Evening</v>
      </c>
      <c r="J490" t="s">
        <v>5532</v>
      </c>
      <c r="K490" t="s">
        <v>2370</v>
      </c>
      <c r="L490">
        <v>1</v>
      </c>
      <c r="M490" s="3">
        <v>0</v>
      </c>
      <c r="N490">
        <v>1</v>
      </c>
      <c r="O490" s="4">
        <f t="shared" si="45"/>
        <v>2</v>
      </c>
      <c r="P490" s="5" t="str">
        <f t="shared" si="46"/>
        <v>Low engagement</v>
      </c>
      <c r="Q490" t="b">
        <v>0</v>
      </c>
      <c r="R490" t="b">
        <v>0</v>
      </c>
      <c r="S490" t="b">
        <v>0</v>
      </c>
      <c r="T490" s="24" t="str">
        <f t="shared" si="47"/>
        <v>Text only</v>
      </c>
    </row>
    <row r="491" spans="1:20" hidden="1" x14ac:dyDescent="0.2">
      <c r="A491" t="s">
        <v>5525</v>
      </c>
      <c r="B491" t="s">
        <v>2365</v>
      </c>
      <c r="C491" t="s">
        <v>2366</v>
      </c>
      <c r="D491" t="s">
        <v>5526</v>
      </c>
      <c r="E491" t="s">
        <v>5527</v>
      </c>
      <c r="F491" t="str">
        <f>IF(Table2[[#This Row],[Date posted]]&lt; DATE(2015,9,18),"Before Crisis","During Crisis")</f>
        <v>Before Crisis</v>
      </c>
      <c r="G491" s="27">
        <f t="shared" si="42"/>
        <v>42233</v>
      </c>
      <c r="H491" s="7" t="str">
        <f t="shared" si="43"/>
        <v>21:28:09</v>
      </c>
      <c r="I491" s="8" t="str">
        <f t="shared" si="44"/>
        <v>Evening</v>
      </c>
      <c r="J491" t="s">
        <v>5455</v>
      </c>
      <c r="K491" t="s">
        <v>2370</v>
      </c>
      <c r="L491" s="3">
        <v>0</v>
      </c>
      <c r="M491">
        <v>1</v>
      </c>
      <c r="N491">
        <v>1</v>
      </c>
      <c r="O491" s="4">
        <f t="shared" si="45"/>
        <v>2</v>
      </c>
      <c r="P491" s="5" t="str">
        <f t="shared" si="46"/>
        <v>Low engagement</v>
      </c>
      <c r="Q491" t="b">
        <v>0</v>
      </c>
      <c r="R491" t="b">
        <v>0</v>
      </c>
      <c r="S491" t="b">
        <v>1</v>
      </c>
      <c r="T491" s="24" t="str">
        <f t="shared" si="47"/>
        <v>Link</v>
      </c>
    </row>
    <row r="492" spans="1:20" hidden="1" x14ac:dyDescent="0.2">
      <c r="A492" t="s">
        <v>5528</v>
      </c>
      <c r="B492" t="s">
        <v>2365</v>
      </c>
      <c r="C492" t="s">
        <v>2366</v>
      </c>
      <c r="D492" t="s">
        <v>5529</v>
      </c>
      <c r="E492" t="s">
        <v>5527</v>
      </c>
      <c r="F492" t="str">
        <f>IF(Table2[[#This Row],[Date posted]]&lt; DATE(2015,9,18),"Before Crisis","During Crisis")</f>
        <v>Before Crisis</v>
      </c>
      <c r="G492" s="27">
        <f t="shared" si="42"/>
        <v>42233</v>
      </c>
      <c r="H492" s="7" t="str">
        <f t="shared" si="43"/>
        <v>21:28:09</v>
      </c>
      <c r="I492" s="8" t="str">
        <f t="shared" si="44"/>
        <v>Evening</v>
      </c>
      <c r="J492" t="s">
        <v>5455</v>
      </c>
      <c r="K492" t="s">
        <v>2370</v>
      </c>
      <c r="L492" s="3">
        <v>0</v>
      </c>
      <c r="M492" s="3">
        <v>0</v>
      </c>
      <c r="N492">
        <v>1</v>
      </c>
      <c r="O492" s="4">
        <f t="shared" si="45"/>
        <v>1</v>
      </c>
      <c r="P492" s="5" t="str">
        <f t="shared" si="46"/>
        <v>Low engagement</v>
      </c>
      <c r="Q492" t="b">
        <v>0</v>
      </c>
      <c r="R492" t="b">
        <v>0</v>
      </c>
      <c r="S492" t="b">
        <v>0</v>
      </c>
      <c r="T492" s="24" t="str">
        <f t="shared" si="47"/>
        <v>Text only</v>
      </c>
    </row>
    <row r="493" spans="1:20" hidden="1" x14ac:dyDescent="0.2">
      <c r="A493" t="s">
        <v>5530</v>
      </c>
      <c r="B493" t="s">
        <v>2365</v>
      </c>
      <c r="C493" t="s">
        <v>2366</v>
      </c>
      <c r="D493" t="s">
        <v>5531</v>
      </c>
      <c r="E493" t="s">
        <v>5527</v>
      </c>
      <c r="F493" t="str">
        <f>IF(Table2[[#This Row],[Date posted]]&lt; DATE(2015,9,18),"Before Crisis","During Crisis")</f>
        <v>Before Crisis</v>
      </c>
      <c r="G493" s="27">
        <f t="shared" si="42"/>
        <v>42233</v>
      </c>
      <c r="H493" s="7" t="str">
        <f t="shared" si="43"/>
        <v>21:28:09</v>
      </c>
      <c r="I493" s="8" t="str">
        <f t="shared" si="44"/>
        <v>Evening</v>
      </c>
      <c r="J493" t="s">
        <v>5532</v>
      </c>
      <c r="K493" t="s">
        <v>2370</v>
      </c>
      <c r="L493">
        <v>1</v>
      </c>
      <c r="M493" s="3">
        <v>0</v>
      </c>
      <c r="N493">
        <v>1</v>
      </c>
      <c r="O493" s="4">
        <f t="shared" si="45"/>
        <v>2</v>
      </c>
      <c r="P493" s="5" t="str">
        <f t="shared" si="46"/>
        <v>Low engagement</v>
      </c>
      <c r="Q493" t="b">
        <v>0</v>
      </c>
      <c r="R493" t="b">
        <v>0</v>
      </c>
      <c r="S493" t="b">
        <v>0</v>
      </c>
      <c r="T493" s="24" t="str">
        <f t="shared" si="47"/>
        <v>Text only</v>
      </c>
    </row>
    <row r="494" spans="1:20" hidden="1" x14ac:dyDescent="0.2">
      <c r="A494" t="s">
        <v>5517</v>
      </c>
      <c r="B494" t="s">
        <v>2365</v>
      </c>
      <c r="C494" t="s">
        <v>2366</v>
      </c>
      <c r="D494" t="s">
        <v>5518</v>
      </c>
      <c r="E494" t="s">
        <v>5519</v>
      </c>
      <c r="F494" t="str">
        <f>IF(Table2[[#This Row],[Date posted]]&lt; DATE(2015,9,18),"Before Crisis","During Crisis")</f>
        <v>Before Crisis</v>
      </c>
      <c r="G494" s="27">
        <f t="shared" si="42"/>
        <v>42233</v>
      </c>
      <c r="H494" s="7" t="str">
        <f t="shared" si="43"/>
        <v>21:37:02</v>
      </c>
      <c r="I494" s="8" t="str">
        <f t="shared" si="44"/>
        <v>Evening</v>
      </c>
      <c r="J494" t="s">
        <v>5520</v>
      </c>
      <c r="K494" t="s">
        <v>2370</v>
      </c>
      <c r="L494" s="3">
        <v>0</v>
      </c>
      <c r="M494" s="3">
        <v>0</v>
      </c>
      <c r="N494">
        <v>1</v>
      </c>
      <c r="O494" s="4">
        <f t="shared" si="45"/>
        <v>1</v>
      </c>
      <c r="P494" s="5" t="str">
        <f t="shared" si="46"/>
        <v>Low engagement</v>
      </c>
      <c r="Q494" t="b">
        <v>0</v>
      </c>
      <c r="R494" t="b">
        <v>0</v>
      </c>
      <c r="S494" t="b">
        <v>0</v>
      </c>
      <c r="T494" s="24" t="str">
        <f t="shared" si="47"/>
        <v>Text only</v>
      </c>
    </row>
    <row r="495" spans="1:20" hidden="1" x14ac:dyDescent="0.2">
      <c r="A495" t="s">
        <v>5514</v>
      </c>
      <c r="B495" t="s">
        <v>2365</v>
      </c>
      <c r="C495" t="s">
        <v>2366</v>
      </c>
      <c r="D495" t="s">
        <v>5515</v>
      </c>
      <c r="E495" t="s">
        <v>5516</v>
      </c>
      <c r="F495" t="str">
        <f>IF(Table2[[#This Row],[Date posted]]&lt; DATE(2015,9,18),"Before Crisis","During Crisis")</f>
        <v>Before Crisis</v>
      </c>
      <c r="G495" s="27">
        <f t="shared" si="42"/>
        <v>42233</v>
      </c>
      <c r="H495" s="7" t="str">
        <f t="shared" si="43"/>
        <v>21:37:03</v>
      </c>
      <c r="I495" s="8" t="str">
        <f t="shared" si="44"/>
        <v>Evening</v>
      </c>
      <c r="J495" t="s">
        <v>2370</v>
      </c>
      <c r="K495" t="s">
        <v>2370</v>
      </c>
      <c r="L495">
        <v>1</v>
      </c>
      <c r="M495" s="3">
        <v>0</v>
      </c>
      <c r="N495">
        <v>1</v>
      </c>
      <c r="O495" s="4">
        <f t="shared" si="45"/>
        <v>2</v>
      </c>
      <c r="P495" s="5" t="str">
        <f t="shared" si="46"/>
        <v>Low engagement</v>
      </c>
      <c r="Q495" t="b">
        <v>0</v>
      </c>
      <c r="R495" t="b">
        <v>0</v>
      </c>
      <c r="S495" t="b">
        <v>0</v>
      </c>
      <c r="T495" s="24" t="str">
        <f t="shared" si="47"/>
        <v>Text only</v>
      </c>
    </row>
    <row r="496" spans="1:20" hidden="1" x14ac:dyDescent="0.2">
      <c r="A496" t="s">
        <v>5506</v>
      </c>
      <c r="B496" t="s">
        <v>2365</v>
      </c>
      <c r="C496" t="s">
        <v>2366</v>
      </c>
      <c r="D496" t="s">
        <v>5507</v>
      </c>
      <c r="E496" t="s">
        <v>5508</v>
      </c>
      <c r="F496" t="str">
        <f>IF(Table2[[#This Row],[Date posted]]&lt; DATE(2015,9,18),"Before Crisis","During Crisis")</f>
        <v>Before Crisis</v>
      </c>
      <c r="G496" s="27">
        <f t="shared" si="42"/>
        <v>42233</v>
      </c>
      <c r="H496" s="7" t="str">
        <f t="shared" si="43"/>
        <v>21:37:04</v>
      </c>
      <c r="I496" s="8" t="str">
        <f t="shared" si="44"/>
        <v>Evening</v>
      </c>
      <c r="J496" t="s">
        <v>2370</v>
      </c>
      <c r="K496" t="s">
        <v>2370</v>
      </c>
      <c r="L496" s="3">
        <v>0</v>
      </c>
      <c r="M496" s="3">
        <v>0</v>
      </c>
      <c r="N496">
        <v>1</v>
      </c>
      <c r="O496" s="4">
        <f t="shared" si="45"/>
        <v>1</v>
      </c>
      <c r="P496" s="5" t="str">
        <f t="shared" si="46"/>
        <v>Low engagement</v>
      </c>
      <c r="Q496" t="b">
        <v>0</v>
      </c>
      <c r="R496" t="b">
        <v>0</v>
      </c>
      <c r="S496" t="b">
        <v>0</v>
      </c>
      <c r="T496" s="24" t="str">
        <f t="shared" si="47"/>
        <v>Text only</v>
      </c>
    </row>
    <row r="497" spans="1:20" hidden="1" x14ac:dyDescent="0.2">
      <c r="A497" t="s">
        <v>5509</v>
      </c>
      <c r="B497" t="s">
        <v>2365</v>
      </c>
      <c r="C497" t="s">
        <v>2366</v>
      </c>
      <c r="D497" t="s">
        <v>5510</v>
      </c>
      <c r="E497" t="s">
        <v>5508</v>
      </c>
      <c r="F497" t="str">
        <f>IF(Table2[[#This Row],[Date posted]]&lt; DATE(2015,9,18),"Before Crisis","During Crisis")</f>
        <v>Before Crisis</v>
      </c>
      <c r="G497" s="27">
        <f t="shared" si="42"/>
        <v>42233</v>
      </c>
      <c r="H497" s="7" t="str">
        <f t="shared" si="43"/>
        <v>21:37:04</v>
      </c>
      <c r="I497" s="8" t="str">
        <f t="shared" si="44"/>
        <v>Evening</v>
      </c>
      <c r="J497" t="s">
        <v>5511</v>
      </c>
      <c r="K497" t="s">
        <v>2370</v>
      </c>
      <c r="L497" s="3">
        <v>0</v>
      </c>
      <c r="M497" s="3">
        <v>0</v>
      </c>
      <c r="N497">
        <v>1</v>
      </c>
      <c r="O497" s="4">
        <f t="shared" si="45"/>
        <v>1</v>
      </c>
      <c r="P497" s="5" t="str">
        <f t="shared" si="46"/>
        <v>Low engagement</v>
      </c>
      <c r="Q497" t="b">
        <v>0</v>
      </c>
      <c r="R497" t="b">
        <v>0</v>
      </c>
      <c r="S497" t="b">
        <v>1</v>
      </c>
      <c r="T497" s="24" t="str">
        <f t="shared" si="47"/>
        <v>Link</v>
      </c>
    </row>
    <row r="498" spans="1:20" hidden="1" x14ac:dyDescent="0.2">
      <c r="A498" t="s">
        <v>5503</v>
      </c>
      <c r="B498" t="s">
        <v>2365</v>
      </c>
      <c r="C498" t="s">
        <v>2366</v>
      </c>
      <c r="D498" t="s">
        <v>5504</v>
      </c>
      <c r="E498" t="s">
        <v>5505</v>
      </c>
      <c r="F498" t="str">
        <f>IF(Table2[[#This Row],[Date posted]]&lt; DATE(2015,9,18),"Before Crisis","During Crisis")</f>
        <v>Before Crisis</v>
      </c>
      <c r="G498" s="27">
        <f t="shared" si="42"/>
        <v>42233</v>
      </c>
      <c r="H498" s="7" t="str">
        <f t="shared" si="43"/>
        <v>21:37:05</v>
      </c>
      <c r="I498" s="8" t="str">
        <f t="shared" si="44"/>
        <v>Evening</v>
      </c>
      <c r="J498" t="s">
        <v>2370</v>
      </c>
      <c r="K498" t="s">
        <v>2370</v>
      </c>
      <c r="L498" s="3">
        <v>0</v>
      </c>
      <c r="M498" s="3">
        <v>0</v>
      </c>
      <c r="N498">
        <v>1</v>
      </c>
      <c r="O498" s="4">
        <f t="shared" si="45"/>
        <v>1</v>
      </c>
      <c r="P498" s="5" t="str">
        <f t="shared" si="46"/>
        <v>Low engagement</v>
      </c>
      <c r="Q498" t="b">
        <v>0</v>
      </c>
      <c r="R498" t="b">
        <v>0</v>
      </c>
      <c r="S498" t="b">
        <v>0</v>
      </c>
      <c r="T498" s="24" t="str">
        <f t="shared" si="47"/>
        <v>Text only</v>
      </c>
    </row>
    <row r="499" spans="1:20" hidden="1" x14ac:dyDescent="0.2">
      <c r="A499" t="s">
        <v>5500</v>
      </c>
      <c r="B499" t="s">
        <v>2365</v>
      </c>
      <c r="C499" t="s">
        <v>2366</v>
      </c>
      <c r="D499" t="s">
        <v>5501</v>
      </c>
      <c r="E499" t="s">
        <v>5502</v>
      </c>
      <c r="F499" t="str">
        <f>IF(Table2[[#This Row],[Date posted]]&lt; DATE(2015,9,18),"Before Crisis","During Crisis")</f>
        <v>Before Crisis</v>
      </c>
      <c r="G499" s="27">
        <f t="shared" si="42"/>
        <v>42233</v>
      </c>
      <c r="H499" s="7" t="str">
        <f t="shared" si="43"/>
        <v>21:45:47</v>
      </c>
      <c r="I499" s="8" t="str">
        <f t="shared" si="44"/>
        <v>Evening</v>
      </c>
      <c r="J499" t="s">
        <v>2370</v>
      </c>
      <c r="K499" t="s">
        <v>2370</v>
      </c>
      <c r="L499" s="3">
        <v>0</v>
      </c>
      <c r="M499" s="3">
        <v>0</v>
      </c>
      <c r="N499">
        <v>1</v>
      </c>
      <c r="O499" s="4">
        <f t="shared" si="45"/>
        <v>1</v>
      </c>
      <c r="P499" s="5" t="str">
        <f t="shared" si="46"/>
        <v>Low engagement</v>
      </c>
      <c r="Q499" t="b">
        <v>0</v>
      </c>
      <c r="R499" t="b">
        <v>0</v>
      </c>
      <c r="S499" t="b">
        <v>1</v>
      </c>
      <c r="T499" s="24" t="str">
        <f t="shared" si="47"/>
        <v>Link</v>
      </c>
    </row>
    <row r="500" spans="1:20" hidden="1" x14ac:dyDescent="0.2">
      <c r="A500" t="s">
        <v>5492</v>
      </c>
      <c r="B500" t="s">
        <v>2365</v>
      </c>
      <c r="C500" t="s">
        <v>2366</v>
      </c>
      <c r="D500" t="s">
        <v>5493</v>
      </c>
      <c r="E500" t="s">
        <v>5494</v>
      </c>
      <c r="F500" t="str">
        <f>IF(Table2[[#This Row],[Date posted]]&lt; DATE(2015,9,18),"Before Crisis","During Crisis")</f>
        <v>Before Crisis</v>
      </c>
      <c r="G500" s="27">
        <f t="shared" si="42"/>
        <v>42234</v>
      </c>
      <c r="H500" s="7" t="str">
        <f t="shared" si="43"/>
        <v>16:32:00</v>
      </c>
      <c r="I500" s="8" t="str">
        <f t="shared" si="44"/>
        <v>Afternoon</v>
      </c>
      <c r="J500" t="s">
        <v>5451</v>
      </c>
      <c r="K500" t="s">
        <v>2370</v>
      </c>
      <c r="L500" s="3">
        <v>0</v>
      </c>
      <c r="M500">
        <v>2</v>
      </c>
      <c r="N500">
        <v>1</v>
      </c>
      <c r="O500" s="4">
        <f t="shared" si="45"/>
        <v>3</v>
      </c>
      <c r="P500" s="5" t="str">
        <f t="shared" si="46"/>
        <v>Low engagement</v>
      </c>
      <c r="Q500" t="b">
        <v>0</v>
      </c>
      <c r="R500" t="b">
        <v>0</v>
      </c>
      <c r="S500" t="b">
        <v>1</v>
      </c>
      <c r="T500" s="24" t="str">
        <f t="shared" si="47"/>
        <v>Link</v>
      </c>
    </row>
    <row r="501" spans="1:20" hidden="1" x14ac:dyDescent="0.2">
      <c r="A501" t="s">
        <v>5495</v>
      </c>
      <c r="B501" t="s">
        <v>2365</v>
      </c>
      <c r="C501" t="s">
        <v>2366</v>
      </c>
      <c r="D501" t="s">
        <v>5496</v>
      </c>
      <c r="E501" t="s">
        <v>5494</v>
      </c>
      <c r="F501" t="str">
        <f>IF(Table2[[#This Row],[Date posted]]&lt; DATE(2015,9,18),"Before Crisis","During Crisis")</f>
        <v>Before Crisis</v>
      </c>
      <c r="G501" s="27">
        <f t="shared" si="42"/>
        <v>42234</v>
      </c>
      <c r="H501" s="7" t="str">
        <f t="shared" si="43"/>
        <v>16:32:00</v>
      </c>
      <c r="I501" s="8" t="str">
        <f t="shared" si="44"/>
        <v>Afternoon</v>
      </c>
      <c r="J501" t="s">
        <v>5451</v>
      </c>
      <c r="K501" t="s">
        <v>2370</v>
      </c>
      <c r="L501" s="3">
        <v>0</v>
      </c>
      <c r="M501" s="3">
        <v>0</v>
      </c>
      <c r="N501">
        <v>1</v>
      </c>
      <c r="O501" s="4">
        <f t="shared" si="45"/>
        <v>1</v>
      </c>
      <c r="P501" s="5" t="str">
        <f t="shared" si="46"/>
        <v>Low engagement</v>
      </c>
      <c r="Q501" t="b">
        <v>0</v>
      </c>
      <c r="R501" t="b">
        <v>0</v>
      </c>
      <c r="S501" t="b">
        <v>0</v>
      </c>
      <c r="T501" s="24" t="str">
        <f t="shared" si="47"/>
        <v>Text only</v>
      </c>
    </row>
    <row r="502" spans="1:20" hidden="1" x14ac:dyDescent="0.2">
      <c r="A502" t="s">
        <v>5497</v>
      </c>
      <c r="B502" t="s">
        <v>2365</v>
      </c>
      <c r="C502" t="s">
        <v>2366</v>
      </c>
      <c r="D502" t="s">
        <v>5498</v>
      </c>
      <c r="E502" t="s">
        <v>5494</v>
      </c>
      <c r="F502" t="str">
        <f>IF(Table2[[#This Row],[Date posted]]&lt; DATE(2015,9,18),"Before Crisis","During Crisis")</f>
        <v>Before Crisis</v>
      </c>
      <c r="G502" s="27">
        <f t="shared" si="42"/>
        <v>42234</v>
      </c>
      <c r="H502" s="7" t="str">
        <f t="shared" si="43"/>
        <v>16:32:00</v>
      </c>
      <c r="I502" s="8" t="str">
        <f t="shared" si="44"/>
        <v>Afternoon</v>
      </c>
      <c r="J502" t="s">
        <v>5499</v>
      </c>
      <c r="K502" t="s">
        <v>2370</v>
      </c>
      <c r="L502" s="3">
        <v>0</v>
      </c>
      <c r="M502" s="3">
        <v>0</v>
      </c>
      <c r="N502">
        <v>1</v>
      </c>
      <c r="O502" s="4">
        <f t="shared" si="45"/>
        <v>1</v>
      </c>
      <c r="P502" s="5" t="str">
        <f t="shared" si="46"/>
        <v>Low engagement</v>
      </c>
      <c r="Q502" t="b">
        <v>0</v>
      </c>
      <c r="R502" t="b">
        <v>0</v>
      </c>
      <c r="S502" t="b">
        <v>0</v>
      </c>
      <c r="T502" s="24" t="str">
        <f t="shared" si="47"/>
        <v>Text only</v>
      </c>
    </row>
    <row r="503" spans="1:20" hidden="1" x14ac:dyDescent="0.2">
      <c r="A503" t="s">
        <v>5486</v>
      </c>
      <c r="B503" t="s">
        <v>2365</v>
      </c>
      <c r="C503" t="s">
        <v>2366</v>
      </c>
      <c r="D503" t="s">
        <v>5487</v>
      </c>
      <c r="E503" t="s">
        <v>5488</v>
      </c>
      <c r="F503" t="str">
        <f>IF(Table2[[#This Row],[Date posted]]&lt; DATE(2015,9,18),"Before Crisis","During Crisis")</f>
        <v>Before Crisis</v>
      </c>
      <c r="G503" s="27">
        <f t="shared" si="42"/>
        <v>42234</v>
      </c>
      <c r="H503" s="7" t="str">
        <f t="shared" si="43"/>
        <v>18:13:53</v>
      </c>
      <c r="I503" s="8" t="str">
        <f t="shared" si="44"/>
        <v>Evening</v>
      </c>
      <c r="J503" t="s">
        <v>5489</v>
      </c>
      <c r="K503" t="s">
        <v>2370</v>
      </c>
      <c r="L503" s="3">
        <v>0</v>
      </c>
      <c r="M503" s="3">
        <v>0</v>
      </c>
      <c r="N503">
        <v>1</v>
      </c>
      <c r="O503" s="4">
        <f t="shared" si="45"/>
        <v>1</v>
      </c>
      <c r="P503" s="5" t="str">
        <f t="shared" si="46"/>
        <v>Low engagement</v>
      </c>
      <c r="Q503" t="b">
        <v>0</v>
      </c>
      <c r="R503" t="b">
        <v>0</v>
      </c>
      <c r="S503" t="b">
        <v>0</v>
      </c>
      <c r="T503" s="24" t="str">
        <f t="shared" si="47"/>
        <v>Text only</v>
      </c>
    </row>
    <row r="504" spans="1:20" hidden="1" x14ac:dyDescent="0.2">
      <c r="A504" t="s">
        <v>5490</v>
      </c>
      <c r="B504" t="s">
        <v>2365</v>
      </c>
      <c r="C504" t="s">
        <v>2366</v>
      </c>
      <c r="D504" t="s">
        <v>5491</v>
      </c>
      <c r="E504" t="s">
        <v>5488</v>
      </c>
      <c r="F504" t="str">
        <f>IF(Table2[[#This Row],[Date posted]]&lt; DATE(2015,9,18),"Before Crisis","During Crisis")</f>
        <v>Before Crisis</v>
      </c>
      <c r="G504" s="27">
        <f t="shared" si="42"/>
        <v>42234</v>
      </c>
      <c r="H504" s="7" t="str">
        <f t="shared" si="43"/>
        <v>18:13:53</v>
      </c>
      <c r="I504" s="8" t="str">
        <f t="shared" si="44"/>
        <v>Evening</v>
      </c>
      <c r="J504" t="s">
        <v>5489</v>
      </c>
      <c r="K504" t="s">
        <v>2370</v>
      </c>
      <c r="L504" s="3">
        <v>0</v>
      </c>
      <c r="M504" s="3">
        <v>0</v>
      </c>
      <c r="N504">
        <v>1</v>
      </c>
      <c r="O504" s="4">
        <f t="shared" si="45"/>
        <v>1</v>
      </c>
      <c r="P504" s="5" t="str">
        <f t="shared" si="46"/>
        <v>Low engagement</v>
      </c>
      <c r="Q504" t="b">
        <v>0</v>
      </c>
      <c r="R504" t="b">
        <v>0</v>
      </c>
      <c r="S504" t="b">
        <v>1</v>
      </c>
      <c r="T504" s="24" t="str">
        <f t="shared" si="47"/>
        <v>Link</v>
      </c>
    </row>
    <row r="505" spans="1:20" hidden="1" x14ac:dyDescent="0.2">
      <c r="A505" t="s">
        <v>5480</v>
      </c>
      <c r="B505" t="s">
        <v>2365</v>
      </c>
      <c r="C505" t="s">
        <v>2366</v>
      </c>
      <c r="D505" t="s">
        <v>5481</v>
      </c>
      <c r="E505" t="s">
        <v>5482</v>
      </c>
      <c r="F505" t="str">
        <f>IF(Table2[[#This Row],[Date posted]]&lt; DATE(2015,9,18),"Before Crisis","During Crisis")</f>
        <v>Before Crisis</v>
      </c>
      <c r="G505" s="27">
        <f t="shared" si="42"/>
        <v>42234</v>
      </c>
      <c r="H505" s="7" t="str">
        <f t="shared" si="43"/>
        <v>18:13:54</v>
      </c>
      <c r="I505" s="8" t="str">
        <f t="shared" si="44"/>
        <v>Evening</v>
      </c>
      <c r="J505" t="s">
        <v>5483</v>
      </c>
      <c r="K505" t="s">
        <v>2370</v>
      </c>
      <c r="L505" s="3">
        <v>0</v>
      </c>
      <c r="M505">
        <v>1</v>
      </c>
      <c r="N505">
        <v>1</v>
      </c>
      <c r="O505" s="4">
        <f t="shared" si="45"/>
        <v>2</v>
      </c>
      <c r="P505" s="5" t="str">
        <f t="shared" si="46"/>
        <v>Low engagement</v>
      </c>
      <c r="Q505" t="b">
        <v>0</v>
      </c>
      <c r="R505" t="b">
        <v>0</v>
      </c>
      <c r="S505" t="b">
        <v>0</v>
      </c>
      <c r="T505" s="24" t="str">
        <f t="shared" si="47"/>
        <v>Text only</v>
      </c>
    </row>
    <row r="506" spans="1:20" hidden="1" x14ac:dyDescent="0.2">
      <c r="A506" t="s">
        <v>5477</v>
      </c>
      <c r="B506" t="s">
        <v>2365</v>
      </c>
      <c r="C506" t="s">
        <v>2366</v>
      </c>
      <c r="D506" t="s">
        <v>5478</v>
      </c>
      <c r="E506" t="s">
        <v>5479</v>
      </c>
      <c r="F506" t="str">
        <f>IF(Table2[[#This Row],[Date posted]]&lt; DATE(2015,9,18),"Before Crisis","During Crisis")</f>
        <v>Before Crisis</v>
      </c>
      <c r="G506" s="27">
        <f t="shared" si="42"/>
        <v>42234</v>
      </c>
      <c r="H506" s="7" t="str">
        <f t="shared" si="43"/>
        <v>18:13:55</v>
      </c>
      <c r="I506" s="8" t="str">
        <f t="shared" si="44"/>
        <v>Evening</v>
      </c>
      <c r="J506" t="s">
        <v>2370</v>
      </c>
      <c r="K506" t="s">
        <v>2370</v>
      </c>
      <c r="L506" s="3">
        <v>0</v>
      </c>
      <c r="M506" s="3">
        <v>0</v>
      </c>
      <c r="N506">
        <v>1</v>
      </c>
      <c r="O506" s="4">
        <f t="shared" si="45"/>
        <v>1</v>
      </c>
      <c r="P506" s="5" t="str">
        <f t="shared" si="46"/>
        <v>Low engagement</v>
      </c>
      <c r="Q506" t="b">
        <v>0</v>
      </c>
      <c r="R506" t="b">
        <v>0</v>
      </c>
      <c r="S506" t="b">
        <v>1</v>
      </c>
      <c r="T506" s="24" t="str">
        <f t="shared" si="47"/>
        <v>Link</v>
      </c>
    </row>
    <row r="507" spans="1:20" hidden="1" x14ac:dyDescent="0.2">
      <c r="A507" t="s">
        <v>5473</v>
      </c>
      <c r="B507" t="s">
        <v>2365</v>
      </c>
      <c r="C507" t="s">
        <v>2366</v>
      </c>
      <c r="D507" t="s">
        <v>5474</v>
      </c>
      <c r="E507" t="s">
        <v>5475</v>
      </c>
      <c r="F507" t="str">
        <f>IF(Table2[[#This Row],[Date posted]]&lt; DATE(2015,9,18),"Before Crisis","During Crisis")</f>
        <v>Before Crisis</v>
      </c>
      <c r="G507" s="27">
        <f t="shared" si="42"/>
        <v>42234</v>
      </c>
      <c r="H507" s="7" t="str">
        <f t="shared" si="43"/>
        <v>19:55:12</v>
      </c>
      <c r="I507" s="8" t="str">
        <f t="shared" si="44"/>
        <v>Evening</v>
      </c>
      <c r="J507" t="s">
        <v>5476</v>
      </c>
      <c r="K507" t="s">
        <v>2370</v>
      </c>
      <c r="L507" s="3">
        <v>0</v>
      </c>
      <c r="M507" s="3">
        <v>0</v>
      </c>
      <c r="N507">
        <v>1</v>
      </c>
      <c r="O507" s="4">
        <f t="shared" si="45"/>
        <v>1</v>
      </c>
      <c r="P507" s="5" t="str">
        <f t="shared" si="46"/>
        <v>Low engagement</v>
      </c>
      <c r="Q507" t="b">
        <v>0</v>
      </c>
      <c r="R507" t="b">
        <v>0</v>
      </c>
      <c r="S507" t="b">
        <v>0</v>
      </c>
      <c r="T507" s="24" t="str">
        <f t="shared" si="47"/>
        <v>Text only</v>
      </c>
    </row>
    <row r="508" spans="1:20" hidden="1" x14ac:dyDescent="0.2">
      <c r="A508" t="s">
        <v>5469</v>
      </c>
      <c r="B508" t="s">
        <v>2365</v>
      </c>
      <c r="C508" t="s">
        <v>2366</v>
      </c>
      <c r="D508" t="s">
        <v>5470</v>
      </c>
      <c r="E508" t="s">
        <v>5471</v>
      </c>
      <c r="F508" t="str">
        <f>IF(Table2[[#This Row],[Date posted]]&lt; DATE(2015,9,18),"Before Crisis","During Crisis")</f>
        <v>Before Crisis</v>
      </c>
      <c r="G508" s="27">
        <f t="shared" si="42"/>
        <v>42235</v>
      </c>
      <c r="H508" s="7" t="str">
        <f t="shared" si="43"/>
        <v>16:25:22</v>
      </c>
      <c r="I508" s="8" t="str">
        <f t="shared" si="44"/>
        <v>Afternoon</v>
      </c>
      <c r="J508" t="s">
        <v>5472</v>
      </c>
      <c r="K508" t="s">
        <v>2370</v>
      </c>
      <c r="L508" s="3">
        <v>0</v>
      </c>
      <c r="M508" s="3">
        <v>0</v>
      </c>
      <c r="N508">
        <v>1</v>
      </c>
      <c r="O508" s="4">
        <f t="shared" si="45"/>
        <v>1</v>
      </c>
      <c r="P508" s="5" t="str">
        <f t="shared" si="46"/>
        <v>Low engagement</v>
      </c>
      <c r="Q508" t="b">
        <v>0</v>
      </c>
      <c r="R508" t="b">
        <v>0</v>
      </c>
      <c r="S508" t="b">
        <v>1</v>
      </c>
      <c r="T508" s="24" t="str">
        <f t="shared" si="47"/>
        <v>Link</v>
      </c>
    </row>
    <row r="509" spans="1:20" hidden="1" x14ac:dyDescent="0.2">
      <c r="A509" t="s">
        <v>5465</v>
      </c>
      <c r="B509" t="s">
        <v>2365</v>
      </c>
      <c r="C509" t="s">
        <v>2366</v>
      </c>
      <c r="D509" t="s">
        <v>5466</v>
      </c>
      <c r="E509" t="s">
        <v>5467</v>
      </c>
      <c r="F509" t="str">
        <f>IF(Table2[[#This Row],[Date posted]]&lt; DATE(2015,9,18),"Before Crisis","During Crisis")</f>
        <v>Before Crisis</v>
      </c>
      <c r="G509" s="27">
        <f t="shared" si="42"/>
        <v>42235</v>
      </c>
      <c r="H509" s="7" t="str">
        <f t="shared" si="43"/>
        <v>17:24:51</v>
      </c>
      <c r="I509" s="8" t="str">
        <f t="shared" si="44"/>
        <v>Afternoon</v>
      </c>
      <c r="J509" t="s">
        <v>5468</v>
      </c>
      <c r="K509" t="s">
        <v>2370</v>
      </c>
      <c r="L509" s="3">
        <v>0</v>
      </c>
      <c r="M509" s="3">
        <v>0</v>
      </c>
      <c r="N509">
        <v>1</v>
      </c>
      <c r="O509" s="4">
        <f t="shared" si="45"/>
        <v>1</v>
      </c>
      <c r="P509" s="5" t="str">
        <f t="shared" si="46"/>
        <v>Low engagement</v>
      </c>
      <c r="Q509" t="b">
        <v>0</v>
      </c>
      <c r="R509" t="b">
        <v>0</v>
      </c>
      <c r="S509" t="b">
        <v>1</v>
      </c>
      <c r="T509" s="24" t="str">
        <f t="shared" si="47"/>
        <v>Link</v>
      </c>
    </row>
    <row r="510" spans="1:20" hidden="1" x14ac:dyDescent="0.2">
      <c r="A510" t="s">
        <v>5462</v>
      </c>
      <c r="B510" t="s">
        <v>2365</v>
      </c>
      <c r="C510" t="s">
        <v>2366</v>
      </c>
      <c r="D510" t="s">
        <v>5463</v>
      </c>
      <c r="E510" t="s">
        <v>5464</v>
      </c>
      <c r="F510" t="str">
        <f>IF(Table2[[#This Row],[Date posted]]&lt; DATE(2015,9,18),"Before Crisis","During Crisis")</f>
        <v>Before Crisis</v>
      </c>
      <c r="G510" s="27">
        <f t="shared" si="42"/>
        <v>42235</v>
      </c>
      <c r="H510" s="7" t="str">
        <f t="shared" si="43"/>
        <v>17:33:12</v>
      </c>
      <c r="I510" s="8" t="str">
        <f t="shared" si="44"/>
        <v>Afternoon</v>
      </c>
      <c r="J510" t="s">
        <v>2370</v>
      </c>
      <c r="K510" t="s">
        <v>2370</v>
      </c>
      <c r="L510" s="3">
        <v>0</v>
      </c>
      <c r="M510" s="3">
        <v>0</v>
      </c>
      <c r="N510">
        <v>1</v>
      </c>
      <c r="O510" s="4">
        <f t="shared" si="45"/>
        <v>1</v>
      </c>
      <c r="P510" s="5" t="str">
        <f t="shared" si="46"/>
        <v>Low engagement</v>
      </c>
      <c r="Q510" t="b">
        <v>0</v>
      </c>
      <c r="R510" t="b">
        <v>0</v>
      </c>
      <c r="S510" t="b">
        <v>0</v>
      </c>
      <c r="T510" s="24" t="str">
        <f t="shared" si="47"/>
        <v>Text only</v>
      </c>
    </row>
    <row r="511" spans="1:20" hidden="1" x14ac:dyDescent="0.2">
      <c r="A511" t="s">
        <v>5456</v>
      </c>
      <c r="B511" t="s">
        <v>2365</v>
      </c>
      <c r="C511" t="s">
        <v>2366</v>
      </c>
      <c r="D511" t="s">
        <v>5457</v>
      </c>
      <c r="E511" t="s">
        <v>5458</v>
      </c>
      <c r="F511" t="str">
        <f>IF(Table2[[#This Row],[Date posted]]&lt; DATE(2015,9,18),"Before Crisis","During Crisis")</f>
        <v>Before Crisis</v>
      </c>
      <c r="G511" s="27">
        <f t="shared" si="42"/>
        <v>42235</v>
      </c>
      <c r="H511" s="7" t="str">
        <f t="shared" si="43"/>
        <v>19:40:23</v>
      </c>
      <c r="I511" s="8" t="str">
        <f t="shared" si="44"/>
        <v>Evening</v>
      </c>
      <c r="J511" t="s">
        <v>5459</v>
      </c>
      <c r="K511" t="s">
        <v>2370</v>
      </c>
      <c r="L511">
        <v>1</v>
      </c>
      <c r="M511" s="3">
        <v>0</v>
      </c>
      <c r="N511">
        <v>1</v>
      </c>
      <c r="O511" s="4">
        <f t="shared" si="45"/>
        <v>2</v>
      </c>
      <c r="P511" s="5" t="str">
        <f t="shared" si="46"/>
        <v>Low engagement</v>
      </c>
      <c r="Q511" t="b">
        <v>0</v>
      </c>
      <c r="R511" t="b">
        <v>0</v>
      </c>
      <c r="S511" t="b">
        <v>1</v>
      </c>
      <c r="T511" s="24" t="str">
        <f t="shared" si="47"/>
        <v>Link</v>
      </c>
    </row>
    <row r="512" spans="1:20" hidden="1" x14ac:dyDescent="0.2">
      <c r="A512" t="s">
        <v>5460</v>
      </c>
      <c r="B512" t="s">
        <v>2365</v>
      </c>
      <c r="C512" t="s">
        <v>2366</v>
      </c>
      <c r="D512" t="s">
        <v>5461</v>
      </c>
      <c r="E512" t="s">
        <v>5458</v>
      </c>
      <c r="F512" t="str">
        <f>IF(Table2[[#This Row],[Date posted]]&lt; DATE(2015,9,18),"Before Crisis","During Crisis")</f>
        <v>Before Crisis</v>
      </c>
      <c r="G512" s="27">
        <f t="shared" si="42"/>
        <v>42235</v>
      </c>
      <c r="H512" s="7" t="str">
        <f t="shared" si="43"/>
        <v>19:40:23</v>
      </c>
      <c r="I512" s="8" t="str">
        <f t="shared" si="44"/>
        <v>Evening</v>
      </c>
      <c r="J512" t="s">
        <v>5459</v>
      </c>
      <c r="K512" t="s">
        <v>2370</v>
      </c>
      <c r="L512" s="3">
        <v>0</v>
      </c>
      <c r="M512" s="3">
        <v>0</v>
      </c>
      <c r="N512">
        <v>1</v>
      </c>
      <c r="O512" s="4">
        <f t="shared" si="45"/>
        <v>1</v>
      </c>
      <c r="P512" s="5" t="str">
        <f t="shared" si="46"/>
        <v>Low engagement</v>
      </c>
      <c r="Q512" t="b">
        <v>0</v>
      </c>
      <c r="R512" t="b">
        <v>0</v>
      </c>
      <c r="S512" t="b">
        <v>0</v>
      </c>
      <c r="T512" s="24" t="str">
        <f t="shared" si="47"/>
        <v>Text only</v>
      </c>
    </row>
    <row r="513" spans="1:20" hidden="1" x14ac:dyDescent="0.2">
      <c r="A513" t="s">
        <v>5452</v>
      </c>
      <c r="B513" t="s">
        <v>2365</v>
      </c>
      <c r="C513" t="s">
        <v>2366</v>
      </c>
      <c r="D513" t="s">
        <v>5453</v>
      </c>
      <c r="E513" t="s">
        <v>5454</v>
      </c>
      <c r="F513" t="str">
        <f>IF(Table2[[#This Row],[Date posted]]&lt; DATE(2015,9,18),"Before Crisis","During Crisis")</f>
        <v>Before Crisis</v>
      </c>
      <c r="G513" s="27">
        <f t="shared" si="42"/>
        <v>42235</v>
      </c>
      <c r="H513" s="7" t="str">
        <f t="shared" si="43"/>
        <v>23:43:52</v>
      </c>
      <c r="I513" s="8" t="str">
        <f t="shared" si="44"/>
        <v>Evening</v>
      </c>
      <c r="J513" t="s">
        <v>5455</v>
      </c>
      <c r="K513" t="s">
        <v>2370</v>
      </c>
      <c r="L513" s="3">
        <v>0</v>
      </c>
      <c r="M513" s="3">
        <v>0</v>
      </c>
      <c r="N513">
        <v>1</v>
      </c>
      <c r="O513" s="4">
        <f t="shared" si="45"/>
        <v>1</v>
      </c>
      <c r="P513" s="5" t="str">
        <f t="shared" si="46"/>
        <v>Low engagement</v>
      </c>
      <c r="Q513" t="b">
        <v>0</v>
      </c>
      <c r="R513" t="b">
        <v>0</v>
      </c>
      <c r="S513" t="b">
        <v>0</v>
      </c>
      <c r="T513" s="24" t="str">
        <f t="shared" si="47"/>
        <v>Text only</v>
      </c>
    </row>
    <row r="514" spans="1:20" hidden="1" x14ac:dyDescent="0.2">
      <c r="A514" t="s">
        <v>5448</v>
      </c>
      <c r="B514" t="s">
        <v>2365</v>
      </c>
      <c r="C514" t="s">
        <v>2366</v>
      </c>
      <c r="D514" t="s">
        <v>5449</v>
      </c>
      <c r="E514" t="s">
        <v>5450</v>
      </c>
      <c r="F514" t="str">
        <f>IF(Table2[[#This Row],[Date posted]]&lt; DATE(2015,9,18),"Before Crisis","During Crisis")</f>
        <v>Before Crisis</v>
      </c>
      <c r="G514" s="27">
        <f t="shared" ref="G514:G577" si="48">DATEVALUE(LEFT(E514,10))</f>
        <v>42236</v>
      </c>
      <c r="H514" s="7" t="str">
        <f t="shared" ref="H514:H577" si="49">MID(E514,12,8)</f>
        <v>22:55:29</v>
      </c>
      <c r="I514" s="8" t="str">
        <f t="shared" ref="I514:I577" si="50">IF(HOUR(H514)&lt;7,"Early morning",
IF(HOUR(H514)&lt;11,"Morning",
IF(HOUR(H514)&lt;14,"Mid-day",
IF(HOUR(H514)&lt;18,"Afternoon","Evening"))))</f>
        <v>Evening</v>
      </c>
      <c r="J514" t="s">
        <v>5451</v>
      </c>
      <c r="K514" t="s">
        <v>2370</v>
      </c>
      <c r="L514" s="3">
        <v>0</v>
      </c>
      <c r="M514" s="3">
        <v>0</v>
      </c>
      <c r="N514">
        <v>1</v>
      </c>
      <c r="O514" s="4">
        <f t="shared" ref="O514:O577" si="51">L514+M514+N514</f>
        <v>1</v>
      </c>
      <c r="P514" s="5" t="str">
        <f t="shared" ref="P514:P577" si="52">IF(O514&lt;1,"No engagement", IF(O514&lt;5,"Low engagement", IF(O514&lt;10,"Moderate engagement", "High engagement")))</f>
        <v>Low engagement</v>
      </c>
      <c r="Q514" t="b">
        <v>0</v>
      </c>
      <c r="R514" t="b">
        <v>0</v>
      </c>
      <c r="S514" t="b">
        <v>0</v>
      </c>
      <c r="T514" s="24" t="str">
        <f t="shared" ref="T514:T577" si="53">IF(Q514=TRUE,"Photo",
    IF(R514=TRUE,"Video",
        IF(S514=TRUE,"Link","Text only")))</f>
        <v>Text only</v>
      </c>
    </row>
    <row r="515" spans="1:20" hidden="1" x14ac:dyDescent="0.2">
      <c r="A515" t="s">
        <v>5445</v>
      </c>
      <c r="B515" t="s">
        <v>2365</v>
      </c>
      <c r="C515" t="s">
        <v>2366</v>
      </c>
      <c r="D515" t="s">
        <v>5446</v>
      </c>
      <c r="E515" t="s">
        <v>5447</v>
      </c>
      <c r="F515" t="str">
        <f>IF(Table2[[#This Row],[Date posted]]&lt; DATE(2015,9,18),"Before Crisis","During Crisis")</f>
        <v>Before Crisis</v>
      </c>
      <c r="G515" s="27">
        <f t="shared" si="48"/>
        <v>42236</v>
      </c>
      <c r="H515" s="7" t="str">
        <f t="shared" si="49"/>
        <v>22:55:30</v>
      </c>
      <c r="I515" s="8" t="str">
        <f t="shared" si="50"/>
        <v>Evening</v>
      </c>
      <c r="J515" t="s">
        <v>5444</v>
      </c>
      <c r="K515" t="s">
        <v>2370</v>
      </c>
      <c r="L515" s="3">
        <v>0</v>
      </c>
      <c r="M515" s="3">
        <v>0</v>
      </c>
      <c r="N515">
        <v>1</v>
      </c>
      <c r="O515" s="4">
        <f t="shared" si="51"/>
        <v>1</v>
      </c>
      <c r="P515" s="5" t="str">
        <f t="shared" si="52"/>
        <v>Low engagement</v>
      </c>
      <c r="Q515" t="b">
        <v>0</v>
      </c>
      <c r="R515" t="b">
        <v>0</v>
      </c>
      <c r="S515" t="b">
        <v>0</v>
      </c>
      <c r="T515" s="24" t="str">
        <f t="shared" si="53"/>
        <v>Text only</v>
      </c>
    </row>
    <row r="516" spans="1:20" hidden="1" x14ac:dyDescent="0.2">
      <c r="A516" t="s">
        <v>5438</v>
      </c>
      <c r="B516" t="s">
        <v>2365</v>
      </c>
      <c r="C516" t="s">
        <v>2366</v>
      </c>
      <c r="D516" t="s">
        <v>5439</v>
      </c>
      <c r="E516" t="s">
        <v>5440</v>
      </c>
      <c r="F516" t="str">
        <f>IF(Table2[[#This Row],[Date posted]]&lt; DATE(2015,9,18),"Before Crisis","During Crisis")</f>
        <v>Before Crisis</v>
      </c>
      <c r="G516" s="27">
        <f t="shared" si="48"/>
        <v>42236</v>
      </c>
      <c r="H516" s="7" t="str">
        <f t="shared" si="49"/>
        <v>22:55:31</v>
      </c>
      <c r="I516" s="8" t="str">
        <f t="shared" si="50"/>
        <v>Evening</v>
      </c>
      <c r="J516" t="s">
        <v>5441</v>
      </c>
      <c r="K516" t="s">
        <v>2370</v>
      </c>
      <c r="L516" s="3">
        <v>0</v>
      </c>
      <c r="M516" s="3">
        <v>0</v>
      </c>
      <c r="N516">
        <v>1</v>
      </c>
      <c r="O516" s="4">
        <f t="shared" si="51"/>
        <v>1</v>
      </c>
      <c r="P516" s="5" t="str">
        <f t="shared" si="52"/>
        <v>Low engagement</v>
      </c>
      <c r="Q516" t="b">
        <v>0</v>
      </c>
      <c r="R516" t="b">
        <v>0</v>
      </c>
      <c r="S516" t="b">
        <v>0</v>
      </c>
      <c r="T516" s="24" t="str">
        <f t="shared" si="53"/>
        <v>Text only</v>
      </c>
    </row>
    <row r="517" spans="1:20" hidden="1" x14ac:dyDescent="0.2">
      <c r="A517" t="s">
        <v>5434</v>
      </c>
      <c r="B517" t="s">
        <v>2365</v>
      </c>
      <c r="C517" t="s">
        <v>2366</v>
      </c>
      <c r="D517" t="s">
        <v>5435</v>
      </c>
      <c r="E517" t="s">
        <v>5436</v>
      </c>
      <c r="F517" t="str">
        <f>IF(Table2[[#This Row],[Date posted]]&lt; DATE(2015,9,18),"Before Crisis","During Crisis")</f>
        <v>Before Crisis</v>
      </c>
      <c r="G517" s="27">
        <f t="shared" si="48"/>
        <v>42236</v>
      </c>
      <c r="H517" s="7" t="str">
        <f t="shared" si="49"/>
        <v>22:55:32</v>
      </c>
      <c r="I517" s="8" t="str">
        <f t="shared" si="50"/>
        <v>Evening</v>
      </c>
      <c r="J517" t="s">
        <v>5437</v>
      </c>
      <c r="K517" t="s">
        <v>2370</v>
      </c>
      <c r="L517" s="3">
        <v>0</v>
      </c>
      <c r="M517" s="3">
        <v>0</v>
      </c>
      <c r="N517">
        <v>1</v>
      </c>
      <c r="O517" s="4">
        <f t="shared" si="51"/>
        <v>1</v>
      </c>
      <c r="P517" s="5" t="str">
        <f t="shared" si="52"/>
        <v>Low engagement</v>
      </c>
      <c r="Q517" t="b">
        <v>0</v>
      </c>
      <c r="R517" t="b">
        <v>0</v>
      </c>
      <c r="S517" t="b">
        <v>0</v>
      </c>
      <c r="T517" s="24" t="str">
        <f t="shared" si="53"/>
        <v>Text only</v>
      </c>
    </row>
    <row r="518" spans="1:20" hidden="1" x14ac:dyDescent="0.2">
      <c r="A518" t="s">
        <v>5426</v>
      </c>
      <c r="B518" t="s">
        <v>2365</v>
      </c>
      <c r="C518" t="s">
        <v>2366</v>
      </c>
      <c r="D518" t="s">
        <v>5427</v>
      </c>
      <c r="E518" t="s">
        <v>5428</v>
      </c>
      <c r="F518" t="str">
        <f>IF(Table2[[#This Row],[Date posted]]&lt; DATE(2015,9,18),"Before Crisis","During Crisis")</f>
        <v>Before Crisis</v>
      </c>
      <c r="G518" s="27">
        <f t="shared" si="48"/>
        <v>42237</v>
      </c>
      <c r="H518" s="7" t="str">
        <f t="shared" si="49"/>
        <v>12:29:51</v>
      </c>
      <c r="I518" s="8" t="str">
        <f t="shared" si="50"/>
        <v>Mid-day</v>
      </c>
      <c r="J518" t="s">
        <v>2370</v>
      </c>
      <c r="K518" t="s">
        <v>2370</v>
      </c>
      <c r="L518">
        <v>1</v>
      </c>
      <c r="M518" s="3">
        <v>0</v>
      </c>
      <c r="N518">
        <v>1</v>
      </c>
      <c r="O518" s="4">
        <f t="shared" si="51"/>
        <v>2</v>
      </c>
      <c r="P518" s="5" t="str">
        <f t="shared" si="52"/>
        <v>Low engagement</v>
      </c>
      <c r="Q518" t="b">
        <v>0</v>
      </c>
      <c r="R518" t="b">
        <v>0</v>
      </c>
      <c r="S518" t="b">
        <v>0</v>
      </c>
      <c r="T518" s="24" t="str">
        <f t="shared" si="53"/>
        <v>Text only</v>
      </c>
    </row>
    <row r="519" spans="1:20" hidden="1" x14ac:dyDescent="0.2">
      <c r="A519" t="s">
        <v>5429</v>
      </c>
      <c r="B519" t="s">
        <v>2365</v>
      </c>
      <c r="C519" t="s">
        <v>2366</v>
      </c>
      <c r="D519" t="s">
        <v>5430</v>
      </c>
      <c r="E519" t="s">
        <v>5428</v>
      </c>
      <c r="F519" t="str">
        <f>IF(Table2[[#This Row],[Date posted]]&lt; DATE(2015,9,18),"Before Crisis","During Crisis")</f>
        <v>Before Crisis</v>
      </c>
      <c r="G519" s="27">
        <f t="shared" si="48"/>
        <v>42237</v>
      </c>
      <c r="H519" s="7" t="str">
        <f t="shared" si="49"/>
        <v>12:29:51</v>
      </c>
      <c r="I519" s="8" t="str">
        <f t="shared" si="50"/>
        <v>Mid-day</v>
      </c>
      <c r="J519" t="s">
        <v>5431</v>
      </c>
      <c r="K519" t="s">
        <v>2370</v>
      </c>
      <c r="L519">
        <v>1</v>
      </c>
      <c r="M519" s="3">
        <v>0</v>
      </c>
      <c r="N519">
        <v>1</v>
      </c>
      <c r="O519" s="4">
        <f t="shared" si="51"/>
        <v>2</v>
      </c>
      <c r="P519" s="5" t="str">
        <f t="shared" si="52"/>
        <v>Low engagement</v>
      </c>
      <c r="Q519" t="b">
        <v>0</v>
      </c>
      <c r="R519" t="b">
        <v>0</v>
      </c>
      <c r="S519" t="b">
        <v>0</v>
      </c>
      <c r="T519" s="24" t="str">
        <f t="shared" si="53"/>
        <v>Text only</v>
      </c>
    </row>
    <row r="520" spans="1:20" hidden="1" x14ac:dyDescent="0.2">
      <c r="A520" t="s">
        <v>5432</v>
      </c>
      <c r="B520" t="s">
        <v>2365</v>
      </c>
      <c r="C520" t="s">
        <v>2366</v>
      </c>
      <c r="D520" t="s">
        <v>5433</v>
      </c>
      <c r="E520" t="s">
        <v>5428</v>
      </c>
      <c r="F520" t="str">
        <f>IF(Table2[[#This Row],[Date posted]]&lt; DATE(2015,9,18),"Before Crisis","During Crisis")</f>
        <v>Before Crisis</v>
      </c>
      <c r="G520" s="27">
        <f t="shared" si="48"/>
        <v>42237</v>
      </c>
      <c r="H520" s="7" t="str">
        <f t="shared" si="49"/>
        <v>12:29:51</v>
      </c>
      <c r="I520" s="8" t="str">
        <f t="shared" si="50"/>
        <v>Mid-day</v>
      </c>
      <c r="J520" t="s">
        <v>5431</v>
      </c>
      <c r="K520" t="s">
        <v>2370</v>
      </c>
      <c r="L520">
        <v>1</v>
      </c>
      <c r="M520" s="3">
        <v>0</v>
      </c>
      <c r="N520">
        <v>1</v>
      </c>
      <c r="O520" s="4">
        <f t="shared" si="51"/>
        <v>2</v>
      </c>
      <c r="P520" s="5" t="str">
        <f t="shared" si="52"/>
        <v>Low engagement</v>
      </c>
      <c r="Q520" t="b">
        <v>0</v>
      </c>
      <c r="R520" t="b">
        <v>0</v>
      </c>
      <c r="S520" t="b">
        <v>0</v>
      </c>
      <c r="T520" s="24" t="str">
        <f t="shared" si="53"/>
        <v>Text only</v>
      </c>
    </row>
    <row r="521" spans="1:20" hidden="1" x14ac:dyDescent="0.2">
      <c r="A521" t="s">
        <v>5423</v>
      </c>
      <c r="B521" t="s">
        <v>2365</v>
      </c>
      <c r="C521" t="s">
        <v>2366</v>
      </c>
      <c r="D521" t="s">
        <v>5424</v>
      </c>
      <c r="E521" t="s">
        <v>5425</v>
      </c>
      <c r="F521" t="str">
        <f>IF(Table2[[#This Row],[Date posted]]&lt; DATE(2015,9,18),"Before Crisis","During Crisis")</f>
        <v>Before Crisis</v>
      </c>
      <c r="G521" s="27">
        <f t="shared" si="48"/>
        <v>42237</v>
      </c>
      <c r="H521" s="7" t="str">
        <f t="shared" si="49"/>
        <v>12:29:52</v>
      </c>
      <c r="I521" s="8" t="str">
        <f t="shared" si="50"/>
        <v>Mid-day</v>
      </c>
      <c r="J521" t="s">
        <v>2370</v>
      </c>
      <c r="K521" t="s">
        <v>2370</v>
      </c>
      <c r="L521">
        <v>1</v>
      </c>
      <c r="M521" s="3">
        <v>0</v>
      </c>
      <c r="N521">
        <v>1</v>
      </c>
      <c r="O521" s="4">
        <f t="shared" si="51"/>
        <v>2</v>
      </c>
      <c r="P521" s="5" t="str">
        <f t="shared" si="52"/>
        <v>Low engagement</v>
      </c>
      <c r="Q521" t="b">
        <v>0</v>
      </c>
      <c r="R521" t="b">
        <v>0</v>
      </c>
      <c r="S521" t="b">
        <v>0</v>
      </c>
      <c r="T521" s="24" t="str">
        <f t="shared" si="53"/>
        <v>Text only</v>
      </c>
    </row>
    <row r="522" spans="1:20" hidden="1" x14ac:dyDescent="0.2">
      <c r="A522" t="s">
        <v>5420</v>
      </c>
      <c r="B522" t="s">
        <v>2365</v>
      </c>
      <c r="C522" t="s">
        <v>2366</v>
      </c>
      <c r="D522" t="s">
        <v>5421</v>
      </c>
      <c r="E522" t="s">
        <v>5422</v>
      </c>
      <c r="F522" t="str">
        <f>IF(Table2[[#This Row],[Date posted]]&lt; DATE(2015,9,18),"Before Crisis","During Crisis")</f>
        <v>Before Crisis</v>
      </c>
      <c r="G522" s="27">
        <f t="shared" si="48"/>
        <v>42237</v>
      </c>
      <c r="H522" s="7" t="str">
        <f t="shared" si="49"/>
        <v>15:11:26</v>
      </c>
      <c r="I522" s="8" t="str">
        <f t="shared" si="50"/>
        <v>Afternoon</v>
      </c>
      <c r="J522" t="s">
        <v>5419</v>
      </c>
      <c r="K522" t="s">
        <v>2370</v>
      </c>
      <c r="L522" s="3">
        <v>0</v>
      </c>
      <c r="M522" s="3">
        <v>0</v>
      </c>
      <c r="N522">
        <v>1</v>
      </c>
      <c r="O522" s="4">
        <f t="shared" si="51"/>
        <v>1</v>
      </c>
      <c r="P522" s="5" t="str">
        <f t="shared" si="52"/>
        <v>Low engagement</v>
      </c>
      <c r="Q522" t="b">
        <v>0</v>
      </c>
      <c r="R522" t="b">
        <v>0</v>
      </c>
      <c r="S522" t="b">
        <v>0</v>
      </c>
      <c r="T522" s="24" t="str">
        <f t="shared" si="53"/>
        <v>Text only</v>
      </c>
    </row>
    <row r="523" spans="1:20" hidden="1" x14ac:dyDescent="0.2">
      <c r="A523" t="s">
        <v>5414</v>
      </c>
      <c r="B523" t="s">
        <v>2365</v>
      </c>
      <c r="C523" t="s">
        <v>2366</v>
      </c>
      <c r="D523" t="s">
        <v>5415</v>
      </c>
      <c r="E523" t="s">
        <v>5416</v>
      </c>
      <c r="F523" t="str">
        <f>IF(Table2[[#This Row],[Date posted]]&lt; DATE(2015,9,18),"Before Crisis","During Crisis")</f>
        <v>Before Crisis</v>
      </c>
      <c r="G523" s="27">
        <f t="shared" si="48"/>
        <v>42237</v>
      </c>
      <c r="H523" s="7" t="str">
        <f t="shared" si="49"/>
        <v>15:11:27</v>
      </c>
      <c r="I523" s="8" t="str">
        <f t="shared" si="50"/>
        <v>Afternoon</v>
      </c>
      <c r="J523" t="s">
        <v>2370</v>
      </c>
      <c r="K523" t="s">
        <v>2370</v>
      </c>
      <c r="L523" s="3">
        <v>0</v>
      </c>
      <c r="M523" s="3">
        <v>0</v>
      </c>
      <c r="N523">
        <v>1</v>
      </c>
      <c r="O523" s="4">
        <f t="shared" si="51"/>
        <v>1</v>
      </c>
      <c r="P523" s="5" t="str">
        <f t="shared" si="52"/>
        <v>Low engagement</v>
      </c>
      <c r="Q523" t="b">
        <v>0</v>
      </c>
      <c r="R523" t="b">
        <v>0</v>
      </c>
      <c r="S523" t="b">
        <v>1</v>
      </c>
      <c r="T523" s="24" t="str">
        <f t="shared" si="53"/>
        <v>Link</v>
      </c>
    </row>
    <row r="524" spans="1:20" hidden="1" x14ac:dyDescent="0.2">
      <c r="A524" t="s">
        <v>5417</v>
      </c>
      <c r="B524" t="s">
        <v>2365</v>
      </c>
      <c r="C524" t="s">
        <v>2366</v>
      </c>
      <c r="D524" t="s">
        <v>5418</v>
      </c>
      <c r="E524" t="s">
        <v>5416</v>
      </c>
      <c r="F524" t="str">
        <f>IF(Table2[[#This Row],[Date posted]]&lt; DATE(2015,9,18),"Before Crisis","During Crisis")</f>
        <v>Before Crisis</v>
      </c>
      <c r="G524" s="27">
        <f t="shared" si="48"/>
        <v>42237</v>
      </c>
      <c r="H524" s="7" t="str">
        <f t="shared" si="49"/>
        <v>15:11:27</v>
      </c>
      <c r="I524" s="8" t="str">
        <f t="shared" si="50"/>
        <v>Afternoon</v>
      </c>
      <c r="J524" t="s">
        <v>5419</v>
      </c>
      <c r="K524" t="s">
        <v>2370</v>
      </c>
      <c r="L524" s="3">
        <v>0</v>
      </c>
      <c r="M524" s="3">
        <v>0</v>
      </c>
      <c r="N524">
        <v>1</v>
      </c>
      <c r="O524" s="4">
        <f t="shared" si="51"/>
        <v>1</v>
      </c>
      <c r="P524" s="5" t="str">
        <f t="shared" si="52"/>
        <v>Low engagement</v>
      </c>
      <c r="Q524" t="b">
        <v>0</v>
      </c>
      <c r="R524" t="b">
        <v>0</v>
      </c>
      <c r="S524" t="b">
        <v>0</v>
      </c>
      <c r="T524" s="24" t="str">
        <f t="shared" si="53"/>
        <v>Text only</v>
      </c>
    </row>
    <row r="525" spans="1:20" hidden="1" x14ac:dyDescent="0.2">
      <c r="A525" t="s">
        <v>5411</v>
      </c>
      <c r="B525" t="s">
        <v>2365</v>
      </c>
      <c r="C525" t="s">
        <v>2366</v>
      </c>
      <c r="D525" t="s">
        <v>5412</v>
      </c>
      <c r="E525" t="s">
        <v>5413</v>
      </c>
      <c r="F525" t="str">
        <f>IF(Table2[[#This Row],[Date posted]]&lt; DATE(2015,9,18),"Before Crisis","During Crisis")</f>
        <v>Before Crisis</v>
      </c>
      <c r="G525" s="27">
        <f t="shared" si="48"/>
        <v>42237</v>
      </c>
      <c r="H525" s="7" t="str">
        <f t="shared" si="49"/>
        <v>15:19:47</v>
      </c>
      <c r="I525" s="8" t="str">
        <f t="shared" si="50"/>
        <v>Afternoon</v>
      </c>
      <c r="J525" t="s">
        <v>2370</v>
      </c>
      <c r="K525" t="s">
        <v>2370</v>
      </c>
      <c r="L525" s="3">
        <v>0</v>
      </c>
      <c r="M525" s="3">
        <v>0</v>
      </c>
      <c r="N525">
        <v>1</v>
      </c>
      <c r="O525" s="4">
        <f t="shared" si="51"/>
        <v>1</v>
      </c>
      <c r="P525" s="5" t="str">
        <f t="shared" si="52"/>
        <v>Low engagement</v>
      </c>
      <c r="Q525" t="b">
        <v>0</v>
      </c>
      <c r="R525" t="b">
        <v>0</v>
      </c>
      <c r="S525" t="b">
        <v>0</v>
      </c>
      <c r="T525" s="24" t="str">
        <f t="shared" si="53"/>
        <v>Text only</v>
      </c>
    </row>
    <row r="526" spans="1:20" hidden="1" x14ac:dyDescent="0.2">
      <c r="A526" t="s">
        <v>5405</v>
      </c>
      <c r="B526" t="s">
        <v>2365</v>
      </c>
      <c r="C526" t="s">
        <v>2366</v>
      </c>
      <c r="D526" t="s">
        <v>5406</v>
      </c>
      <c r="E526" t="s">
        <v>5407</v>
      </c>
      <c r="F526" t="str">
        <f>IF(Table2[[#This Row],[Date posted]]&lt; DATE(2015,9,18),"Before Crisis","During Crisis")</f>
        <v>Before Crisis</v>
      </c>
      <c r="G526" s="27">
        <f t="shared" si="48"/>
        <v>42240</v>
      </c>
      <c r="H526" s="7" t="str">
        <f t="shared" si="49"/>
        <v>11:26:07</v>
      </c>
      <c r="I526" s="8" t="str">
        <f t="shared" si="50"/>
        <v>Mid-day</v>
      </c>
      <c r="J526" t="s">
        <v>2370</v>
      </c>
      <c r="K526" t="s">
        <v>2370</v>
      </c>
      <c r="L526" s="3">
        <v>0</v>
      </c>
      <c r="M526" s="3">
        <v>0</v>
      </c>
      <c r="N526">
        <v>1</v>
      </c>
      <c r="O526" s="4">
        <f t="shared" si="51"/>
        <v>1</v>
      </c>
      <c r="P526" s="5" t="str">
        <f t="shared" si="52"/>
        <v>Low engagement</v>
      </c>
      <c r="Q526" t="b">
        <v>0</v>
      </c>
      <c r="R526" t="b">
        <v>0</v>
      </c>
      <c r="S526" t="b">
        <v>0</v>
      </c>
      <c r="T526" s="24" t="str">
        <f t="shared" si="53"/>
        <v>Text only</v>
      </c>
    </row>
    <row r="527" spans="1:20" hidden="1" x14ac:dyDescent="0.2">
      <c r="A527" t="s">
        <v>5392</v>
      </c>
      <c r="B527" t="s">
        <v>2365</v>
      </c>
      <c r="C527" t="s">
        <v>2366</v>
      </c>
      <c r="D527" t="s">
        <v>5393</v>
      </c>
      <c r="E527" t="s">
        <v>5394</v>
      </c>
      <c r="F527" t="str">
        <f>IF(Table2[[#This Row],[Date posted]]&lt; DATE(2015,9,18),"Before Crisis","During Crisis")</f>
        <v>Before Crisis</v>
      </c>
      <c r="G527" s="27">
        <f t="shared" si="48"/>
        <v>42240</v>
      </c>
      <c r="H527" s="7" t="str">
        <f t="shared" si="49"/>
        <v>17:12:46</v>
      </c>
      <c r="I527" s="8" t="str">
        <f t="shared" si="50"/>
        <v>Afternoon</v>
      </c>
      <c r="J527" t="s">
        <v>5391</v>
      </c>
      <c r="K527" t="s">
        <v>2370</v>
      </c>
      <c r="L527" s="3">
        <v>0</v>
      </c>
      <c r="M527" s="3">
        <v>0</v>
      </c>
      <c r="N527">
        <v>1</v>
      </c>
      <c r="O527" s="4">
        <f t="shared" si="51"/>
        <v>1</v>
      </c>
      <c r="P527" s="5" t="str">
        <f t="shared" si="52"/>
        <v>Low engagement</v>
      </c>
      <c r="Q527" t="b">
        <v>0</v>
      </c>
      <c r="R527" t="b">
        <v>0</v>
      </c>
      <c r="S527" t="b">
        <v>0</v>
      </c>
      <c r="T527" s="24" t="str">
        <f t="shared" si="53"/>
        <v>Text only</v>
      </c>
    </row>
    <row r="528" spans="1:20" hidden="1" x14ac:dyDescent="0.2">
      <c r="A528" t="s">
        <v>5383</v>
      </c>
      <c r="B528" t="s">
        <v>2365</v>
      </c>
      <c r="C528" t="s">
        <v>2366</v>
      </c>
      <c r="D528" t="s">
        <v>5384</v>
      </c>
      <c r="E528" t="s">
        <v>5385</v>
      </c>
      <c r="F528" t="str">
        <f>IF(Table2[[#This Row],[Date posted]]&lt; DATE(2015,9,18),"Before Crisis","During Crisis")</f>
        <v>Before Crisis</v>
      </c>
      <c r="G528" s="27">
        <f t="shared" si="48"/>
        <v>42240</v>
      </c>
      <c r="H528" s="7" t="str">
        <f t="shared" si="49"/>
        <v>17:12:47</v>
      </c>
      <c r="I528" s="8" t="str">
        <f t="shared" si="50"/>
        <v>Afternoon</v>
      </c>
      <c r="J528" t="s">
        <v>5386</v>
      </c>
      <c r="K528" t="s">
        <v>2370</v>
      </c>
      <c r="L528" s="3">
        <v>0</v>
      </c>
      <c r="M528" s="3">
        <v>0</v>
      </c>
      <c r="N528">
        <v>1</v>
      </c>
      <c r="O528" s="4">
        <f t="shared" si="51"/>
        <v>1</v>
      </c>
      <c r="P528" s="5" t="str">
        <f t="shared" si="52"/>
        <v>Low engagement</v>
      </c>
      <c r="Q528" t="b">
        <v>0</v>
      </c>
      <c r="R528" t="b">
        <v>0</v>
      </c>
      <c r="S528" t="b">
        <v>1</v>
      </c>
      <c r="T528" s="24" t="str">
        <f t="shared" si="53"/>
        <v>Link</v>
      </c>
    </row>
    <row r="529" spans="1:20" hidden="1" x14ac:dyDescent="0.2">
      <c r="A529" t="s">
        <v>5389</v>
      </c>
      <c r="B529" t="s">
        <v>2365</v>
      </c>
      <c r="C529" t="s">
        <v>2366</v>
      </c>
      <c r="D529" t="s">
        <v>5390</v>
      </c>
      <c r="E529" t="s">
        <v>5385</v>
      </c>
      <c r="F529" t="str">
        <f>IF(Table2[[#This Row],[Date posted]]&lt; DATE(2015,9,18),"Before Crisis","During Crisis")</f>
        <v>Before Crisis</v>
      </c>
      <c r="G529" s="27">
        <f t="shared" si="48"/>
        <v>42240</v>
      </c>
      <c r="H529" s="7" t="str">
        <f t="shared" si="49"/>
        <v>17:12:47</v>
      </c>
      <c r="I529" s="8" t="str">
        <f t="shared" si="50"/>
        <v>Afternoon</v>
      </c>
      <c r="J529" t="s">
        <v>5391</v>
      </c>
      <c r="K529" t="s">
        <v>2370</v>
      </c>
      <c r="L529" s="3">
        <v>0</v>
      </c>
      <c r="M529" s="3">
        <v>0</v>
      </c>
      <c r="N529">
        <v>1</v>
      </c>
      <c r="O529" s="4">
        <f t="shared" si="51"/>
        <v>1</v>
      </c>
      <c r="P529" s="5" t="str">
        <f t="shared" si="52"/>
        <v>Low engagement</v>
      </c>
      <c r="Q529" t="b">
        <v>0</v>
      </c>
      <c r="R529" t="b">
        <v>0</v>
      </c>
      <c r="S529" t="b">
        <v>0</v>
      </c>
      <c r="T529" s="24" t="str">
        <f t="shared" si="53"/>
        <v>Text only</v>
      </c>
    </row>
    <row r="530" spans="1:20" hidden="1" x14ac:dyDescent="0.2">
      <c r="A530" t="s">
        <v>5371</v>
      </c>
      <c r="B530" t="s">
        <v>2365</v>
      </c>
      <c r="C530" t="s">
        <v>2366</v>
      </c>
      <c r="D530" t="s">
        <v>5372</v>
      </c>
      <c r="E530" t="s">
        <v>5373</v>
      </c>
      <c r="F530" t="str">
        <f>IF(Table2[[#This Row],[Date posted]]&lt; DATE(2015,9,18),"Before Crisis","During Crisis")</f>
        <v>Before Crisis</v>
      </c>
      <c r="G530" s="27">
        <f t="shared" si="48"/>
        <v>42241</v>
      </c>
      <c r="H530" s="7" t="str">
        <f t="shared" si="49"/>
        <v>11:56:27</v>
      </c>
      <c r="I530" s="8" t="str">
        <f t="shared" si="50"/>
        <v>Mid-day</v>
      </c>
      <c r="J530" t="s">
        <v>5374</v>
      </c>
      <c r="K530" t="s">
        <v>2370</v>
      </c>
      <c r="L530" s="3">
        <v>0</v>
      </c>
      <c r="M530" s="3">
        <v>0</v>
      </c>
      <c r="N530">
        <v>1</v>
      </c>
      <c r="O530" s="4">
        <f t="shared" si="51"/>
        <v>1</v>
      </c>
      <c r="P530" s="5" t="str">
        <f t="shared" si="52"/>
        <v>Low engagement</v>
      </c>
      <c r="Q530" t="b">
        <v>0</v>
      </c>
      <c r="R530" t="b">
        <v>0</v>
      </c>
      <c r="S530" t="b">
        <v>0</v>
      </c>
      <c r="T530" s="24" t="str">
        <f t="shared" si="53"/>
        <v>Text only</v>
      </c>
    </row>
    <row r="531" spans="1:20" hidden="1" x14ac:dyDescent="0.2">
      <c r="A531" t="s">
        <v>5375</v>
      </c>
      <c r="B531" t="s">
        <v>2365</v>
      </c>
      <c r="C531" t="s">
        <v>2366</v>
      </c>
      <c r="D531" t="s">
        <v>5376</v>
      </c>
      <c r="E531" t="s">
        <v>5373</v>
      </c>
      <c r="F531" t="str">
        <f>IF(Table2[[#This Row],[Date posted]]&lt; DATE(2015,9,18),"Before Crisis","During Crisis")</f>
        <v>Before Crisis</v>
      </c>
      <c r="G531" s="27">
        <f t="shared" si="48"/>
        <v>42241</v>
      </c>
      <c r="H531" s="7" t="str">
        <f t="shared" si="49"/>
        <v>11:56:27</v>
      </c>
      <c r="I531" s="8" t="str">
        <f t="shared" si="50"/>
        <v>Mid-day</v>
      </c>
      <c r="J531" t="s">
        <v>5374</v>
      </c>
      <c r="K531" t="s">
        <v>2370</v>
      </c>
      <c r="L531">
        <v>2</v>
      </c>
      <c r="M531" s="3">
        <v>0</v>
      </c>
      <c r="N531">
        <v>1</v>
      </c>
      <c r="O531" s="4">
        <f t="shared" si="51"/>
        <v>3</v>
      </c>
      <c r="P531" s="5" t="str">
        <f t="shared" si="52"/>
        <v>Low engagement</v>
      </c>
      <c r="Q531" t="b">
        <v>0</v>
      </c>
      <c r="R531" t="b">
        <v>0</v>
      </c>
      <c r="S531" t="b">
        <v>0</v>
      </c>
      <c r="T531" s="24" t="str">
        <f t="shared" si="53"/>
        <v>Text only</v>
      </c>
    </row>
    <row r="532" spans="1:20" hidden="1" x14ac:dyDescent="0.2">
      <c r="A532" t="s">
        <v>5358</v>
      </c>
      <c r="B532" t="s">
        <v>2365</v>
      </c>
      <c r="C532" t="s">
        <v>2366</v>
      </c>
      <c r="D532" t="s">
        <v>5359</v>
      </c>
      <c r="E532" t="s">
        <v>5360</v>
      </c>
      <c r="F532" t="str">
        <f>IF(Table2[[#This Row],[Date posted]]&lt; DATE(2015,9,18),"Before Crisis","During Crisis")</f>
        <v>Before Crisis</v>
      </c>
      <c r="G532" s="27">
        <f t="shared" si="48"/>
        <v>42241</v>
      </c>
      <c r="H532" s="7" t="str">
        <f t="shared" si="49"/>
        <v>17:54:42</v>
      </c>
      <c r="I532" s="8" t="str">
        <f t="shared" si="50"/>
        <v>Afternoon</v>
      </c>
      <c r="J532" t="s">
        <v>2370</v>
      </c>
      <c r="K532" t="s">
        <v>2370</v>
      </c>
      <c r="L532" s="3">
        <v>0</v>
      </c>
      <c r="M532" s="3">
        <v>0</v>
      </c>
      <c r="N532">
        <v>1</v>
      </c>
      <c r="O532" s="4">
        <f t="shared" si="51"/>
        <v>1</v>
      </c>
      <c r="P532" s="5" t="str">
        <f t="shared" si="52"/>
        <v>Low engagement</v>
      </c>
      <c r="Q532" t="b">
        <v>0</v>
      </c>
      <c r="R532" t="b">
        <v>0</v>
      </c>
      <c r="S532" t="b">
        <v>0</v>
      </c>
      <c r="T532" s="24" t="str">
        <f t="shared" si="53"/>
        <v>Text only</v>
      </c>
    </row>
    <row r="533" spans="1:20" hidden="1" x14ac:dyDescent="0.2">
      <c r="A533" t="s">
        <v>5361</v>
      </c>
      <c r="B533" t="s">
        <v>2365</v>
      </c>
      <c r="C533" t="s">
        <v>2366</v>
      </c>
      <c r="D533" t="s">
        <v>5362</v>
      </c>
      <c r="E533" t="s">
        <v>5360</v>
      </c>
      <c r="F533" t="str">
        <f>IF(Table2[[#This Row],[Date posted]]&lt; DATE(2015,9,18),"Before Crisis","During Crisis")</f>
        <v>Before Crisis</v>
      </c>
      <c r="G533" s="27">
        <f t="shared" si="48"/>
        <v>42241</v>
      </c>
      <c r="H533" s="7" t="str">
        <f t="shared" si="49"/>
        <v>17:54:42</v>
      </c>
      <c r="I533" s="8" t="str">
        <f t="shared" si="50"/>
        <v>Afternoon</v>
      </c>
      <c r="J533" t="s">
        <v>2370</v>
      </c>
      <c r="K533" t="s">
        <v>2370</v>
      </c>
      <c r="L533" s="3">
        <v>0</v>
      </c>
      <c r="M533" s="3">
        <v>0</v>
      </c>
      <c r="N533">
        <v>1</v>
      </c>
      <c r="O533" s="4">
        <f t="shared" si="51"/>
        <v>1</v>
      </c>
      <c r="P533" s="5" t="str">
        <f t="shared" si="52"/>
        <v>Low engagement</v>
      </c>
      <c r="Q533" t="b">
        <v>0</v>
      </c>
      <c r="R533" t="b">
        <v>0</v>
      </c>
      <c r="S533" t="b">
        <v>0</v>
      </c>
      <c r="T533" s="24" t="str">
        <f t="shared" si="53"/>
        <v>Text only</v>
      </c>
    </row>
    <row r="534" spans="1:20" hidden="1" x14ac:dyDescent="0.2">
      <c r="A534" t="s">
        <v>5354</v>
      </c>
      <c r="B534" t="s">
        <v>2365</v>
      </c>
      <c r="C534" t="s">
        <v>2366</v>
      </c>
      <c r="D534" t="s">
        <v>5355</v>
      </c>
      <c r="E534" t="s">
        <v>5356</v>
      </c>
      <c r="F534" t="str">
        <f>IF(Table2[[#This Row],[Date posted]]&lt; DATE(2015,9,18),"Before Crisis","During Crisis")</f>
        <v>Before Crisis</v>
      </c>
      <c r="G534" s="27">
        <f t="shared" si="48"/>
        <v>42241</v>
      </c>
      <c r="H534" s="7" t="str">
        <f t="shared" si="49"/>
        <v>17:54:43</v>
      </c>
      <c r="I534" s="8" t="str">
        <f t="shared" si="50"/>
        <v>Afternoon</v>
      </c>
      <c r="J534" t="s">
        <v>5357</v>
      </c>
      <c r="K534" t="s">
        <v>2370</v>
      </c>
      <c r="L534" s="3">
        <v>0</v>
      </c>
      <c r="M534" s="3">
        <v>0</v>
      </c>
      <c r="N534">
        <v>1</v>
      </c>
      <c r="O534" s="4">
        <f t="shared" si="51"/>
        <v>1</v>
      </c>
      <c r="P534" s="5" t="str">
        <f t="shared" si="52"/>
        <v>Low engagement</v>
      </c>
      <c r="Q534" t="b">
        <v>0</v>
      </c>
      <c r="R534" t="b">
        <v>0</v>
      </c>
      <c r="S534" t="b">
        <v>0</v>
      </c>
      <c r="T534" s="24" t="str">
        <f t="shared" si="53"/>
        <v>Text only</v>
      </c>
    </row>
    <row r="535" spans="1:20" hidden="1" x14ac:dyDescent="0.2">
      <c r="A535" t="s">
        <v>5350</v>
      </c>
      <c r="B535" t="s">
        <v>2365</v>
      </c>
      <c r="C535" t="s">
        <v>2366</v>
      </c>
      <c r="D535" t="s">
        <v>5351</v>
      </c>
      <c r="E535" t="s">
        <v>5352</v>
      </c>
      <c r="F535" t="str">
        <f>IF(Table2[[#This Row],[Date posted]]&lt; DATE(2015,9,18),"Before Crisis","During Crisis")</f>
        <v>Before Crisis</v>
      </c>
      <c r="G535" s="27">
        <f t="shared" si="48"/>
        <v>42241</v>
      </c>
      <c r="H535" s="7" t="str">
        <f t="shared" si="49"/>
        <v>19:48:32</v>
      </c>
      <c r="I535" s="8" t="str">
        <f t="shared" si="50"/>
        <v>Evening</v>
      </c>
      <c r="J535" t="s">
        <v>5353</v>
      </c>
      <c r="K535" t="s">
        <v>2370</v>
      </c>
      <c r="L535" s="3">
        <v>0</v>
      </c>
      <c r="M535">
        <v>1</v>
      </c>
      <c r="N535">
        <v>1</v>
      </c>
      <c r="O535" s="4">
        <f t="shared" si="51"/>
        <v>2</v>
      </c>
      <c r="P535" s="5" t="str">
        <f t="shared" si="52"/>
        <v>Low engagement</v>
      </c>
      <c r="Q535" t="b">
        <v>0</v>
      </c>
      <c r="R535" t="b">
        <v>0</v>
      </c>
      <c r="S535" t="b">
        <v>1</v>
      </c>
      <c r="T535" s="24" t="str">
        <f t="shared" si="53"/>
        <v>Link</v>
      </c>
    </row>
    <row r="536" spans="1:20" hidden="1" x14ac:dyDescent="0.2">
      <c r="A536" t="s">
        <v>5346</v>
      </c>
      <c r="B536" t="s">
        <v>2365</v>
      </c>
      <c r="C536" t="s">
        <v>2366</v>
      </c>
      <c r="D536" t="s">
        <v>5347</v>
      </c>
      <c r="E536" t="s">
        <v>5348</v>
      </c>
      <c r="F536" t="str">
        <f>IF(Table2[[#This Row],[Date posted]]&lt; DATE(2015,9,18),"Before Crisis","During Crisis")</f>
        <v>Before Crisis</v>
      </c>
      <c r="G536" s="27">
        <f t="shared" si="48"/>
        <v>42241</v>
      </c>
      <c r="H536" s="7" t="str">
        <f t="shared" si="49"/>
        <v>21:42:14</v>
      </c>
      <c r="I536" s="8" t="str">
        <f t="shared" si="50"/>
        <v>Evening</v>
      </c>
      <c r="J536" t="s">
        <v>5349</v>
      </c>
      <c r="K536" t="s">
        <v>2370</v>
      </c>
      <c r="L536" s="3">
        <v>0</v>
      </c>
      <c r="M536">
        <v>1</v>
      </c>
      <c r="N536">
        <v>1</v>
      </c>
      <c r="O536" s="4">
        <f t="shared" si="51"/>
        <v>2</v>
      </c>
      <c r="P536" s="5" t="str">
        <f t="shared" si="52"/>
        <v>Low engagement</v>
      </c>
      <c r="Q536" t="b">
        <v>0</v>
      </c>
      <c r="R536" t="b">
        <v>0</v>
      </c>
      <c r="S536" t="b">
        <v>1</v>
      </c>
      <c r="T536" s="24" t="str">
        <f t="shared" si="53"/>
        <v>Link</v>
      </c>
    </row>
    <row r="537" spans="1:20" hidden="1" x14ac:dyDescent="0.2">
      <c r="A537" t="s">
        <v>5342</v>
      </c>
      <c r="B537" t="s">
        <v>2365</v>
      </c>
      <c r="C537" t="s">
        <v>2366</v>
      </c>
      <c r="D537" t="s">
        <v>5343</v>
      </c>
      <c r="E537" t="s">
        <v>5344</v>
      </c>
      <c r="F537" t="str">
        <f>IF(Table2[[#This Row],[Date posted]]&lt; DATE(2015,9,18),"Before Crisis","During Crisis")</f>
        <v>Before Crisis</v>
      </c>
      <c r="G537" s="27">
        <f t="shared" si="48"/>
        <v>42241</v>
      </c>
      <c r="H537" s="7" t="str">
        <f t="shared" si="49"/>
        <v>22:09:07</v>
      </c>
      <c r="I537" s="8" t="str">
        <f t="shared" si="50"/>
        <v>Evening</v>
      </c>
      <c r="J537" t="s">
        <v>5345</v>
      </c>
      <c r="K537" t="s">
        <v>2370</v>
      </c>
      <c r="L537" s="3">
        <v>0</v>
      </c>
      <c r="M537">
        <v>1</v>
      </c>
      <c r="N537">
        <v>1</v>
      </c>
      <c r="O537" s="4">
        <f t="shared" si="51"/>
        <v>2</v>
      </c>
      <c r="P537" s="5" t="str">
        <f t="shared" si="52"/>
        <v>Low engagement</v>
      </c>
      <c r="Q537" t="b">
        <v>0</v>
      </c>
      <c r="R537" t="b">
        <v>0</v>
      </c>
      <c r="S537" t="b">
        <v>0</v>
      </c>
      <c r="T537" s="24" t="str">
        <f t="shared" si="53"/>
        <v>Text only</v>
      </c>
    </row>
    <row r="538" spans="1:20" hidden="1" x14ac:dyDescent="0.2">
      <c r="A538" t="s">
        <v>5338</v>
      </c>
      <c r="B538" t="s">
        <v>2365</v>
      </c>
      <c r="C538" t="s">
        <v>2366</v>
      </c>
      <c r="D538" t="s">
        <v>5339</v>
      </c>
      <c r="E538" t="s">
        <v>5340</v>
      </c>
      <c r="F538" t="str">
        <f>IF(Table2[[#This Row],[Date posted]]&lt; DATE(2015,9,18),"Before Crisis","During Crisis")</f>
        <v>Before Crisis</v>
      </c>
      <c r="G538" s="27">
        <f t="shared" si="48"/>
        <v>42242</v>
      </c>
      <c r="H538" s="7" t="str">
        <f t="shared" si="49"/>
        <v>12:09:22</v>
      </c>
      <c r="I538" s="8" t="str">
        <f t="shared" si="50"/>
        <v>Mid-day</v>
      </c>
      <c r="J538" t="s">
        <v>5341</v>
      </c>
      <c r="K538" t="s">
        <v>2370</v>
      </c>
      <c r="L538" s="3">
        <v>0</v>
      </c>
      <c r="M538">
        <v>1</v>
      </c>
      <c r="N538">
        <v>1</v>
      </c>
      <c r="O538" s="4">
        <f t="shared" si="51"/>
        <v>2</v>
      </c>
      <c r="P538" s="5" t="str">
        <f t="shared" si="52"/>
        <v>Low engagement</v>
      </c>
      <c r="Q538" t="b">
        <v>0</v>
      </c>
      <c r="R538" t="b">
        <v>0</v>
      </c>
      <c r="S538" t="b">
        <v>0</v>
      </c>
      <c r="T538" s="24" t="str">
        <f t="shared" si="53"/>
        <v>Text only</v>
      </c>
    </row>
    <row r="539" spans="1:20" hidden="1" x14ac:dyDescent="0.2">
      <c r="A539" t="s">
        <v>5331</v>
      </c>
      <c r="B539" t="s">
        <v>2365</v>
      </c>
      <c r="C539" t="s">
        <v>2366</v>
      </c>
      <c r="D539" t="s">
        <v>5332</v>
      </c>
      <c r="E539" t="s">
        <v>5333</v>
      </c>
      <c r="F539" t="str">
        <f>IF(Table2[[#This Row],[Date posted]]&lt; DATE(2015,9,18),"Before Crisis","During Crisis")</f>
        <v>Before Crisis</v>
      </c>
      <c r="G539" s="27">
        <f t="shared" si="48"/>
        <v>42242</v>
      </c>
      <c r="H539" s="7" t="str">
        <f t="shared" si="49"/>
        <v>18:34:02</v>
      </c>
      <c r="I539" s="8" t="str">
        <f t="shared" si="50"/>
        <v>Evening</v>
      </c>
      <c r="J539" t="s">
        <v>5303</v>
      </c>
      <c r="K539" t="s">
        <v>2370</v>
      </c>
      <c r="L539" s="3">
        <v>0</v>
      </c>
      <c r="M539">
        <v>1</v>
      </c>
      <c r="N539">
        <v>1</v>
      </c>
      <c r="O539" s="4">
        <f t="shared" si="51"/>
        <v>2</v>
      </c>
      <c r="P539" s="5" t="str">
        <f t="shared" si="52"/>
        <v>Low engagement</v>
      </c>
      <c r="Q539" t="b">
        <v>0</v>
      </c>
      <c r="R539" t="b">
        <v>0</v>
      </c>
      <c r="S539" t="b">
        <v>0</v>
      </c>
      <c r="T539" s="24" t="str">
        <f t="shared" si="53"/>
        <v>Text only</v>
      </c>
    </row>
    <row r="540" spans="1:20" hidden="1" x14ac:dyDescent="0.2">
      <c r="A540" t="s">
        <v>5328</v>
      </c>
      <c r="B540" t="s">
        <v>2365</v>
      </c>
      <c r="C540" t="s">
        <v>2366</v>
      </c>
      <c r="D540" t="s">
        <v>5329</v>
      </c>
      <c r="E540" t="s">
        <v>5330</v>
      </c>
      <c r="F540" t="str">
        <f>IF(Table2[[#This Row],[Date posted]]&lt; DATE(2015,9,18),"Before Crisis","During Crisis")</f>
        <v>Before Crisis</v>
      </c>
      <c r="G540" s="27">
        <f t="shared" si="48"/>
        <v>42242</v>
      </c>
      <c r="H540" s="7" t="str">
        <f t="shared" si="49"/>
        <v>20:45:41</v>
      </c>
      <c r="I540" s="8" t="str">
        <f t="shared" si="50"/>
        <v>Evening</v>
      </c>
      <c r="J540" t="s">
        <v>5327</v>
      </c>
      <c r="K540" t="s">
        <v>2370</v>
      </c>
      <c r="L540" s="3">
        <v>0</v>
      </c>
      <c r="M540">
        <v>4</v>
      </c>
      <c r="N540">
        <v>1</v>
      </c>
      <c r="O540" s="4">
        <f t="shared" si="51"/>
        <v>5</v>
      </c>
      <c r="P540" s="5" t="str">
        <f t="shared" si="52"/>
        <v>Moderate engagement</v>
      </c>
      <c r="Q540" t="b">
        <v>0</v>
      </c>
      <c r="R540" t="b">
        <v>0</v>
      </c>
      <c r="S540" t="b">
        <v>0</v>
      </c>
      <c r="T540" s="24" t="str">
        <f t="shared" si="53"/>
        <v>Text only</v>
      </c>
    </row>
    <row r="541" spans="1:20" hidden="1" x14ac:dyDescent="0.2">
      <c r="A541" t="s">
        <v>5321</v>
      </c>
      <c r="B541" t="s">
        <v>2365</v>
      </c>
      <c r="C541" t="s">
        <v>2366</v>
      </c>
      <c r="D541" t="s">
        <v>5322</v>
      </c>
      <c r="E541" t="s">
        <v>5323</v>
      </c>
      <c r="F541" t="str">
        <f>IF(Table2[[#This Row],[Date posted]]&lt; DATE(2015,9,18),"Before Crisis","During Crisis")</f>
        <v>Before Crisis</v>
      </c>
      <c r="G541" s="27">
        <f t="shared" si="48"/>
        <v>42243</v>
      </c>
      <c r="H541" s="7" t="str">
        <f t="shared" si="49"/>
        <v>12:10:03</v>
      </c>
      <c r="I541" s="8" t="str">
        <f t="shared" si="50"/>
        <v>Mid-day</v>
      </c>
      <c r="J541" t="s">
        <v>5290</v>
      </c>
      <c r="K541" t="s">
        <v>2370</v>
      </c>
      <c r="L541" s="3">
        <v>0</v>
      </c>
      <c r="M541" s="3">
        <v>0</v>
      </c>
      <c r="N541">
        <v>1</v>
      </c>
      <c r="O541" s="4">
        <f t="shared" si="51"/>
        <v>1</v>
      </c>
      <c r="P541" s="5" t="str">
        <f t="shared" si="52"/>
        <v>Low engagement</v>
      </c>
      <c r="Q541" t="b">
        <v>0</v>
      </c>
      <c r="R541" t="b">
        <v>0</v>
      </c>
      <c r="S541" t="b">
        <v>0</v>
      </c>
      <c r="T541" s="24" t="str">
        <f t="shared" si="53"/>
        <v>Text only</v>
      </c>
    </row>
    <row r="542" spans="1:20" hidden="1" x14ac:dyDescent="0.2">
      <c r="A542" t="s">
        <v>5300</v>
      </c>
      <c r="B542" t="s">
        <v>2365</v>
      </c>
      <c r="C542" t="s">
        <v>2366</v>
      </c>
      <c r="D542" t="s">
        <v>5301</v>
      </c>
      <c r="E542" t="s">
        <v>5302</v>
      </c>
      <c r="F542" t="str">
        <f>IF(Table2[[#This Row],[Date posted]]&lt; DATE(2015,9,18),"Before Crisis","During Crisis")</f>
        <v>Before Crisis</v>
      </c>
      <c r="G542" s="27">
        <f t="shared" si="48"/>
        <v>42243</v>
      </c>
      <c r="H542" s="7" t="str">
        <f t="shared" si="49"/>
        <v>23:22:05</v>
      </c>
      <c r="I542" s="8" t="str">
        <f t="shared" si="50"/>
        <v>Evening</v>
      </c>
      <c r="J542" t="s">
        <v>5303</v>
      </c>
      <c r="K542" t="s">
        <v>2370</v>
      </c>
      <c r="L542" s="3">
        <v>0</v>
      </c>
      <c r="M542" s="3">
        <v>0</v>
      </c>
      <c r="N542">
        <v>1</v>
      </c>
      <c r="O542" s="4">
        <f t="shared" si="51"/>
        <v>1</v>
      </c>
      <c r="P542" s="5" t="str">
        <f t="shared" si="52"/>
        <v>Low engagement</v>
      </c>
      <c r="Q542" t="b">
        <v>0</v>
      </c>
      <c r="R542" t="b">
        <v>0</v>
      </c>
      <c r="S542" t="b">
        <v>0</v>
      </c>
      <c r="T542" s="24" t="str">
        <f t="shared" si="53"/>
        <v>Text only</v>
      </c>
    </row>
    <row r="543" spans="1:20" hidden="1" x14ac:dyDescent="0.2">
      <c r="A543" t="s">
        <v>5296</v>
      </c>
      <c r="B543" t="s">
        <v>2365</v>
      </c>
      <c r="C543" t="s">
        <v>2366</v>
      </c>
      <c r="D543" t="s">
        <v>5297</v>
      </c>
      <c r="E543" t="s">
        <v>5298</v>
      </c>
      <c r="F543" t="str">
        <f>IF(Table2[[#This Row],[Date posted]]&lt; DATE(2015,9,18),"Before Crisis","During Crisis")</f>
        <v>Before Crisis</v>
      </c>
      <c r="G543" s="27">
        <f t="shared" si="48"/>
        <v>42244</v>
      </c>
      <c r="H543" s="7" t="str">
        <f t="shared" si="49"/>
        <v>12:09:09</v>
      </c>
      <c r="I543" s="8" t="str">
        <f t="shared" si="50"/>
        <v>Mid-day</v>
      </c>
      <c r="J543" t="s">
        <v>5299</v>
      </c>
      <c r="K543" t="s">
        <v>2370</v>
      </c>
      <c r="L543" s="3">
        <v>0</v>
      </c>
      <c r="M543" s="3">
        <v>0</v>
      </c>
      <c r="N543">
        <v>1</v>
      </c>
      <c r="O543" s="4">
        <f t="shared" si="51"/>
        <v>1</v>
      </c>
      <c r="P543" s="5" t="str">
        <f t="shared" si="52"/>
        <v>Low engagement</v>
      </c>
      <c r="Q543" t="b">
        <v>0</v>
      </c>
      <c r="R543" t="b">
        <v>0</v>
      </c>
      <c r="S543" t="b">
        <v>0</v>
      </c>
      <c r="T543" s="24" t="str">
        <f t="shared" si="53"/>
        <v>Text only</v>
      </c>
    </row>
    <row r="544" spans="1:20" hidden="1" x14ac:dyDescent="0.2">
      <c r="A544" t="s">
        <v>5291</v>
      </c>
      <c r="B544" t="s">
        <v>2365</v>
      </c>
      <c r="C544" t="s">
        <v>2366</v>
      </c>
      <c r="D544" t="s">
        <v>5292</v>
      </c>
      <c r="E544" t="s">
        <v>5293</v>
      </c>
      <c r="F544" t="str">
        <f>IF(Table2[[#This Row],[Date posted]]&lt; DATE(2015,9,18),"Before Crisis","During Crisis")</f>
        <v>Before Crisis</v>
      </c>
      <c r="G544" s="27">
        <f t="shared" si="48"/>
        <v>42244</v>
      </c>
      <c r="H544" s="7" t="str">
        <f t="shared" si="49"/>
        <v>12:09:10</v>
      </c>
      <c r="I544" s="8" t="str">
        <f t="shared" si="50"/>
        <v>Mid-day</v>
      </c>
      <c r="J544" t="s">
        <v>2370</v>
      </c>
      <c r="K544" t="s">
        <v>2370</v>
      </c>
      <c r="L544" s="3">
        <v>0</v>
      </c>
      <c r="M544" s="3">
        <v>0</v>
      </c>
      <c r="N544">
        <v>1</v>
      </c>
      <c r="O544" s="4">
        <f t="shared" si="51"/>
        <v>1</v>
      </c>
      <c r="P544" s="5" t="str">
        <f t="shared" si="52"/>
        <v>Low engagement</v>
      </c>
      <c r="Q544" t="b">
        <v>0</v>
      </c>
      <c r="R544" t="b">
        <v>0</v>
      </c>
      <c r="S544" t="b">
        <v>1</v>
      </c>
      <c r="T544" s="24" t="str">
        <f t="shared" si="53"/>
        <v>Link</v>
      </c>
    </row>
    <row r="545" spans="1:20" hidden="1" x14ac:dyDescent="0.2">
      <c r="A545" t="s">
        <v>5287</v>
      </c>
      <c r="B545" t="s">
        <v>2365</v>
      </c>
      <c r="C545" t="s">
        <v>2366</v>
      </c>
      <c r="D545" t="s">
        <v>5288</v>
      </c>
      <c r="E545" t="s">
        <v>5289</v>
      </c>
      <c r="F545" t="str">
        <f>IF(Table2[[#This Row],[Date posted]]&lt; DATE(2015,9,18),"Before Crisis","During Crisis")</f>
        <v>Before Crisis</v>
      </c>
      <c r="G545" s="27">
        <f t="shared" si="48"/>
        <v>42244</v>
      </c>
      <c r="H545" s="7" t="str">
        <f t="shared" si="49"/>
        <v>12:18:01</v>
      </c>
      <c r="I545" s="8" t="str">
        <f t="shared" si="50"/>
        <v>Mid-day</v>
      </c>
      <c r="J545" t="s">
        <v>5290</v>
      </c>
      <c r="K545" t="s">
        <v>2370</v>
      </c>
      <c r="L545" s="3">
        <v>0</v>
      </c>
      <c r="M545" s="3">
        <v>0</v>
      </c>
      <c r="N545">
        <v>1</v>
      </c>
      <c r="O545" s="4">
        <f t="shared" si="51"/>
        <v>1</v>
      </c>
      <c r="P545" s="5" t="str">
        <f t="shared" si="52"/>
        <v>Low engagement</v>
      </c>
      <c r="Q545" t="b">
        <v>0</v>
      </c>
      <c r="R545" t="b">
        <v>0</v>
      </c>
      <c r="S545" t="b">
        <v>0</v>
      </c>
      <c r="T545" s="24" t="str">
        <f t="shared" si="53"/>
        <v>Text only</v>
      </c>
    </row>
    <row r="546" spans="1:20" hidden="1" x14ac:dyDescent="0.2">
      <c r="A546" t="s">
        <v>5283</v>
      </c>
      <c r="B546" t="s">
        <v>2365</v>
      </c>
      <c r="C546" t="s">
        <v>2366</v>
      </c>
      <c r="D546" t="s">
        <v>5284</v>
      </c>
      <c r="E546" t="s">
        <v>5285</v>
      </c>
      <c r="F546" t="str">
        <f>IF(Table2[[#This Row],[Date posted]]&lt; DATE(2015,9,18),"Before Crisis","During Crisis")</f>
        <v>Before Crisis</v>
      </c>
      <c r="G546" s="27">
        <f t="shared" si="48"/>
        <v>42244</v>
      </c>
      <c r="H546" s="7" t="str">
        <f t="shared" si="49"/>
        <v>19:18:11</v>
      </c>
      <c r="I546" s="8" t="str">
        <f t="shared" si="50"/>
        <v>Evening</v>
      </c>
      <c r="J546" t="s">
        <v>5286</v>
      </c>
      <c r="K546" t="s">
        <v>2370</v>
      </c>
      <c r="L546" s="3">
        <v>0</v>
      </c>
      <c r="M546" s="3">
        <v>0</v>
      </c>
      <c r="N546">
        <v>1</v>
      </c>
      <c r="O546" s="4">
        <f t="shared" si="51"/>
        <v>1</v>
      </c>
      <c r="P546" s="5" t="str">
        <f t="shared" si="52"/>
        <v>Low engagement</v>
      </c>
      <c r="Q546" t="b">
        <v>0</v>
      </c>
      <c r="R546" t="b">
        <v>0</v>
      </c>
      <c r="S546" t="b">
        <v>0</v>
      </c>
      <c r="T546" s="24" t="str">
        <f t="shared" si="53"/>
        <v>Text only</v>
      </c>
    </row>
    <row r="547" spans="1:20" hidden="1" x14ac:dyDescent="0.2">
      <c r="A547" t="s">
        <v>5274</v>
      </c>
      <c r="B547" t="s">
        <v>2365</v>
      </c>
      <c r="C547" t="s">
        <v>2366</v>
      </c>
      <c r="D547" t="s">
        <v>5275</v>
      </c>
      <c r="E547" t="s">
        <v>5276</v>
      </c>
      <c r="F547" t="str">
        <f>IF(Table2[[#This Row],[Date posted]]&lt; DATE(2015,9,18),"Before Crisis","During Crisis")</f>
        <v>Before Crisis</v>
      </c>
      <c r="G547" s="27">
        <f t="shared" si="48"/>
        <v>42244</v>
      </c>
      <c r="H547" s="7" t="str">
        <f t="shared" si="49"/>
        <v>19:18:12</v>
      </c>
      <c r="I547" s="8" t="str">
        <f t="shared" si="50"/>
        <v>Evening</v>
      </c>
      <c r="J547" t="s">
        <v>5277</v>
      </c>
      <c r="K547" t="s">
        <v>2370</v>
      </c>
      <c r="L547" s="3">
        <v>0</v>
      </c>
      <c r="M547" s="3">
        <v>0</v>
      </c>
      <c r="N547">
        <v>1</v>
      </c>
      <c r="O547" s="4">
        <f t="shared" si="51"/>
        <v>1</v>
      </c>
      <c r="P547" s="5" t="str">
        <f t="shared" si="52"/>
        <v>Low engagement</v>
      </c>
      <c r="Q547" t="b">
        <v>0</v>
      </c>
      <c r="R547" t="b">
        <v>0</v>
      </c>
      <c r="S547" t="b">
        <v>1</v>
      </c>
      <c r="T547" s="24" t="str">
        <f t="shared" si="53"/>
        <v>Link</v>
      </c>
    </row>
    <row r="548" spans="1:20" hidden="1" x14ac:dyDescent="0.2">
      <c r="A548" t="s">
        <v>5270</v>
      </c>
      <c r="B548" t="s">
        <v>2365</v>
      </c>
      <c r="C548" t="s">
        <v>2366</v>
      </c>
      <c r="D548" t="s">
        <v>5271</v>
      </c>
      <c r="E548" t="s">
        <v>5272</v>
      </c>
      <c r="F548" t="str">
        <f>IF(Table2[[#This Row],[Date posted]]&lt; DATE(2015,9,18),"Before Crisis","During Crisis")</f>
        <v>Before Crisis</v>
      </c>
      <c r="G548" s="27">
        <f t="shared" si="48"/>
        <v>42244</v>
      </c>
      <c r="H548" s="7" t="str">
        <f t="shared" si="49"/>
        <v>19:27:29</v>
      </c>
      <c r="I548" s="8" t="str">
        <f t="shared" si="50"/>
        <v>Evening</v>
      </c>
      <c r="J548" t="s">
        <v>5273</v>
      </c>
      <c r="K548" t="s">
        <v>2370</v>
      </c>
      <c r="L548" s="3">
        <v>0</v>
      </c>
      <c r="M548" s="3">
        <v>0</v>
      </c>
      <c r="N548">
        <v>1</v>
      </c>
      <c r="O548" s="4">
        <f t="shared" si="51"/>
        <v>1</v>
      </c>
      <c r="P548" s="5" t="str">
        <f t="shared" si="52"/>
        <v>Low engagement</v>
      </c>
      <c r="Q548" t="b">
        <v>0</v>
      </c>
      <c r="R548" t="b">
        <v>0</v>
      </c>
      <c r="S548" t="b">
        <v>0</v>
      </c>
      <c r="T548" s="24" t="str">
        <f t="shared" si="53"/>
        <v>Text only</v>
      </c>
    </row>
    <row r="549" spans="1:20" hidden="1" x14ac:dyDescent="0.2">
      <c r="A549" t="s">
        <v>5260</v>
      </c>
      <c r="B549" t="s">
        <v>2365</v>
      </c>
      <c r="C549" t="s">
        <v>2366</v>
      </c>
      <c r="D549" t="s">
        <v>5261</v>
      </c>
      <c r="E549" t="s">
        <v>5262</v>
      </c>
      <c r="F549" t="str">
        <f>IF(Table2[[#This Row],[Date posted]]&lt; DATE(2015,9,18),"Before Crisis","During Crisis")</f>
        <v>Before Crisis</v>
      </c>
      <c r="G549" s="27">
        <f t="shared" si="48"/>
        <v>42247</v>
      </c>
      <c r="H549" s="7" t="str">
        <f t="shared" si="49"/>
        <v>18:04:40</v>
      </c>
      <c r="I549" s="8" t="str">
        <f t="shared" si="50"/>
        <v>Evening</v>
      </c>
      <c r="J549" t="s">
        <v>5263</v>
      </c>
      <c r="K549" t="s">
        <v>2370</v>
      </c>
      <c r="L549" s="3">
        <v>0</v>
      </c>
      <c r="M549" s="3">
        <v>0</v>
      </c>
      <c r="N549">
        <v>1</v>
      </c>
      <c r="O549" s="4">
        <f t="shared" si="51"/>
        <v>1</v>
      </c>
      <c r="P549" s="5" t="str">
        <f t="shared" si="52"/>
        <v>Low engagement</v>
      </c>
      <c r="Q549" t="b">
        <v>0</v>
      </c>
      <c r="R549" t="b">
        <v>0</v>
      </c>
      <c r="S549" t="b">
        <v>1</v>
      </c>
      <c r="T549" s="24" t="str">
        <f t="shared" si="53"/>
        <v>Link</v>
      </c>
    </row>
    <row r="550" spans="1:20" hidden="1" x14ac:dyDescent="0.2">
      <c r="A550" t="s">
        <v>5264</v>
      </c>
      <c r="B550" t="s">
        <v>2365</v>
      </c>
      <c r="C550" t="s">
        <v>2366</v>
      </c>
      <c r="D550" t="s">
        <v>5265</v>
      </c>
      <c r="E550" t="s">
        <v>5262</v>
      </c>
      <c r="F550" t="str">
        <f>IF(Table2[[#This Row],[Date posted]]&lt; DATE(2015,9,18),"Before Crisis","During Crisis")</f>
        <v>Before Crisis</v>
      </c>
      <c r="G550" s="27">
        <f t="shared" si="48"/>
        <v>42247</v>
      </c>
      <c r="H550" s="7" t="str">
        <f t="shared" si="49"/>
        <v>18:04:40</v>
      </c>
      <c r="I550" s="8" t="str">
        <f t="shared" si="50"/>
        <v>Evening</v>
      </c>
      <c r="J550" t="s">
        <v>5263</v>
      </c>
      <c r="K550" t="s">
        <v>2370</v>
      </c>
      <c r="L550" s="3">
        <v>0</v>
      </c>
      <c r="M550" s="3">
        <v>0</v>
      </c>
      <c r="N550">
        <v>1</v>
      </c>
      <c r="O550" s="4">
        <f t="shared" si="51"/>
        <v>1</v>
      </c>
      <c r="P550" s="5" t="str">
        <f t="shared" si="52"/>
        <v>Low engagement</v>
      </c>
      <c r="Q550" t="b">
        <v>0</v>
      </c>
      <c r="R550" t="b">
        <v>0</v>
      </c>
      <c r="S550" t="b">
        <v>0</v>
      </c>
      <c r="T550" s="24" t="str">
        <f t="shared" si="53"/>
        <v>Text only</v>
      </c>
    </row>
    <row r="551" spans="1:20" hidden="1" x14ac:dyDescent="0.2">
      <c r="A551" t="s">
        <v>5252</v>
      </c>
      <c r="B551" t="s">
        <v>2365</v>
      </c>
      <c r="C551" t="s">
        <v>2366</v>
      </c>
      <c r="D551" t="s">
        <v>5253</v>
      </c>
      <c r="E551" t="s">
        <v>5254</v>
      </c>
      <c r="F551" t="str">
        <f>IF(Table2[[#This Row],[Date posted]]&lt; DATE(2015,9,18),"Before Crisis","During Crisis")</f>
        <v>Before Crisis</v>
      </c>
      <c r="G551" s="27">
        <f t="shared" si="48"/>
        <v>42247</v>
      </c>
      <c r="H551" s="7" t="str">
        <f t="shared" si="49"/>
        <v>19:06:25</v>
      </c>
      <c r="I551" s="8" t="str">
        <f t="shared" si="50"/>
        <v>Evening</v>
      </c>
      <c r="J551" t="s">
        <v>5255</v>
      </c>
      <c r="K551" t="s">
        <v>2370</v>
      </c>
      <c r="L551" s="3">
        <v>0</v>
      </c>
      <c r="M551" s="3">
        <v>0</v>
      </c>
      <c r="N551">
        <v>1</v>
      </c>
      <c r="O551" s="4">
        <f t="shared" si="51"/>
        <v>1</v>
      </c>
      <c r="P551" s="5" t="str">
        <f t="shared" si="52"/>
        <v>Low engagement</v>
      </c>
      <c r="Q551" t="b">
        <v>0</v>
      </c>
      <c r="R551" t="b">
        <v>0</v>
      </c>
      <c r="S551" t="b">
        <v>1</v>
      </c>
      <c r="T551" s="24" t="str">
        <f t="shared" si="53"/>
        <v>Link</v>
      </c>
    </row>
    <row r="552" spans="1:20" hidden="1" x14ac:dyDescent="0.2">
      <c r="A552" t="s">
        <v>5248</v>
      </c>
      <c r="B552" t="s">
        <v>2365</v>
      </c>
      <c r="C552" t="s">
        <v>2366</v>
      </c>
      <c r="D552" t="s">
        <v>5249</v>
      </c>
      <c r="E552" t="s">
        <v>5250</v>
      </c>
      <c r="F552" t="str">
        <f>IF(Table2[[#This Row],[Date posted]]&lt; DATE(2015,9,18),"Before Crisis","During Crisis")</f>
        <v>Before Crisis</v>
      </c>
      <c r="G552" s="27">
        <f t="shared" si="48"/>
        <v>42247</v>
      </c>
      <c r="H552" s="7" t="str">
        <f t="shared" si="49"/>
        <v>19:53:57</v>
      </c>
      <c r="I552" s="8" t="str">
        <f t="shared" si="50"/>
        <v>Evening</v>
      </c>
      <c r="J552" t="s">
        <v>5251</v>
      </c>
      <c r="K552" t="s">
        <v>2370</v>
      </c>
      <c r="L552" s="3">
        <v>0</v>
      </c>
      <c r="M552">
        <v>2</v>
      </c>
      <c r="N552">
        <v>1</v>
      </c>
      <c r="O552" s="4">
        <f t="shared" si="51"/>
        <v>3</v>
      </c>
      <c r="P552" s="5" t="str">
        <f t="shared" si="52"/>
        <v>Low engagement</v>
      </c>
      <c r="Q552" t="b">
        <v>0</v>
      </c>
      <c r="R552" t="b">
        <v>0</v>
      </c>
      <c r="S552" t="b">
        <v>1</v>
      </c>
      <c r="T552" s="24" t="str">
        <f t="shared" si="53"/>
        <v>Link</v>
      </c>
    </row>
    <row r="553" spans="1:20" hidden="1" x14ac:dyDescent="0.2">
      <c r="A553" t="s">
        <v>5244</v>
      </c>
      <c r="B553" t="s">
        <v>2365</v>
      </c>
      <c r="C553" t="s">
        <v>2366</v>
      </c>
      <c r="D553" t="s">
        <v>5245</v>
      </c>
      <c r="E553" t="s">
        <v>5246</v>
      </c>
      <c r="F553" t="str">
        <f>IF(Table2[[#This Row],[Date posted]]&lt; DATE(2015,9,18),"Before Crisis","During Crisis")</f>
        <v>Before Crisis</v>
      </c>
      <c r="G553" s="27">
        <f t="shared" si="48"/>
        <v>42247</v>
      </c>
      <c r="H553" s="7" t="str">
        <f t="shared" si="49"/>
        <v>20:05:01</v>
      </c>
      <c r="I553" s="8" t="str">
        <f t="shared" si="50"/>
        <v>Evening</v>
      </c>
      <c r="J553" t="s">
        <v>5247</v>
      </c>
      <c r="K553" t="s">
        <v>2370</v>
      </c>
      <c r="L553">
        <v>1</v>
      </c>
      <c r="M553">
        <v>1</v>
      </c>
      <c r="N553">
        <v>1</v>
      </c>
      <c r="O553" s="4">
        <f t="shared" si="51"/>
        <v>3</v>
      </c>
      <c r="P553" s="5" t="str">
        <f t="shared" si="52"/>
        <v>Low engagement</v>
      </c>
      <c r="Q553" t="b">
        <v>0</v>
      </c>
      <c r="R553" t="b">
        <v>0</v>
      </c>
      <c r="S553" t="b">
        <v>0</v>
      </c>
      <c r="T553" s="24" t="str">
        <f t="shared" si="53"/>
        <v>Text only</v>
      </c>
    </row>
    <row r="554" spans="1:20" hidden="1" x14ac:dyDescent="0.2">
      <c r="A554" t="s">
        <v>5238</v>
      </c>
      <c r="B554" t="s">
        <v>2365</v>
      </c>
      <c r="C554" t="s">
        <v>2366</v>
      </c>
      <c r="D554" t="s">
        <v>5239</v>
      </c>
      <c r="E554" t="s">
        <v>5240</v>
      </c>
      <c r="F554" t="str">
        <f>IF(Table2[[#This Row],[Date posted]]&lt; DATE(2015,9,18),"Before Crisis","During Crisis")</f>
        <v>Before Crisis</v>
      </c>
      <c r="G554" s="27">
        <f t="shared" si="48"/>
        <v>42247</v>
      </c>
      <c r="H554" s="7" t="str">
        <f t="shared" si="49"/>
        <v>20:18:26</v>
      </c>
      <c r="I554" s="8" t="str">
        <f t="shared" si="50"/>
        <v>Evening</v>
      </c>
      <c r="J554" t="s">
        <v>2370</v>
      </c>
      <c r="K554" t="s">
        <v>2370</v>
      </c>
      <c r="L554" s="3">
        <v>0</v>
      </c>
      <c r="M554" s="3">
        <v>0</v>
      </c>
      <c r="N554">
        <v>1</v>
      </c>
      <c r="O554" s="4">
        <f t="shared" si="51"/>
        <v>1</v>
      </c>
      <c r="P554" s="5" t="str">
        <f t="shared" si="52"/>
        <v>Low engagement</v>
      </c>
      <c r="Q554" t="b">
        <v>0</v>
      </c>
      <c r="R554" t="b">
        <v>0</v>
      </c>
      <c r="S554" t="b">
        <v>0</v>
      </c>
      <c r="T554" s="24" t="str">
        <f t="shared" si="53"/>
        <v>Text only</v>
      </c>
    </row>
    <row r="555" spans="1:20" hidden="1" x14ac:dyDescent="0.2">
      <c r="A555" t="s">
        <v>5241</v>
      </c>
      <c r="B555" t="s">
        <v>2365</v>
      </c>
      <c r="C555" t="s">
        <v>2366</v>
      </c>
      <c r="D555" t="s">
        <v>5242</v>
      </c>
      <c r="E555" t="s">
        <v>5240</v>
      </c>
      <c r="F555" t="str">
        <f>IF(Table2[[#This Row],[Date posted]]&lt; DATE(2015,9,18),"Before Crisis","During Crisis")</f>
        <v>Before Crisis</v>
      </c>
      <c r="G555" s="27">
        <f t="shared" si="48"/>
        <v>42247</v>
      </c>
      <c r="H555" s="7" t="str">
        <f t="shared" si="49"/>
        <v>20:18:26</v>
      </c>
      <c r="I555" s="8" t="str">
        <f t="shared" si="50"/>
        <v>Evening</v>
      </c>
      <c r="J555" t="s">
        <v>5243</v>
      </c>
      <c r="K555" t="s">
        <v>2370</v>
      </c>
      <c r="L555" s="3">
        <v>0</v>
      </c>
      <c r="M555" s="3">
        <v>0</v>
      </c>
      <c r="N555">
        <v>1</v>
      </c>
      <c r="O555" s="4">
        <f t="shared" si="51"/>
        <v>1</v>
      </c>
      <c r="P555" s="5" t="str">
        <f t="shared" si="52"/>
        <v>Low engagement</v>
      </c>
      <c r="Q555" t="b">
        <v>0</v>
      </c>
      <c r="R555" t="b">
        <v>0</v>
      </c>
      <c r="S555" t="b">
        <v>0</v>
      </c>
      <c r="T555" s="24" t="str">
        <f t="shared" si="53"/>
        <v>Text only</v>
      </c>
    </row>
    <row r="556" spans="1:20" hidden="1" x14ac:dyDescent="0.2">
      <c r="A556" t="s">
        <v>5234</v>
      </c>
      <c r="B556" t="s">
        <v>2365</v>
      </c>
      <c r="C556" t="s">
        <v>2366</v>
      </c>
      <c r="D556" t="s">
        <v>5235</v>
      </c>
      <c r="E556" t="s">
        <v>5236</v>
      </c>
      <c r="F556" t="str">
        <f>IF(Table2[[#This Row],[Date posted]]&lt; DATE(2015,9,18),"Before Crisis","During Crisis")</f>
        <v>Before Crisis</v>
      </c>
      <c r="G556" s="27">
        <f t="shared" si="48"/>
        <v>42247</v>
      </c>
      <c r="H556" s="7" t="str">
        <f t="shared" si="49"/>
        <v>20:18:27</v>
      </c>
      <c r="I556" s="8" t="str">
        <f t="shared" si="50"/>
        <v>Evening</v>
      </c>
      <c r="J556" t="s">
        <v>5237</v>
      </c>
      <c r="K556" t="s">
        <v>2370</v>
      </c>
      <c r="L556" s="3">
        <v>0</v>
      </c>
      <c r="M556" s="3">
        <v>0</v>
      </c>
      <c r="N556">
        <v>1</v>
      </c>
      <c r="O556" s="4">
        <f t="shared" si="51"/>
        <v>1</v>
      </c>
      <c r="P556" s="5" t="str">
        <f t="shared" si="52"/>
        <v>Low engagement</v>
      </c>
      <c r="Q556" t="b">
        <v>0</v>
      </c>
      <c r="R556" t="b">
        <v>0</v>
      </c>
      <c r="S556" t="b">
        <v>0</v>
      </c>
      <c r="T556" s="24" t="str">
        <f t="shared" si="53"/>
        <v>Text only</v>
      </c>
    </row>
    <row r="557" spans="1:20" hidden="1" x14ac:dyDescent="0.2">
      <c r="A557" t="s">
        <v>5229</v>
      </c>
      <c r="B557" t="s">
        <v>2365</v>
      </c>
      <c r="C557" t="s">
        <v>2366</v>
      </c>
      <c r="D557" t="s">
        <v>5230</v>
      </c>
      <c r="E557" t="s">
        <v>5228</v>
      </c>
      <c r="F557" t="str">
        <f>IF(Table2[[#This Row],[Date posted]]&lt; DATE(2015,9,18),"Before Crisis","During Crisis")</f>
        <v>Before Crisis</v>
      </c>
      <c r="G557" s="27">
        <f t="shared" si="48"/>
        <v>42247</v>
      </c>
      <c r="H557" s="7" t="str">
        <f t="shared" si="49"/>
        <v>22:46:52</v>
      </c>
      <c r="I557" s="8" t="str">
        <f t="shared" si="50"/>
        <v>Evening</v>
      </c>
      <c r="J557" t="s">
        <v>5231</v>
      </c>
      <c r="K557" t="s">
        <v>2370</v>
      </c>
      <c r="L557" s="3">
        <v>0</v>
      </c>
      <c r="M557" s="3">
        <v>0</v>
      </c>
      <c r="N557">
        <v>1</v>
      </c>
      <c r="O557" s="4">
        <f t="shared" si="51"/>
        <v>1</v>
      </c>
      <c r="P557" s="5" t="str">
        <f t="shared" si="52"/>
        <v>Low engagement</v>
      </c>
      <c r="Q557" t="b">
        <v>0</v>
      </c>
      <c r="R557" t="b">
        <v>0</v>
      </c>
      <c r="S557" t="b">
        <v>0</v>
      </c>
      <c r="T557" s="24" t="str">
        <f t="shared" si="53"/>
        <v>Text only</v>
      </c>
    </row>
    <row r="558" spans="1:20" hidden="1" x14ac:dyDescent="0.2">
      <c r="A558" t="s">
        <v>5223</v>
      </c>
      <c r="B558" t="s">
        <v>2365</v>
      </c>
      <c r="C558" t="s">
        <v>2366</v>
      </c>
      <c r="D558" t="s">
        <v>5224</v>
      </c>
      <c r="E558" t="s">
        <v>5225</v>
      </c>
      <c r="F558" t="str">
        <f>IF(Table2[[#This Row],[Date posted]]&lt; DATE(2015,9,18),"Before Crisis","During Crisis")</f>
        <v>Before Crisis</v>
      </c>
      <c r="G558" s="27">
        <f t="shared" si="48"/>
        <v>42247</v>
      </c>
      <c r="H558" s="7" t="str">
        <f t="shared" si="49"/>
        <v>22:46:53</v>
      </c>
      <c r="I558" s="8" t="str">
        <f t="shared" si="50"/>
        <v>Evening</v>
      </c>
      <c r="J558" t="s">
        <v>5195</v>
      </c>
      <c r="K558" t="s">
        <v>2370</v>
      </c>
      <c r="L558" s="3">
        <v>0</v>
      </c>
      <c r="M558" s="3">
        <v>0</v>
      </c>
      <c r="N558">
        <v>1</v>
      </c>
      <c r="O558" s="4">
        <f t="shared" si="51"/>
        <v>1</v>
      </c>
      <c r="P558" s="5" t="str">
        <f t="shared" si="52"/>
        <v>Low engagement</v>
      </c>
      <c r="Q558" t="b">
        <v>0</v>
      </c>
      <c r="R558" t="b">
        <v>0</v>
      </c>
      <c r="S558" t="b">
        <v>1</v>
      </c>
      <c r="T558" s="24" t="str">
        <f t="shared" si="53"/>
        <v>Link</v>
      </c>
    </row>
    <row r="559" spans="1:20" hidden="1" x14ac:dyDescent="0.2">
      <c r="A559" t="s">
        <v>5219</v>
      </c>
      <c r="B559" t="s">
        <v>2365</v>
      </c>
      <c r="C559" t="s">
        <v>2366</v>
      </c>
      <c r="D559" t="s">
        <v>5220</v>
      </c>
      <c r="E559" t="s">
        <v>5221</v>
      </c>
      <c r="F559" t="str">
        <f>IF(Table2[[#This Row],[Date posted]]&lt; DATE(2015,9,18),"Before Crisis","During Crisis")</f>
        <v>Before Crisis</v>
      </c>
      <c r="G559" s="27">
        <f t="shared" si="48"/>
        <v>42248</v>
      </c>
      <c r="H559" s="7" t="str">
        <f t="shared" si="49"/>
        <v>12:33:42</v>
      </c>
      <c r="I559" s="8" t="str">
        <f t="shared" si="50"/>
        <v>Mid-day</v>
      </c>
      <c r="J559" t="s">
        <v>5222</v>
      </c>
      <c r="K559" t="s">
        <v>2370</v>
      </c>
      <c r="L559" s="3">
        <v>0</v>
      </c>
      <c r="M559">
        <v>3</v>
      </c>
      <c r="N559">
        <v>1</v>
      </c>
      <c r="O559" s="4">
        <f t="shared" si="51"/>
        <v>4</v>
      </c>
      <c r="P559" s="5" t="str">
        <f t="shared" si="52"/>
        <v>Low engagement</v>
      </c>
      <c r="Q559" t="b">
        <v>0</v>
      </c>
      <c r="R559" t="b">
        <v>0</v>
      </c>
      <c r="S559" t="b">
        <v>0</v>
      </c>
      <c r="T559" s="24" t="str">
        <f t="shared" si="53"/>
        <v>Text only</v>
      </c>
    </row>
    <row r="560" spans="1:20" hidden="1" x14ac:dyDescent="0.2">
      <c r="A560" t="s">
        <v>5216</v>
      </c>
      <c r="B560" t="s">
        <v>2365</v>
      </c>
      <c r="C560" t="s">
        <v>2366</v>
      </c>
      <c r="D560" t="s">
        <v>5217</v>
      </c>
      <c r="E560" t="s">
        <v>5215</v>
      </c>
      <c r="F560" t="str">
        <f>IF(Table2[[#This Row],[Date posted]]&lt; DATE(2015,9,18),"Before Crisis","During Crisis")</f>
        <v>Before Crisis</v>
      </c>
      <c r="G560" s="27">
        <f t="shared" si="48"/>
        <v>42248</v>
      </c>
      <c r="H560" s="7" t="str">
        <f t="shared" si="49"/>
        <v>16:12:41</v>
      </c>
      <c r="I560" s="8" t="str">
        <f t="shared" si="50"/>
        <v>Afternoon</v>
      </c>
      <c r="J560" t="s">
        <v>5218</v>
      </c>
      <c r="K560" t="s">
        <v>2370</v>
      </c>
      <c r="L560" s="3">
        <v>0</v>
      </c>
      <c r="M560" s="3">
        <v>0</v>
      </c>
      <c r="N560">
        <v>1</v>
      </c>
      <c r="O560" s="4">
        <f t="shared" si="51"/>
        <v>1</v>
      </c>
      <c r="P560" s="5" t="str">
        <f t="shared" si="52"/>
        <v>Low engagement</v>
      </c>
      <c r="Q560" t="b">
        <v>0</v>
      </c>
      <c r="R560" t="b">
        <v>0</v>
      </c>
      <c r="S560" t="b">
        <v>0</v>
      </c>
      <c r="T560" s="24" t="str">
        <f t="shared" si="53"/>
        <v>Text only</v>
      </c>
    </row>
    <row r="561" spans="1:20" hidden="1" x14ac:dyDescent="0.2">
      <c r="A561" t="s">
        <v>5210</v>
      </c>
      <c r="B561" t="s">
        <v>2365</v>
      </c>
      <c r="C561" t="s">
        <v>2366</v>
      </c>
      <c r="D561" t="s">
        <v>5211</v>
      </c>
      <c r="E561" t="s">
        <v>5212</v>
      </c>
      <c r="F561" t="str">
        <f>IF(Table2[[#This Row],[Date posted]]&lt; DATE(2015,9,18),"Before Crisis","During Crisis")</f>
        <v>Before Crisis</v>
      </c>
      <c r="G561" s="27">
        <f t="shared" si="48"/>
        <v>42248</v>
      </c>
      <c r="H561" s="7" t="str">
        <f t="shared" si="49"/>
        <v>16:21:40</v>
      </c>
      <c r="I561" s="8" t="str">
        <f t="shared" si="50"/>
        <v>Afternoon</v>
      </c>
      <c r="J561" t="s">
        <v>2370</v>
      </c>
      <c r="K561" t="s">
        <v>2370</v>
      </c>
      <c r="L561" s="3">
        <v>0</v>
      </c>
      <c r="M561" s="3">
        <v>0</v>
      </c>
      <c r="N561">
        <v>1</v>
      </c>
      <c r="O561" s="4">
        <f t="shared" si="51"/>
        <v>1</v>
      </c>
      <c r="P561" s="5" t="str">
        <f t="shared" si="52"/>
        <v>Low engagement</v>
      </c>
      <c r="Q561" t="b">
        <v>0</v>
      </c>
      <c r="R561" t="b">
        <v>0</v>
      </c>
      <c r="S561" t="b">
        <v>0</v>
      </c>
      <c r="T561" s="24" t="str">
        <f t="shared" si="53"/>
        <v>Text only</v>
      </c>
    </row>
    <row r="562" spans="1:20" hidden="1" x14ac:dyDescent="0.2">
      <c r="A562" t="s">
        <v>5207</v>
      </c>
      <c r="B562" t="s">
        <v>2365</v>
      </c>
      <c r="C562" t="s">
        <v>2366</v>
      </c>
      <c r="D562" t="s">
        <v>5208</v>
      </c>
      <c r="E562" t="s">
        <v>5209</v>
      </c>
      <c r="F562" t="str">
        <f>IF(Table2[[#This Row],[Date posted]]&lt; DATE(2015,9,18),"Before Crisis","During Crisis")</f>
        <v>Before Crisis</v>
      </c>
      <c r="G562" s="27">
        <f t="shared" si="48"/>
        <v>42248</v>
      </c>
      <c r="H562" s="7" t="str">
        <f t="shared" si="49"/>
        <v>16:56:46</v>
      </c>
      <c r="I562" s="8" t="str">
        <f t="shared" si="50"/>
        <v>Afternoon</v>
      </c>
      <c r="J562" t="s">
        <v>5136</v>
      </c>
      <c r="K562" t="s">
        <v>2370</v>
      </c>
      <c r="L562" s="3">
        <v>0</v>
      </c>
      <c r="M562">
        <v>1</v>
      </c>
      <c r="N562">
        <v>1</v>
      </c>
      <c r="O562" s="4">
        <f t="shared" si="51"/>
        <v>2</v>
      </c>
      <c r="P562" s="5" t="str">
        <f t="shared" si="52"/>
        <v>Low engagement</v>
      </c>
      <c r="Q562" t="b">
        <v>0</v>
      </c>
      <c r="R562" t="b">
        <v>0</v>
      </c>
      <c r="S562" t="b">
        <v>0</v>
      </c>
      <c r="T562" s="24" t="str">
        <f t="shared" si="53"/>
        <v>Text only</v>
      </c>
    </row>
    <row r="563" spans="1:20" hidden="1" x14ac:dyDescent="0.2">
      <c r="A563" t="s">
        <v>5203</v>
      </c>
      <c r="B563" t="s">
        <v>2365</v>
      </c>
      <c r="C563" t="s">
        <v>2366</v>
      </c>
      <c r="D563" t="s">
        <v>5204</v>
      </c>
      <c r="E563" t="s">
        <v>5205</v>
      </c>
      <c r="F563" t="str">
        <f>IF(Table2[[#This Row],[Date posted]]&lt; DATE(2015,9,18),"Before Crisis","During Crisis")</f>
        <v>Before Crisis</v>
      </c>
      <c r="G563" s="27">
        <f t="shared" si="48"/>
        <v>42248</v>
      </c>
      <c r="H563" s="7" t="str">
        <f t="shared" si="49"/>
        <v>18:06:50</v>
      </c>
      <c r="I563" s="8" t="str">
        <f t="shared" si="50"/>
        <v>Evening</v>
      </c>
      <c r="J563" t="s">
        <v>5206</v>
      </c>
      <c r="K563" t="s">
        <v>2370</v>
      </c>
      <c r="L563" s="3">
        <v>0</v>
      </c>
      <c r="M563" s="3">
        <v>0</v>
      </c>
      <c r="N563">
        <v>1</v>
      </c>
      <c r="O563" s="4">
        <f t="shared" si="51"/>
        <v>1</v>
      </c>
      <c r="P563" s="5" t="str">
        <f t="shared" si="52"/>
        <v>Low engagement</v>
      </c>
      <c r="Q563" t="b">
        <v>0</v>
      </c>
      <c r="R563" t="b">
        <v>0</v>
      </c>
      <c r="S563" t="b">
        <v>0</v>
      </c>
      <c r="T563" s="24" t="str">
        <f t="shared" si="53"/>
        <v>Text only</v>
      </c>
    </row>
    <row r="564" spans="1:20" hidden="1" x14ac:dyDescent="0.2">
      <c r="A564" t="s">
        <v>5199</v>
      </c>
      <c r="B564" t="s">
        <v>2365</v>
      </c>
      <c r="C564" t="s">
        <v>2366</v>
      </c>
      <c r="D564" t="s">
        <v>5200</v>
      </c>
      <c r="E564" t="s">
        <v>5201</v>
      </c>
      <c r="F564" t="str">
        <f>IF(Table2[[#This Row],[Date posted]]&lt; DATE(2015,9,18),"Before Crisis","During Crisis")</f>
        <v>Before Crisis</v>
      </c>
      <c r="G564" s="27">
        <f t="shared" si="48"/>
        <v>42248</v>
      </c>
      <c r="H564" s="7" t="str">
        <f t="shared" si="49"/>
        <v>18:15:42</v>
      </c>
      <c r="I564" s="8" t="str">
        <f t="shared" si="50"/>
        <v>Evening</v>
      </c>
      <c r="J564" t="s">
        <v>5202</v>
      </c>
      <c r="K564" t="s">
        <v>2370</v>
      </c>
      <c r="L564" s="3">
        <v>0</v>
      </c>
      <c r="M564">
        <v>1</v>
      </c>
      <c r="N564">
        <v>1</v>
      </c>
      <c r="O564" s="4">
        <f t="shared" si="51"/>
        <v>2</v>
      </c>
      <c r="P564" s="5" t="str">
        <f t="shared" si="52"/>
        <v>Low engagement</v>
      </c>
      <c r="Q564" t="b">
        <v>0</v>
      </c>
      <c r="R564" t="b">
        <v>0</v>
      </c>
      <c r="S564" t="b">
        <v>0</v>
      </c>
      <c r="T564" s="24" t="str">
        <f t="shared" si="53"/>
        <v>Text only</v>
      </c>
    </row>
    <row r="565" spans="1:20" hidden="1" x14ac:dyDescent="0.2">
      <c r="A565" t="s">
        <v>5196</v>
      </c>
      <c r="B565" t="s">
        <v>2365</v>
      </c>
      <c r="C565" t="s">
        <v>2366</v>
      </c>
      <c r="D565" t="s">
        <v>5197</v>
      </c>
      <c r="E565" t="s">
        <v>5198</v>
      </c>
      <c r="F565" t="str">
        <f>IF(Table2[[#This Row],[Date posted]]&lt; DATE(2015,9,18),"Before Crisis","During Crisis")</f>
        <v>Before Crisis</v>
      </c>
      <c r="G565" s="27">
        <f t="shared" si="48"/>
        <v>42248</v>
      </c>
      <c r="H565" s="7" t="str">
        <f t="shared" si="49"/>
        <v>19:07:56</v>
      </c>
      <c r="I565" s="8" t="str">
        <f t="shared" si="50"/>
        <v>Evening</v>
      </c>
      <c r="J565" t="s">
        <v>2370</v>
      </c>
      <c r="K565" t="s">
        <v>2370</v>
      </c>
      <c r="L565" s="3">
        <v>0</v>
      </c>
      <c r="M565" s="3">
        <v>0</v>
      </c>
      <c r="N565">
        <v>1</v>
      </c>
      <c r="O565" s="4">
        <f t="shared" si="51"/>
        <v>1</v>
      </c>
      <c r="P565" s="5" t="str">
        <f t="shared" si="52"/>
        <v>Low engagement</v>
      </c>
      <c r="Q565" t="b">
        <v>0</v>
      </c>
      <c r="R565" t="b">
        <v>0</v>
      </c>
      <c r="S565" t="b">
        <v>1</v>
      </c>
      <c r="T565" s="24" t="str">
        <f t="shared" si="53"/>
        <v>Link</v>
      </c>
    </row>
    <row r="566" spans="1:20" hidden="1" x14ac:dyDescent="0.2">
      <c r="A566" t="s">
        <v>5192</v>
      </c>
      <c r="B566" t="s">
        <v>2365</v>
      </c>
      <c r="C566" t="s">
        <v>2366</v>
      </c>
      <c r="D566" t="s">
        <v>5193</v>
      </c>
      <c r="E566" t="s">
        <v>5194</v>
      </c>
      <c r="F566" t="str">
        <f>IF(Table2[[#This Row],[Date posted]]&lt; DATE(2015,9,18),"Before Crisis","During Crisis")</f>
        <v>Before Crisis</v>
      </c>
      <c r="G566" s="27">
        <f t="shared" si="48"/>
        <v>42248</v>
      </c>
      <c r="H566" s="7" t="str">
        <f t="shared" si="49"/>
        <v>19:07:57</v>
      </c>
      <c r="I566" s="8" t="str">
        <f t="shared" si="50"/>
        <v>Evening</v>
      </c>
      <c r="J566" t="s">
        <v>5195</v>
      </c>
      <c r="K566" t="s">
        <v>2370</v>
      </c>
      <c r="L566" s="3">
        <v>0</v>
      </c>
      <c r="M566" s="3">
        <v>0</v>
      </c>
      <c r="N566">
        <v>1</v>
      </c>
      <c r="O566" s="4">
        <f t="shared" si="51"/>
        <v>1</v>
      </c>
      <c r="P566" s="5" t="str">
        <f t="shared" si="52"/>
        <v>Low engagement</v>
      </c>
      <c r="Q566" t="b">
        <v>0</v>
      </c>
      <c r="R566" t="b">
        <v>0</v>
      </c>
      <c r="S566" t="b">
        <v>0</v>
      </c>
      <c r="T566" s="24" t="str">
        <f t="shared" si="53"/>
        <v>Text only</v>
      </c>
    </row>
    <row r="567" spans="1:20" hidden="1" x14ac:dyDescent="0.2">
      <c r="A567" t="s">
        <v>5188</v>
      </c>
      <c r="B567" t="s">
        <v>2365</v>
      </c>
      <c r="C567" t="s">
        <v>2366</v>
      </c>
      <c r="D567" t="s">
        <v>5189</v>
      </c>
      <c r="E567" t="s">
        <v>5190</v>
      </c>
      <c r="F567" t="str">
        <f>IF(Table2[[#This Row],[Date posted]]&lt; DATE(2015,9,18),"Before Crisis","During Crisis")</f>
        <v>Before Crisis</v>
      </c>
      <c r="G567" s="27">
        <f t="shared" si="48"/>
        <v>42249</v>
      </c>
      <c r="H567" s="7" t="str">
        <f t="shared" si="49"/>
        <v>18:49:15</v>
      </c>
      <c r="I567" s="8" t="str">
        <f t="shared" si="50"/>
        <v>Evening</v>
      </c>
      <c r="J567" t="s">
        <v>5191</v>
      </c>
      <c r="K567" t="s">
        <v>2370</v>
      </c>
      <c r="L567" s="3">
        <v>0</v>
      </c>
      <c r="M567" s="3">
        <v>0</v>
      </c>
      <c r="N567">
        <v>1</v>
      </c>
      <c r="O567" s="4">
        <f t="shared" si="51"/>
        <v>1</v>
      </c>
      <c r="P567" s="5" t="str">
        <f t="shared" si="52"/>
        <v>Low engagement</v>
      </c>
      <c r="Q567" t="b">
        <v>0</v>
      </c>
      <c r="R567" t="b">
        <v>0</v>
      </c>
      <c r="S567" t="b">
        <v>0</v>
      </c>
      <c r="T567" s="24" t="str">
        <f t="shared" si="53"/>
        <v>Text only</v>
      </c>
    </row>
    <row r="568" spans="1:20" hidden="1" x14ac:dyDescent="0.2">
      <c r="A568" t="s">
        <v>5184</v>
      </c>
      <c r="B568" t="s">
        <v>2365</v>
      </c>
      <c r="C568" t="s">
        <v>2366</v>
      </c>
      <c r="D568" t="s">
        <v>5185</v>
      </c>
      <c r="E568" t="s">
        <v>5186</v>
      </c>
      <c r="F568" t="str">
        <f>IF(Table2[[#This Row],[Date posted]]&lt; DATE(2015,9,18),"Before Crisis","During Crisis")</f>
        <v>Before Crisis</v>
      </c>
      <c r="G568" s="27">
        <f t="shared" si="48"/>
        <v>42249</v>
      </c>
      <c r="H568" s="7" t="str">
        <f t="shared" si="49"/>
        <v>21:48:22</v>
      </c>
      <c r="I568" s="8" t="str">
        <f t="shared" si="50"/>
        <v>Evening</v>
      </c>
      <c r="J568" t="s">
        <v>5187</v>
      </c>
      <c r="K568" t="s">
        <v>2370</v>
      </c>
      <c r="L568" s="3">
        <v>0</v>
      </c>
      <c r="M568" s="3">
        <v>0</v>
      </c>
      <c r="N568">
        <v>1</v>
      </c>
      <c r="O568" s="4">
        <f t="shared" si="51"/>
        <v>1</v>
      </c>
      <c r="P568" s="5" t="str">
        <f t="shared" si="52"/>
        <v>Low engagement</v>
      </c>
      <c r="Q568" t="b">
        <v>0</v>
      </c>
      <c r="R568" t="b">
        <v>0</v>
      </c>
      <c r="S568" t="b">
        <v>0</v>
      </c>
      <c r="T568" s="24" t="str">
        <f t="shared" si="53"/>
        <v>Text only</v>
      </c>
    </row>
    <row r="569" spans="1:20" hidden="1" x14ac:dyDescent="0.2">
      <c r="A569" t="s">
        <v>5180</v>
      </c>
      <c r="B569" t="s">
        <v>2365</v>
      </c>
      <c r="C569" t="s">
        <v>2366</v>
      </c>
      <c r="D569" t="s">
        <v>5181</v>
      </c>
      <c r="E569" t="s">
        <v>5182</v>
      </c>
      <c r="F569" t="str">
        <f>IF(Table2[[#This Row],[Date posted]]&lt; DATE(2015,9,18),"Before Crisis","During Crisis")</f>
        <v>Before Crisis</v>
      </c>
      <c r="G569" s="27">
        <f t="shared" si="48"/>
        <v>42250</v>
      </c>
      <c r="H569" s="7" t="str">
        <f t="shared" si="49"/>
        <v>19:26:36</v>
      </c>
      <c r="I569" s="8" t="str">
        <f t="shared" si="50"/>
        <v>Evening</v>
      </c>
      <c r="J569" t="s">
        <v>5183</v>
      </c>
      <c r="K569" t="s">
        <v>2370</v>
      </c>
      <c r="L569" s="3">
        <v>0</v>
      </c>
      <c r="M569">
        <v>1</v>
      </c>
      <c r="N569">
        <v>1</v>
      </c>
      <c r="O569" s="4">
        <f t="shared" si="51"/>
        <v>2</v>
      </c>
      <c r="P569" s="5" t="str">
        <f t="shared" si="52"/>
        <v>Low engagement</v>
      </c>
      <c r="Q569" t="b">
        <v>0</v>
      </c>
      <c r="R569" t="b">
        <v>0</v>
      </c>
      <c r="S569" t="b">
        <v>0</v>
      </c>
      <c r="T569" s="24" t="str">
        <f t="shared" si="53"/>
        <v>Text only</v>
      </c>
    </row>
    <row r="570" spans="1:20" hidden="1" x14ac:dyDescent="0.2">
      <c r="A570" t="s">
        <v>5176</v>
      </c>
      <c r="B570" t="s">
        <v>2365</v>
      </c>
      <c r="C570" t="s">
        <v>2366</v>
      </c>
      <c r="D570" t="s">
        <v>5177</v>
      </c>
      <c r="E570" t="s">
        <v>5178</v>
      </c>
      <c r="F570" t="str">
        <f>IF(Table2[[#This Row],[Date posted]]&lt; DATE(2015,9,18),"Before Crisis","During Crisis")</f>
        <v>Before Crisis</v>
      </c>
      <c r="G570" s="27">
        <f t="shared" si="48"/>
        <v>42250</v>
      </c>
      <c r="H570" s="7" t="str">
        <f t="shared" si="49"/>
        <v>19:51:31</v>
      </c>
      <c r="I570" s="8" t="str">
        <f t="shared" si="50"/>
        <v>Evening</v>
      </c>
      <c r="J570" t="s">
        <v>5179</v>
      </c>
      <c r="K570" t="s">
        <v>2370</v>
      </c>
      <c r="L570" s="3">
        <v>0</v>
      </c>
      <c r="M570" s="3">
        <v>0</v>
      </c>
      <c r="N570">
        <v>1</v>
      </c>
      <c r="O570" s="4">
        <f t="shared" si="51"/>
        <v>1</v>
      </c>
      <c r="P570" s="5" t="str">
        <f t="shared" si="52"/>
        <v>Low engagement</v>
      </c>
      <c r="Q570" t="b">
        <v>0</v>
      </c>
      <c r="R570" t="b">
        <v>0</v>
      </c>
      <c r="S570" t="b">
        <v>1</v>
      </c>
      <c r="T570" s="24" t="str">
        <f t="shared" si="53"/>
        <v>Link</v>
      </c>
    </row>
    <row r="571" spans="1:20" hidden="1" x14ac:dyDescent="0.2">
      <c r="A571" t="s">
        <v>5174</v>
      </c>
      <c r="B571" t="s">
        <v>2365</v>
      </c>
      <c r="C571" t="s">
        <v>2366</v>
      </c>
      <c r="D571" t="s">
        <v>5141</v>
      </c>
      <c r="E571" t="s">
        <v>5175</v>
      </c>
      <c r="F571" t="str">
        <f>IF(Table2[[#This Row],[Date posted]]&lt; DATE(2015,9,18),"Before Crisis","During Crisis")</f>
        <v>Before Crisis</v>
      </c>
      <c r="G571" s="27">
        <f t="shared" si="48"/>
        <v>42250</v>
      </c>
      <c r="H571" s="7" t="str">
        <f t="shared" si="49"/>
        <v>20:19:35</v>
      </c>
      <c r="I571" s="8" t="str">
        <f t="shared" si="50"/>
        <v>Evening</v>
      </c>
      <c r="J571" t="s">
        <v>5143</v>
      </c>
      <c r="K571" t="s">
        <v>2370</v>
      </c>
      <c r="L571" s="3">
        <v>0</v>
      </c>
      <c r="M571" s="3">
        <v>0</v>
      </c>
      <c r="N571">
        <v>1</v>
      </c>
      <c r="O571" s="4">
        <f t="shared" si="51"/>
        <v>1</v>
      </c>
      <c r="P571" s="5" t="str">
        <f t="shared" si="52"/>
        <v>Low engagement</v>
      </c>
      <c r="Q571" t="b">
        <v>0</v>
      </c>
      <c r="R571" t="b">
        <v>0</v>
      </c>
      <c r="S571" t="b">
        <v>1</v>
      </c>
      <c r="T571" s="24" t="str">
        <f t="shared" si="53"/>
        <v>Link</v>
      </c>
    </row>
    <row r="572" spans="1:20" hidden="1" x14ac:dyDescent="0.2">
      <c r="A572" t="s">
        <v>5169</v>
      </c>
      <c r="B572" t="s">
        <v>2365</v>
      </c>
      <c r="C572" t="s">
        <v>2366</v>
      </c>
      <c r="D572" t="s">
        <v>5170</v>
      </c>
      <c r="E572" t="s">
        <v>5171</v>
      </c>
      <c r="F572" t="str">
        <f>IF(Table2[[#This Row],[Date posted]]&lt; DATE(2015,9,18),"Before Crisis","During Crisis")</f>
        <v>Before Crisis</v>
      </c>
      <c r="G572" s="27">
        <f t="shared" si="48"/>
        <v>42251</v>
      </c>
      <c r="H572" s="7" t="str">
        <f t="shared" si="49"/>
        <v>17:49:21</v>
      </c>
      <c r="I572" s="8" t="str">
        <f t="shared" si="50"/>
        <v>Afternoon</v>
      </c>
      <c r="J572" t="s">
        <v>5154</v>
      </c>
      <c r="K572" t="s">
        <v>2370</v>
      </c>
      <c r="L572" s="3">
        <v>0</v>
      </c>
      <c r="M572">
        <v>1</v>
      </c>
      <c r="N572">
        <v>1</v>
      </c>
      <c r="O572" s="4">
        <f t="shared" si="51"/>
        <v>2</v>
      </c>
      <c r="P572" s="5" t="str">
        <f t="shared" si="52"/>
        <v>Low engagement</v>
      </c>
      <c r="Q572" t="b">
        <v>0</v>
      </c>
      <c r="R572" t="b">
        <v>0</v>
      </c>
      <c r="S572" t="b">
        <v>1</v>
      </c>
      <c r="T572" s="24" t="str">
        <f t="shared" si="53"/>
        <v>Link</v>
      </c>
    </row>
    <row r="573" spans="1:20" hidden="1" x14ac:dyDescent="0.2">
      <c r="A573" t="s">
        <v>5172</v>
      </c>
      <c r="B573" t="s">
        <v>2365</v>
      </c>
      <c r="C573" t="s">
        <v>2366</v>
      </c>
      <c r="D573" t="s">
        <v>5173</v>
      </c>
      <c r="E573" t="s">
        <v>5171</v>
      </c>
      <c r="F573" t="str">
        <f>IF(Table2[[#This Row],[Date posted]]&lt; DATE(2015,9,18),"Before Crisis","During Crisis")</f>
        <v>Before Crisis</v>
      </c>
      <c r="G573" s="27">
        <f t="shared" si="48"/>
        <v>42251</v>
      </c>
      <c r="H573" s="7" t="str">
        <f t="shared" si="49"/>
        <v>17:49:21</v>
      </c>
      <c r="I573" s="8" t="str">
        <f t="shared" si="50"/>
        <v>Afternoon</v>
      </c>
      <c r="J573" t="s">
        <v>5154</v>
      </c>
      <c r="K573" t="s">
        <v>2370</v>
      </c>
      <c r="L573" s="3">
        <v>0</v>
      </c>
      <c r="M573" s="3">
        <v>0</v>
      </c>
      <c r="N573">
        <v>1</v>
      </c>
      <c r="O573" s="4">
        <f t="shared" si="51"/>
        <v>1</v>
      </c>
      <c r="P573" s="5" t="str">
        <f t="shared" si="52"/>
        <v>Low engagement</v>
      </c>
      <c r="Q573" t="b">
        <v>0</v>
      </c>
      <c r="R573" t="b">
        <v>0</v>
      </c>
      <c r="S573" t="b">
        <v>0</v>
      </c>
      <c r="T573" s="24" t="str">
        <f t="shared" si="53"/>
        <v>Text only</v>
      </c>
    </row>
    <row r="574" spans="1:20" hidden="1" x14ac:dyDescent="0.2">
      <c r="A574" t="s">
        <v>5165</v>
      </c>
      <c r="B574" t="s">
        <v>2365</v>
      </c>
      <c r="C574" t="s">
        <v>2366</v>
      </c>
      <c r="D574" t="s">
        <v>5166</v>
      </c>
      <c r="E574" t="s">
        <v>5167</v>
      </c>
      <c r="F574" t="str">
        <f>IF(Table2[[#This Row],[Date posted]]&lt; DATE(2015,9,18),"Before Crisis","During Crisis")</f>
        <v>Before Crisis</v>
      </c>
      <c r="G574" s="27">
        <f t="shared" si="48"/>
        <v>42252</v>
      </c>
      <c r="H574" s="7" t="str">
        <f t="shared" si="49"/>
        <v>17:51:14</v>
      </c>
      <c r="I574" s="8" t="str">
        <f t="shared" si="50"/>
        <v>Afternoon</v>
      </c>
      <c r="J574" t="s">
        <v>5168</v>
      </c>
      <c r="K574" t="s">
        <v>2370</v>
      </c>
      <c r="L574">
        <v>1</v>
      </c>
      <c r="M574" s="3">
        <v>0</v>
      </c>
      <c r="N574">
        <v>1</v>
      </c>
      <c r="O574" s="4">
        <f t="shared" si="51"/>
        <v>2</v>
      </c>
      <c r="P574" s="5" t="str">
        <f t="shared" si="52"/>
        <v>Low engagement</v>
      </c>
      <c r="Q574" t="b">
        <v>0</v>
      </c>
      <c r="R574" t="b">
        <v>0</v>
      </c>
      <c r="S574" t="b">
        <v>0</v>
      </c>
      <c r="T574" s="24" t="str">
        <f t="shared" si="53"/>
        <v>Text only</v>
      </c>
    </row>
    <row r="575" spans="1:20" hidden="1" x14ac:dyDescent="0.2">
      <c r="A575" t="s">
        <v>5162</v>
      </c>
      <c r="B575" t="s">
        <v>2365</v>
      </c>
      <c r="C575" t="s">
        <v>2366</v>
      </c>
      <c r="D575" t="s">
        <v>5163</v>
      </c>
      <c r="E575" t="s">
        <v>5164</v>
      </c>
      <c r="F575" t="str">
        <f>IF(Table2[[#This Row],[Date posted]]&lt; DATE(2015,9,18),"Before Crisis","During Crisis")</f>
        <v>Before Crisis</v>
      </c>
      <c r="G575" s="27">
        <f t="shared" si="48"/>
        <v>42252</v>
      </c>
      <c r="H575" s="7" t="str">
        <f t="shared" si="49"/>
        <v>17:59:52</v>
      </c>
      <c r="I575" s="8" t="str">
        <f t="shared" si="50"/>
        <v>Afternoon</v>
      </c>
      <c r="J575" t="s">
        <v>2370</v>
      </c>
      <c r="K575" t="s">
        <v>2370</v>
      </c>
      <c r="L575" s="3">
        <v>0</v>
      </c>
      <c r="M575" s="3">
        <v>0</v>
      </c>
      <c r="N575">
        <v>1</v>
      </c>
      <c r="O575" s="4">
        <f t="shared" si="51"/>
        <v>1</v>
      </c>
      <c r="P575" s="5" t="str">
        <f t="shared" si="52"/>
        <v>Low engagement</v>
      </c>
      <c r="Q575" t="b">
        <v>0</v>
      </c>
      <c r="R575" t="b">
        <v>0</v>
      </c>
      <c r="S575" t="b">
        <v>1</v>
      </c>
      <c r="T575" s="24" t="str">
        <f t="shared" si="53"/>
        <v>Link</v>
      </c>
    </row>
    <row r="576" spans="1:20" hidden="1" x14ac:dyDescent="0.2">
      <c r="A576" t="s">
        <v>5155</v>
      </c>
      <c r="B576" t="s">
        <v>2365</v>
      </c>
      <c r="C576" t="s">
        <v>2366</v>
      </c>
      <c r="D576" t="s">
        <v>5156</v>
      </c>
      <c r="E576" t="s">
        <v>5157</v>
      </c>
      <c r="F576" t="str">
        <f>IF(Table2[[#This Row],[Date posted]]&lt; DATE(2015,9,18),"Before Crisis","During Crisis")</f>
        <v>Before Crisis</v>
      </c>
      <c r="G576" s="27">
        <f t="shared" si="48"/>
        <v>42252</v>
      </c>
      <c r="H576" s="7" t="str">
        <f t="shared" si="49"/>
        <v>17:59:53</v>
      </c>
      <c r="I576" s="8" t="str">
        <f t="shared" si="50"/>
        <v>Afternoon</v>
      </c>
      <c r="J576" t="s">
        <v>5158</v>
      </c>
      <c r="K576" t="s">
        <v>2370</v>
      </c>
      <c r="L576">
        <v>1</v>
      </c>
      <c r="M576" s="3">
        <v>0</v>
      </c>
      <c r="N576">
        <v>1</v>
      </c>
      <c r="O576" s="4">
        <f t="shared" si="51"/>
        <v>2</v>
      </c>
      <c r="P576" s="5" t="str">
        <f t="shared" si="52"/>
        <v>Low engagement</v>
      </c>
      <c r="Q576" t="b">
        <v>0</v>
      </c>
      <c r="R576" t="b">
        <v>0</v>
      </c>
      <c r="S576" t="b">
        <v>0</v>
      </c>
      <c r="T576" s="24" t="str">
        <f t="shared" si="53"/>
        <v>Text only</v>
      </c>
    </row>
    <row r="577" spans="1:20" hidden="1" x14ac:dyDescent="0.2">
      <c r="A577" t="s">
        <v>5159</v>
      </c>
      <c r="B577" t="s">
        <v>2365</v>
      </c>
      <c r="C577" t="s">
        <v>2366</v>
      </c>
      <c r="D577" t="s">
        <v>5160</v>
      </c>
      <c r="E577" t="s">
        <v>5157</v>
      </c>
      <c r="F577" t="str">
        <f>IF(Table2[[#This Row],[Date posted]]&lt; DATE(2015,9,18),"Before Crisis","During Crisis")</f>
        <v>Before Crisis</v>
      </c>
      <c r="G577" s="27">
        <f t="shared" si="48"/>
        <v>42252</v>
      </c>
      <c r="H577" s="7" t="str">
        <f t="shared" si="49"/>
        <v>17:59:53</v>
      </c>
      <c r="I577" s="8" t="str">
        <f t="shared" si="50"/>
        <v>Afternoon</v>
      </c>
      <c r="J577" t="s">
        <v>5161</v>
      </c>
      <c r="K577" t="s">
        <v>2370</v>
      </c>
      <c r="L577" s="3">
        <v>0</v>
      </c>
      <c r="M577" s="3">
        <v>0</v>
      </c>
      <c r="N577">
        <v>1</v>
      </c>
      <c r="O577" s="4">
        <f t="shared" si="51"/>
        <v>1</v>
      </c>
      <c r="P577" s="5" t="str">
        <f t="shared" si="52"/>
        <v>Low engagement</v>
      </c>
      <c r="Q577" t="b">
        <v>0</v>
      </c>
      <c r="R577" t="b">
        <v>0</v>
      </c>
      <c r="S577" t="b">
        <v>0</v>
      </c>
      <c r="T577" s="24" t="str">
        <f t="shared" si="53"/>
        <v>Text only</v>
      </c>
    </row>
    <row r="578" spans="1:20" hidden="1" x14ac:dyDescent="0.2">
      <c r="A578" t="s">
        <v>5151</v>
      </c>
      <c r="B578" t="s">
        <v>2365</v>
      </c>
      <c r="C578" t="s">
        <v>2366</v>
      </c>
      <c r="D578" t="s">
        <v>5152</v>
      </c>
      <c r="E578" t="s">
        <v>5153</v>
      </c>
      <c r="F578" t="str">
        <f>IF(Table2[[#This Row],[Date posted]]&lt; DATE(2015,9,18),"Before Crisis","During Crisis")</f>
        <v>Before Crisis</v>
      </c>
      <c r="G578" s="27">
        <f t="shared" ref="G578:G641" si="54">DATEVALUE(LEFT(E578,10))</f>
        <v>42255</v>
      </c>
      <c r="H578" s="7" t="str">
        <f t="shared" ref="H578:H641" si="55">MID(E578,12,8)</f>
        <v>12:09:55</v>
      </c>
      <c r="I578" s="8" t="str">
        <f t="shared" ref="I578:I641" si="56">IF(HOUR(H578)&lt;7,"Early morning",
IF(HOUR(H578)&lt;11,"Morning",
IF(HOUR(H578)&lt;14,"Mid-day",
IF(HOUR(H578)&lt;18,"Afternoon","Evening"))))</f>
        <v>Mid-day</v>
      </c>
      <c r="J578" t="s">
        <v>5154</v>
      </c>
      <c r="K578" t="s">
        <v>2370</v>
      </c>
      <c r="L578" s="3">
        <v>0</v>
      </c>
      <c r="M578" s="3">
        <v>0</v>
      </c>
      <c r="N578">
        <v>1</v>
      </c>
      <c r="O578" s="4">
        <f t="shared" ref="O578:O641" si="57">L578+M578+N578</f>
        <v>1</v>
      </c>
      <c r="P578" s="5" t="str">
        <f t="shared" ref="P578:P641" si="58">IF(O578&lt;1,"No engagement", IF(O578&lt;5,"Low engagement", IF(O578&lt;10,"Moderate engagement", "High engagement")))</f>
        <v>Low engagement</v>
      </c>
      <c r="Q578" t="b">
        <v>0</v>
      </c>
      <c r="R578" t="b">
        <v>0</v>
      </c>
      <c r="S578" t="b">
        <v>0</v>
      </c>
      <c r="T578" s="24" t="str">
        <f t="shared" ref="T578:T641" si="59">IF(Q578=TRUE,"Photo",
    IF(R578=TRUE,"Video",
        IF(S578=TRUE,"Link","Text only")))</f>
        <v>Text only</v>
      </c>
    </row>
    <row r="579" spans="1:20" hidden="1" x14ac:dyDescent="0.2">
      <c r="A579" t="s">
        <v>5147</v>
      </c>
      <c r="B579" t="s">
        <v>2365</v>
      </c>
      <c r="C579" t="s">
        <v>2366</v>
      </c>
      <c r="D579" t="s">
        <v>5148</v>
      </c>
      <c r="E579" t="s">
        <v>5149</v>
      </c>
      <c r="F579" t="str">
        <f>IF(Table2[[#This Row],[Date posted]]&lt; DATE(2015,9,18),"Before Crisis","During Crisis")</f>
        <v>Before Crisis</v>
      </c>
      <c r="G579" s="27">
        <f t="shared" si="54"/>
        <v>42255</v>
      </c>
      <c r="H579" s="7" t="str">
        <f t="shared" si="55"/>
        <v>19:07:50</v>
      </c>
      <c r="I579" s="8" t="str">
        <f t="shared" si="56"/>
        <v>Evening</v>
      </c>
      <c r="J579" t="s">
        <v>5150</v>
      </c>
      <c r="K579" t="s">
        <v>2370</v>
      </c>
      <c r="L579" s="3">
        <v>0</v>
      </c>
      <c r="M579" s="3">
        <v>0</v>
      </c>
      <c r="N579">
        <v>1</v>
      </c>
      <c r="O579" s="4">
        <f t="shared" si="57"/>
        <v>1</v>
      </c>
      <c r="P579" s="5" t="str">
        <f t="shared" si="58"/>
        <v>Low engagement</v>
      </c>
      <c r="Q579" t="b">
        <v>0</v>
      </c>
      <c r="R579" t="b">
        <v>0</v>
      </c>
      <c r="S579" t="b">
        <v>0</v>
      </c>
      <c r="T579" s="24" t="str">
        <f t="shared" si="59"/>
        <v>Text only</v>
      </c>
    </row>
    <row r="580" spans="1:20" hidden="1" x14ac:dyDescent="0.2">
      <c r="A580" t="s">
        <v>5144</v>
      </c>
      <c r="B580" t="s">
        <v>2365</v>
      </c>
      <c r="C580" t="s">
        <v>2366</v>
      </c>
      <c r="D580" t="s">
        <v>5145</v>
      </c>
      <c r="E580" t="s">
        <v>5146</v>
      </c>
      <c r="F580" t="str">
        <f>IF(Table2[[#This Row],[Date posted]]&lt; DATE(2015,9,18),"Before Crisis","During Crisis")</f>
        <v>Before Crisis</v>
      </c>
      <c r="G580" s="27">
        <f t="shared" si="54"/>
        <v>42255</v>
      </c>
      <c r="H580" s="7" t="str">
        <f t="shared" si="55"/>
        <v>23:56:27</v>
      </c>
      <c r="I580" s="8" t="str">
        <f t="shared" si="56"/>
        <v>Evening</v>
      </c>
      <c r="J580" t="s">
        <v>2370</v>
      </c>
      <c r="K580" t="s">
        <v>2370</v>
      </c>
      <c r="L580" s="3">
        <v>0</v>
      </c>
      <c r="M580">
        <v>1</v>
      </c>
      <c r="N580">
        <v>1</v>
      </c>
      <c r="O580" s="4">
        <f t="shared" si="57"/>
        <v>2</v>
      </c>
      <c r="P580" s="5" t="str">
        <f t="shared" si="58"/>
        <v>Low engagement</v>
      </c>
      <c r="Q580" t="b">
        <v>0</v>
      </c>
      <c r="R580" t="b">
        <v>0</v>
      </c>
      <c r="S580" t="b">
        <v>0</v>
      </c>
      <c r="T580" s="24" t="str">
        <f t="shared" si="59"/>
        <v>Text only</v>
      </c>
    </row>
    <row r="581" spans="1:20" hidden="1" x14ac:dyDescent="0.2">
      <c r="A581" t="s">
        <v>5140</v>
      </c>
      <c r="B581" t="s">
        <v>2365</v>
      </c>
      <c r="C581" t="s">
        <v>2366</v>
      </c>
      <c r="D581" t="s">
        <v>5141</v>
      </c>
      <c r="E581" t="s">
        <v>5142</v>
      </c>
      <c r="F581" t="str">
        <f>IF(Table2[[#This Row],[Date posted]]&lt; DATE(2015,9,18),"Before Crisis","During Crisis")</f>
        <v>Before Crisis</v>
      </c>
      <c r="G581" s="27">
        <f t="shared" si="54"/>
        <v>42255</v>
      </c>
      <c r="H581" s="7" t="str">
        <f t="shared" si="55"/>
        <v>23:56:28</v>
      </c>
      <c r="I581" s="8" t="str">
        <f t="shared" si="56"/>
        <v>Evening</v>
      </c>
      <c r="J581" t="s">
        <v>5143</v>
      </c>
      <c r="K581" t="s">
        <v>2370</v>
      </c>
      <c r="L581" s="3">
        <v>0</v>
      </c>
      <c r="M581" s="3">
        <v>0</v>
      </c>
      <c r="N581">
        <v>1</v>
      </c>
      <c r="O581" s="4">
        <f t="shared" si="57"/>
        <v>1</v>
      </c>
      <c r="P581" s="5" t="str">
        <f t="shared" si="58"/>
        <v>Low engagement</v>
      </c>
      <c r="Q581" t="b">
        <v>0</v>
      </c>
      <c r="R581" t="b">
        <v>0</v>
      </c>
      <c r="S581" t="b">
        <v>1</v>
      </c>
      <c r="T581" s="24" t="str">
        <f t="shared" si="59"/>
        <v>Link</v>
      </c>
    </row>
    <row r="582" spans="1:20" hidden="1" x14ac:dyDescent="0.2">
      <c r="A582" t="s">
        <v>5101</v>
      </c>
      <c r="B582" t="s">
        <v>2365</v>
      </c>
      <c r="C582" t="s">
        <v>2366</v>
      </c>
      <c r="D582" t="s">
        <v>5102</v>
      </c>
      <c r="E582" t="s">
        <v>5103</v>
      </c>
      <c r="F582" t="str">
        <f>IF(Table2[[#This Row],[Date posted]]&lt; DATE(2015,9,18),"Before Crisis","During Crisis")</f>
        <v>Before Crisis</v>
      </c>
      <c r="G582" s="27">
        <f t="shared" si="54"/>
        <v>42256</v>
      </c>
      <c r="H582" s="7" t="str">
        <f t="shared" si="55"/>
        <v>12:54:13</v>
      </c>
      <c r="I582" s="8" t="str">
        <f t="shared" si="56"/>
        <v>Mid-day</v>
      </c>
      <c r="J582" t="s">
        <v>5104</v>
      </c>
      <c r="K582" t="s">
        <v>2370</v>
      </c>
      <c r="L582">
        <v>1</v>
      </c>
      <c r="M582" s="3">
        <v>0</v>
      </c>
      <c r="N582">
        <v>1</v>
      </c>
      <c r="O582" s="4">
        <f t="shared" si="57"/>
        <v>2</v>
      </c>
      <c r="P582" s="5" t="str">
        <f t="shared" si="58"/>
        <v>Low engagement</v>
      </c>
      <c r="Q582" t="b">
        <v>0</v>
      </c>
      <c r="R582" t="b">
        <v>0</v>
      </c>
      <c r="S582" t="b">
        <v>1</v>
      </c>
      <c r="T582" s="24" t="str">
        <f t="shared" si="59"/>
        <v>Link</v>
      </c>
    </row>
    <row r="583" spans="1:20" hidden="1" x14ac:dyDescent="0.2">
      <c r="A583" t="s">
        <v>5094</v>
      </c>
      <c r="B583" t="s">
        <v>2365</v>
      </c>
      <c r="C583" t="s">
        <v>2366</v>
      </c>
      <c r="D583" t="s">
        <v>5095</v>
      </c>
      <c r="E583" t="s">
        <v>5096</v>
      </c>
      <c r="F583" t="str">
        <f>IF(Table2[[#This Row],[Date posted]]&lt; DATE(2015,9,18),"Before Crisis","During Crisis")</f>
        <v>Before Crisis</v>
      </c>
      <c r="G583" s="27">
        <f t="shared" si="54"/>
        <v>42256</v>
      </c>
      <c r="H583" s="7" t="str">
        <f t="shared" si="55"/>
        <v>16:09:00</v>
      </c>
      <c r="I583" s="8" t="str">
        <f t="shared" si="56"/>
        <v>Afternoon</v>
      </c>
      <c r="J583" t="s">
        <v>5097</v>
      </c>
      <c r="K583" t="s">
        <v>2370</v>
      </c>
      <c r="L583">
        <v>1</v>
      </c>
      <c r="M583">
        <v>1</v>
      </c>
      <c r="N583">
        <v>1</v>
      </c>
      <c r="O583" s="4">
        <f t="shared" si="57"/>
        <v>3</v>
      </c>
      <c r="P583" s="5" t="str">
        <f t="shared" si="58"/>
        <v>Low engagement</v>
      </c>
      <c r="Q583" t="b">
        <v>0</v>
      </c>
      <c r="R583" t="b">
        <v>0</v>
      </c>
      <c r="S583" t="b">
        <v>0</v>
      </c>
      <c r="T583" s="24" t="str">
        <f t="shared" si="59"/>
        <v>Text only</v>
      </c>
    </row>
    <row r="584" spans="1:20" hidden="1" x14ac:dyDescent="0.2">
      <c r="A584" t="s">
        <v>5073</v>
      </c>
      <c r="B584" t="s">
        <v>2365</v>
      </c>
      <c r="C584" t="s">
        <v>2366</v>
      </c>
      <c r="D584" t="s">
        <v>5074</v>
      </c>
      <c r="E584" t="s">
        <v>5075</v>
      </c>
      <c r="F584" t="str">
        <f>IF(Table2[[#This Row],[Date posted]]&lt; DATE(2015,9,18),"Before Crisis","During Crisis")</f>
        <v>Before Crisis</v>
      </c>
      <c r="G584" s="27">
        <f t="shared" si="54"/>
        <v>42257</v>
      </c>
      <c r="H584" s="7" t="str">
        <f t="shared" si="55"/>
        <v>16:00:00</v>
      </c>
      <c r="I584" s="8" t="str">
        <f t="shared" si="56"/>
        <v>Afternoon</v>
      </c>
      <c r="J584" t="s">
        <v>2370</v>
      </c>
      <c r="K584" t="s">
        <v>2370</v>
      </c>
      <c r="L584" s="3">
        <v>0</v>
      </c>
      <c r="M584" s="3">
        <v>0</v>
      </c>
      <c r="N584">
        <v>1</v>
      </c>
      <c r="O584" s="4">
        <f t="shared" si="57"/>
        <v>1</v>
      </c>
      <c r="P584" s="5" t="str">
        <f t="shared" si="58"/>
        <v>Low engagement</v>
      </c>
      <c r="Q584" t="b">
        <v>0</v>
      </c>
      <c r="R584" t="b">
        <v>0</v>
      </c>
      <c r="S584" t="b">
        <v>1</v>
      </c>
      <c r="T584" s="24" t="str">
        <f t="shared" si="59"/>
        <v>Link</v>
      </c>
    </row>
    <row r="585" spans="1:20" hidden="1" x14ac:dyDescent="0.2">
      <c r="A585" t="s">
        <v>5049</v>
      </c>
      <c r="B585" t="s">
        <v>2365</v>
      </c>
      <c r="C585" t="s">
        <v>2366</v>
      </c>
      <c r="D585" t="s">
        <v>5050</v>
      </c>
      <c r="E585" t="s">
        <v>5051</v>
      </c>
      <c r="F585" t="str">
        <f>IF(Table2[[#This Row],[Date posted]]&lt; DATE(2015,9,18),"Before Crisis","During Crisis")</f>
        <v>Before Crisis</v>
      </c>
      <c r="G585" s="27">
        <f t="shared" si="54"/>
        <v>42257</v>
      </c>
      <c r="H585" s="7" t="str">
        <f t="shared" si="55"/>
        <v>20:24:11</v>
      </c>
      <c r="I585" s="8" t="str">
        <f t="shared" si="56"/>
        <v>Evening</v>
      </c>
      <c r="J585" t="s">
        <v>2370</v>
      </c>
      <c r="K585" t="s">
        <v>2370</v>
      </c>
      <c r="L585">
        <v>1</v>
      </c>
      <c r="M585" s="3">
        <v>0</v>
      </c>
      <c r="N585">
        <v>1</v>
      </c>
      <c r="O585" s="4">
        <f t="shared" si="57"/>
        <v>2</v>
      </c>
      <c r="P585" s="5" t="str">
        <f t="shared" si="58"/>
        <v>Low engagement</v>
      </c>
      <c r="Q585" t="b">
        <v>0</v>
      </c>
      <c r="R585" t="b">
        <v>0</v>
      </c>
      <c r="S585" t="b">
        <v>1</v>
      </c>
      <c r="T585" s="24" t="str">
        <f t="shared" si="59"/>
        <v>Link</v>
      </c>
    </row>
    <row r="586" spans="1:20" hidden="1" x14ac:dyDescent="0.2">
      <c r="A586" t="s">
        <v>5046</v>
      </c>
      <c r="B586" t="s">
        <v>2365</v>
      </c>
      <c r="C586" t="s">
        <v>2366</v>
      </c>
      <c r="D586" t="s">
        <v>5047</v>
      </c>
      <c r="E586" t="s">
        <v>5048</v>
      </c>
      <c r="F586" t="str">
        <f>IF(Table2[[#This Row],[Date posted]]&lt; DATE(2015,9,18),"Before Crisis","During Crisis")</f>
        <v>Before Crisis</v>
      </c>
      <c r="G586" s="27">
        <f t="shared" si="54"/>
        <v>42257</v>
      </c>
      <c r="H586" s="7" t="str">
        <f t="shared" si="55"/>
        <v>20:59:17</v>
      </c>
      <c r="I586" s="8" t="str">
        <f t="shared" si="56"/>
        <v>Evening</v>
      </c>
      <c r="J586" t="s">
        <v>2370</v>
      </c>
      <c r="K586" t="s">
        <v>2370</v>
      </c>
      <c r="L586" s="3">
        <v>0</v>
      </c>
      <c r="M586" s="3">
        <v>0</v>
      </c>
      <c r="N586">
        <v>1</v>
      </c>
      <c r="O586" s="4">
        <f t="shared" si="57"/>
        <v>1</v>
      </c>
      <c r="P586" s="5" t="str">
        <f t="shared" si="58"/>
        <v>Low engagement</v>
      </c>
      <c r="Q586" t="b">
        <v>0</v>
      </c>
      <c r="R586" t="b">
        <v>0</v>
      </c>
      <c r="S586" t="b">
        <v>0</v>
      </c>
      <c r="T586" s="24" t="str">
        <f t="shared" si="59"/>
        <v>Text only</v>
      </c>
    </row>
    <row r="587" spans="1:20" hidden="1" x14ac:dyDescent="0.2">
      <c r="A587" t="s">
        <v>5040</v>
      </c>
      <c r="B587" t="s">
        <v>2365</v>
      </c>
      <c r="C587" t="s">
        <v>2366</v>
      </c>
      <c r="D587" t="s">
        <v>5041</v>
      </c>
      <c r="E587" t="s">
        <v>5042</v>
      </c>
      <c r="F587" t="str">
        <f>IF(Table2[[#This Row],[Date posted]]&lt; DATE(2015,9,18),"Before Crisis","During Crisis")</f>
        <v>Before Crisis</v>
      </c>
      <c r="G587" s="27">
        <f t="shared" si="54"/>
        <v>42257</v>
      </c>
      <c r="H587" s="7" t="str">
        <f t="shared" si="55"/>
        <v>21:16:42</v>
      </c>
      <c r="I587" s="8" t="str">
        <f t="shared" si="56"/>
        <v>Evening</v>
      </c>
      <c r="J587" t="s">
        <v>5039</v>
      </c>
      <c r="K587" t="s">
        <v>2370</v>
      </c>
      <c r="L587" s="3">
        <v>0</v>
      </c>
      <c r="M587" s="3">
        <v>0</v>
      </c>
      <c r="N587">
        <v>1</v>
      </c>
      <c r="O587" s="4">
        <f t="shared" si="57"/>
        <v>1</v>
      </c>
      <c r="P587" s="5" t="str">
        <f t="shared" si="58"/>
        <v>Low engagement</v>
      </c>
      <c r="Q587" t="b">
        <v>0</v>
      </c>
      <c r="R587" t="b">
        <v>0</v>
      </c>
      <c r="S587" t="b">
        <v>0</v>
      </c>
      <c r="T587" s="24" t="str">
        <f t="shared" si="59"/>
        <v>Text only</v>
      </c>
    </row>
    <row r="588" spans="1:20" hidden="1" x14ac:dyDescent="0.2">
      <c r="A588" t="s">
        <v>5043</v>
      </c>
      <c r="B588" t="s">
        <v>2365</v>
      </c>
      <c r="C588" t="s">
        <v>2366</v>
      </c>
      <c r="D588" t="s">
        <v>5044</v>
      </c>
      <c r="E588" t="s">
        <v>5042</v>
      </c>
      <c r="F588" t="str">
        <f>IF(Table2[[#This Row],[Date posted]]&lt; DATE(2015,9,18),"Before Crisis","During Crisis")</f>
        <v>Before Crisis</v>
      </c>
      <c r="G588" s="27">
        <f t="shared" si="54"/>
        <v>42257</v>
      </c>
      <c r="H588" s="7" t="str">
        <f t="shared" si="55"/>
        <v>21:16:42</v>
      </c>
      <c r="I588" s="8" t="str">
        <f t="shared" si="56"/>
        <v>Evening</v>
      </c>
      <c r="J588" t="s">
        <v>5045</v>
      </c>
      <c r="K588" t="s">
        <v>2370</v>
      </c>
      <c r="L588" s="3">
        <v>0</v>
      </c>
      <c r="M588" s="3">
        <v>0</v>
      </c>
      <c r="N588">
        <v>1</v>
      </c>
      <c r="O588" s="4">
        <f t="shared" si="57"/>
        <v>1</v>
      </c>
      <c r="P588" s="5" t="str">
        <f t="shared" si="58"/>
        <v>Low engagement</v>
      </c>
      <c r="Q588" t="b">
        <v>0</v>
      </c>
      <c r="R588" t="b">
        <v>0</v>
      </c>
      <c r="S588" t="b">
        <v>0</v>
      </c>
      <c r="T588" s="24" t="str">
        <f t="shared" si="59"/>
        <v>Text only</v>
      </c>
    </row>
    <row r="589" spans="1:20" hidden="1" x14ac:dyDescent="0.2">
      <c r="A589" t="s">
        <v>5036</v>
      </c>
      <c r="B589" t="s">
        <v>2365</v>
      </c>
      <c r="C589" t="s">
        <v>2366</v>
      </c>
      <c r="D589" t="s">
        <v>5037</v>
      </c>
      <c r="E589" t="s">
        <v>5038</v>
      </c>
      <c r="F589" t="str">
        <f>IF(Table2[[#This Row],[Date posted]]&lt; DATE(2015,9,18),"Before Crisis","During Crisis")</f>
        <v>Before Crisis</v>
      </c>
      <c r="G589" s="27">
        <f t="shared" si="54"/>
        <v>42257</v>
      </c>
      <c r="H589" s="7" t="str">
        <f t="shared" si="55"/>
        <v>21:16:43</v>
      </c>
      <c r="I589" s="8" t="str">
        <f t="shared" si="56"/>
        <v>Evening</v>
      </c>
      <c r="J589" t="s">
        <v>5039</v>
      </c>
      <c r="K589" t="s">
        <v>2370</v>
      </c>
      <c r="L589" s="3">
        <v>0</v>
      </c>
      <c r="M589" s="3">
        <v>0</v>
      </c>
      <c r="N589">
        <v>1</v>
      </c>
      <c r="O589" s="4">
        <f t="shared" si="57"/>
        <v>1</v>
      </c>
      <c r="P589" s="5" t="str">
        <f t="shared" si="58"/>
        <v>Low engagement</v>
      </c>
      <c r="Q589" t="b">
        <v>0</v>
      </c>
      <c r="R589" t="b">
        <v>0</v>
      </c>
      <c r="S589" t="b">
        <v>1</v>
      </c>
      <c r="T589" s="24" t="str">
        <f t="shared" si="59"/>
        <v>Link</v>
      </c>
    </row>
    <row r="590" spans="1:20" hidden="1" x14ac:dyDescent="0.2">
      <c r="A590" t="s">
        <v>5031</v>
      </c>
      <c r="B590" t="s">
        <v>2365</v>
      </c>
      <c r="C590" t="s">
        <v>2366</v>
      </c>
      <c r="D590" t="s">
        <v>5032</v>
      </c>
      <c r="E590" t="s">
        <v>5033</v>
      </c>
      <c r="F590" t="str">
        <f>IF(Table2[[#This Row],[Date posted]]&lt; DATE(2015,9,18),"Before Crisis","During Crisis")</f>
        <v>Before Crisis</v>
      </c>
      <c r="G590" s="27">
        <f t="shared" si="54"/>
        <v>42257</v>
      </c>
      <c r="H590" s="7" t="str">
        <f t="shared" si="55"/>
        <v>21:25:40</v>
      </c>
      <c r="I590" s="8" t="str">
        <f t="shared" si="56"/>
        <v>Evening</v>
      </c>
      <c r="J590" t="s">
        <v>2370</v>
      </c>
      <c r="K590" t="s">
        <v>2370</v>
      </c>
      <c r="L590" s="3">
        <v>0</v>
      </c>
      <c r="M590" s="3">
        <v>0</v>
      </c>
      <c r="N590">
        <v>1</v>
      </c>
      <c r="O590" s="4">
        <f t="shared" si="57"/>
        <v>1</v>
      </c>
      <c r="P590" s="5" t="str">
        <f t="shared" si="58"/>
        <v>Low engagement</v>
      </c>
      <c r="Q590" t="b">
        <v>0</v>
      </c>
      <c r="R590" t="b">
        <v>0</v>
      </c>
      <c r="S590" t="b">
        <v>1</v>
      </c>
      <c r="T590" s="24" t="str">
        <f t="shared" si="59"/>
        <v>Link</v>
      </c>
    </row>
    <row r="591" spans="1:20" hidden="1" x14ac:dyDescent="0.2">
      <c r="A591" t="s">
        <v>5034</v>
      </c>
      <c r="B591" t="s">
        <v>2365</v>
      </c>
      <c r="C591" t="s">
        <v>2366</v>
      </c>
      <c r="D591" t="s">
        <v>5035</v>
      </c>
      <c r="E591" t="s">
        <v>5033</v>
      </c>
      <c r="F591" t="str">
        <f>IF(Table2[[#This Row],[Date posted]]&lt; DATE(2015,9,18),"Before Crisis","During Crisis")</f>
        <v>Before Crisis</v>
      </c>
      <c r="G591" s="27">
        <f t="shared" si="54"/>
        <v>42257</v>
      </c>
      <c r="H591" s="7" t="str">
        <f t="shared" si="55"/>
        <v>21:25:40</v>
      </c>
      <c r="I591" s="8" t="str">
        <f t="shared" si="56"/>
        <v>Evening</v>
      </c>
      <c r="J591" t="s">
        <v>2370</v>
      </c>
      <c r="K591" t="s">
        <v>2370</v>
      </c>
      <c r="L591" s="3">
        <v>0</v>
      </c>
      <c r="M591" s="3">
        <v>0</v>
      </c>
      <c r="N591">
        <v>1</v>
      </c>
      <c r="O591" s="4">
        <f t="shared" si="57"/>
        <v>1</v>
      </c>
      <c r="P591" s="5" t="str">
        <f t="shared" si="58"/>
        <v>Low engagement</v>
      </c>
      <c r="Q591" t="b">
        <v>0</v>
      </c>
      <c r="R591" t="b">
        <v>0</v>
      </c>
      <c r="S591" t="b">
        <v>0</v>
      </c>
      <c r="T591" s="24" t="str">
        <f t="shared" si="59"/>
        <v>Text only</v>
      </c>
    </row>
    <row r="592" spans="1:20" hidden="1" x14ac:dyDescent="0.2">
      <c r="A592" t="s">
        <v>5028</v>
      </c>
      <c r="B592" t="s">
        <v>2365</v>
      </c>
      <c r="C592" t="s">
        <v>2366</v>
      </c>
      <c r="D592" t="s">
        <v>5029</v>
      </c>
      <c r="E592" t="s">
        <v>5030</v>
      </c>
      <c r="F592" t="str">
        <f>IF(Table2[[#This Row],[Date posted]]&lt; DATE(2015,9,18),"Before Crisis","During Crisis")</f>
        <v>Before Crisis</v>
      </c>
      <c r="G592" s="27">
        <f t="shared" si="54"/>
        <v>42257</v>
      </c>
      <c r="H592" s="7" t="str">
        <f t="shared" si="55"/>
        <v>21:25:41</v>
      </c>
      <c r="I592" s="8" t="str">
        <f t="shared" si="56"/>
        <v>Evening</v>
      </c>
      <c r="J592" t="s">
        <v>5027</v>
      </c>
      <c r="K592" t="s">
        <v>2370</v>
      </c>
      <c r="L592" s="3">
        <v>0</v>
      </c>
      <c r="M592" s="3">
        <v>0</v>
      </c>
      <c r="N592">
        <v>1</v>
      </c>
      <c r="O592" s="4">
        <f t="shared" si="57"/>
        <v>1</v>
      </c>
      <c r="P592" s="5" t="str">
        <f t="shared" si="58"/>
        <v>Low engagement</v>
      </c>
      <c r="Q592" t="b">
        <v>0</v>
      </c>
      <c r="R592" t="b">
        <v>0</v>
      </c>
      <c r="S592" t="b">
        <v>0</v>
      </c>
      <c r="T592" s="24" t="str">
        <f t="shared" si="59"/>
        <v>Text only</v>
      </c>
    </row>
    <row r="593" spans="1:20" hidden="1" x14ac:dyDescent="0.2">
      <c r="A593" t="s">
        <v>5021</v>
      </c>
      <c r="B593" t="s">
        <v>2365</v>
      </c>
      <c r="C593" t="s">
        <v>2366</v>
      </c>
      <c r="D593" t="s">
        <v>5022</v>
      </c>
      <c r="E593" t="s">
        <v>5023</v>
      </c>
      <c r="F593" t="str">
        <f>IF(Table2[[#This Row],[Date posted]]&lt; DATE(2015,9,18),"Before Crisis","During Crisis")</f>
        <v>Before Crisis</v>
      </c>
      <c r="G593" s="27">
        <f t="shared" si="54"/>
        <v>42257</v>
      </c>
      <c r="H593" s="7" t="str">
        <f t="shared" si="55"/>
        <v>21:34:32</v>
      </c>
      <c r="I593" s="8" t="str">
        <f t="shared" si="56"/>
        <v>Evening</v>
      </c>
      <c r="J593" t="s">
        <v>5024</v>
      </c>
      <c r="K593" t="s">
        <v>2370</v>
      </c>
      <c r="L593" s="3">
        <v>0</v>
      </c>
      <c r="M593">
        <v>1</v>
      </c>
      <c r="N593">
        <v>1</v>
      </c>
      <c r="O593" s="4">
        <f t="shared" si="57"/>
        <v>2</v>
      </c>
      <c r="P593" s="5" t="str">
        <f t="shared" si="58"/>
        <v>Low engagement</v>
      </c>
      <c r="Q593" t="b">
        <v>0</v>
      </c>
      <c r="R593" t="b">
        <v>0</v>
      </c>
      <c r="S593" t="b">
        <v>1</v>
      </c>
      <c r="T593" s="24" t="str">
        <f t="shared" si="59"/>
        <v>Link</v>
      </c>
    </row>
    <row r="594" spans="1:20" hidden="1" x14ac:dyDescent="0.2">
      <c r="A594" t="s">
        <v>5025</v>
      </c>
      <c r="B594" t="s">
        <v>2365</v>
      </c>
      <c r="C594" t="s">
        <v>2366</v>
      </c>
      <c r="D594" t="s">
        <v>5026</v>
      </c>
      <c r="E594" t="s">
        <v>5023</v>
      </c>
      <c r="F594" t="str">
        <f>IF(Table2[[#This Row],[Date posted]]&lt; DATE(2015,9,18),"Before Crisis","During Crisis")</f>
        <v>Before Crisis</v>
      </c>
      <c r="G594" s="27">
        <f t="shared" si="54"/>
        <v>42257</v>
      </c>
      <c r="H594" s="7" t="str">
        <f t="shared" si="55"/>
        <v>21:34:32</v>
      </c>
      <c r="I594" s="8" t="str">
        <f t="shared" si="56"/>
        <v>Evening</v>
      </c>
      <c r="J594" t="s">
        <v>5027</v>
      </c>
      <c r="K594" t="s">
        <v>2370</v>
      </c>
      <c r="L594" s="3">
        <v>0</v>
      </c>
      <c r="M594" s="3">
        <v>0</v>
      </c>
      <c r="N594">
        <v>1</v>
      </c>
      <c r="O594" s="4">
        <f t="shared" si="57"/>
        <v>1</v>
      </c>
      <c r="P594" s="5" t="str">
        <f t="shared" si="58"/>
        <v>Low engagement</v>
      </c>
      <c r="Q594" t="b">
        <v>0</v>
      </c>
      <c r="R594" t="b">
        <v>0</v>
      </c>
      <c r="S594" t="b">
        <v>1</v>
      </c>
      <c r="T594" s="24" t="str">
        <f t="shared" si="59"/>
        <v>Link</v>
      </c>
    </row>
    <row r="595" spans="1:20" x14ac:dyDescent="0.2">
      <c r="A595" t="s">
        <v>5015</v>
      </c>
      <c r="B595" t="s">
        <v>2365</v>
      </c>
      <c r="C595" t="s">
        <v>2366</v>
      </c>
      <c r="D595" t="s">
        <v>5016</v>
      </c>
      <c r="E595" t="s">
        <v>5017</v>
      </c>
      <c r="F595" t="str">
        <f>IF(Table2[[#This Row],[Date posted]]&lt; DATE(2015,9,18),"Before Crisis","During Crisis")</f>
        <v>Before Crisis</v>
      </c>
      <c r="G595" s="27">
        <f t="shared" si="54"/>
        <v>42258</v>
      </c>
      <c r="H595" s="7" t="str">
        <f t="shared" si="55"/>
        <v>00:45:38</v>
      </c>
      <c r="I595" s="8" t="str">
        <f t="shared" si="56"/>
        <v>Early morning</v>
      </c>
      <c r="J595" t="s">
        <v>5014</v>
      </c>
      <c r="K595" t="s">
        <v>2370</v>
      </c>
      <c r="L595" s="3">
        <v>0</v>
      </c>
      <c r="M595">
        <v>2</v>
      </c>
      <c r="N595">
        <v>1</v>
      </c>
      <c r="O595" s="4">
        <f t="shared" si="57"/>
        <v>3</v>
      </c>
      <c r="P595" s="5" t="str">
        <f t="shared" si="58"/>
        <v>Low engagement</v>
      </c>
      <c r="Q595" t="b">
        <v>0</v>
      </c>
      <c r="R595" t="b">
        <v>0</v>
      </c>
      <c r="S595" t="b">
        <v>0</v>
      </c>
      <c r="T595" s="24" t="str">
        <f t="shared" si="59"/>
        <v>Text only</v>
      </c>
    </row>
    <row r="596" spans="1:20" x14ac:dyDescent="0.2">
      <c r="A596" t="s">
        <v>5018</v>
      </c>
      <c r="B596" t="s">
        <v>2365</v>
      </c>
      <c r="C596" t="s">
        <v>2366</v>
      </c>
      <c r="D596" t="s">
        <v>5019</v>
      </c>
      <c r="E596" t="s">
        <v>5017</v>
      </c>
      <c r="F596" t="str">
        <f>IF(Table2[[#This Row],[Date posted]]&lt; DATE(2015,9,18),"Before Crisis","During Crisis")</f>
        <v>Before Crisis</v>
      </c>
      <c r="G596" s="27">
        <f t="shared" si="54"/>
        <v>42258</v>
      </c>
      <c r="H596" s="7" t="str">
        <f t="shared" si="55"/>
        <v>00:45:38</v>
      </c>
      <c r="I596" s="8" t="str">
        <f t="shared" si="56"/>
        <v>Early morning</v>
      </c>
      <c r="J596" t="s">
        <v>5020</v>
      </c>
      <c r="K596" t="s">
        <v>2370</v>
      </c>
      <c r="L596" s="3">
        <v>0</v>
      </c>
      <c r="M596">
        <v>1</v>
      </c>
      <c r="N596">
        <v>1</v>
      </c>
      <c r="O596" s="4">
        <f t="shared" si="57"/>
        <v>2</v>
      </c>
      <c r="P596" s="5" t="str">
        <f t="shared" si="58"/>
        <v>Low engagement</v>
      </c>
      <c r="Q596" t="b">
        <v>0</v>
      </c>
      <c r="R596" t="b">
        <v>0</v>
      </c>
      <c r="S596" t="b">
        <v>0</v>
      </c>
      <c r="T596" s="24" t="str">
        <f t="shared" si="59"/>
        <v>Text only</v>
      </c>
    </row>
    <row r="597" spans="1:20" hidden="1" x14ac:dyDescent="0.2">
      <c r="A597" t="s">
        <v>4909</v>
      </c>
      <c r="B597" t="s">
        <v>2365</v>
      </c>
      <c r="C597" t="s">
        <v>2366</v>
      </c>
      <c r="D597" t="s">
        <v>4910</v>
      </c>
      <c r="E597" t="s">
        <v>4911</v>
      </c>
      <c r="F597" t="str">
        <f>IF(Table2[[#This Row],[Date posted]]&lt; DATE(2015,9,18),"Before Crisis","During Crisis")</f>
        <v>Before Crisis</v>
      </c>
      <c r="G597" s="27">
        <f t="shared" si="54"/>
        <v>42260</v>
      </c>
      <c r="H597" s="7" t="str">
        <f t="shared" si="55"/>
        <v>19:19:17</v>
      </c>
      <c r="I597" s="8" t="str">
        <f t="shared" si="56"/>
        <v>Evening</v>
      </c>
      <c r="J597" t="s">
        <v>4912</v>
      </c>
      <c r="K597" t="s">
        <v>2370</v>
      </c>
      <c r="L597" s="3">
        <v>0</v>
      </c>
      <c r="M597" s="3">
        <v>0</v>
      </c>
      <c r="N597">
        <v>1</v>
      </c>
      <c r="O597" s="4">
        <f t="shared" si="57"/>
        <v>1</v>
      </c>
      <c r="P597" s="5" t="str">
        <f t="shared" si="58"/>
        <v>Low engagement</v>
      </c>
      <c r="Q597" t="b">
        <v>0</v>
      </c>
      <c r="R597" t="b">
        <v>0</v>
      </c>
      <c r="S597" t="b">
        <v>1</v>
      </c>
      <c r="T597" s="24" t="str">
        <f t="shared" si="59"/>
        <v>Link</v>
      </c>
    </row>
    <row r="598" spans="1:20" hidden="1" x14ac:dyDescent="0.2">
      <c r="A598" t="s">
        <v>4913</v>
      </c>
      <c r="B598" t="s">
        <v>2365</v>
      </c>
      <c r="C598" t="s">
        <v>2366</v>
      </c>
      <c r="D598" t="s">
        <v>4914</v>
      </c>
      <c r="E598" t="s">
        <v>4911</v>
      </c>
      <c r="F598" t="str">
        <f>IF(Table2[[#This Row],[Date posted]]&lt; DATE(2015,9,18),"Before Crisis","During Crisis")</f>
        <v>Before Crisis</v>
      </c>
      <c r="G598" s="27">
        <f t="shared" si="54"/>
        <v>42260</v>
      </c>
      <c r="H598" s="7" t="str">
        <f t="shared" si="55"/>
        <v>19:19:17</v>
      </c>
      <c r="I598" s="8" t="str">
        <f t="shared" si="56"/>
        <v>Evening</v>
      </c>
      <c r="J598" t="s">
        <v>4915</v>
      </c>
      <c r="K598" t="s">
        <v>2370</v>
      </c>
      <c r="L598" s="3">
        <v>0</v>
      </c>
      <c r="M598" s="3">
        <v>0</v>
      </c>
      <c r="N598">
        <v>1</v>
      </c>
      <c r="O598" s="4">
        <f t="shared" si="57"/>
        <v>1</v>
      </c>
      <c r="P598" s="5" t="str">
        <f t="shared" si="58"/>
        <v>Low engagement</v>
      </c>
      <c r="Q598" t="b">
        <v>0</v>
      </c>
      <c r="R598" t="b">
        <v>0</v>
      </c>
      <c r="S598" t="b">
        <v>0</v>
      </c>
      <c r="T598" s="24" t="str">
        <f t="shared" si="59"/>
        <v>Text only</v>
      </c>
    </row>
    <row r="599" spans="1:20" hidden="1" x14ac:dyDescent="0.2">
      <c r="A599" t="s">
        <v>4906</v>
      </c>
      <c r="B599" t="s">
        <v>2365</v>
      </c>
      <c r="C599" t="s">
        <v>2366</v>
      </c>
      <c r="D599" t="s">
        <v>4907</v>
      </c>
      <c r="E599" t="s">
        <v>4908</v>
      </c>
      <c r="F599" t="str">
        <f>IF(Table2[[#This Row],[Date posted]]&lt; DATE(2015,9,18),"Before Crisis","During Crisis")</f>
        <v>Before Crisis</v>
      </c>
      <c r="G599" s="27">
        <f t="shared" si="54"/>
        <v>42260</v>
      </c>
      <c r="H599" s="7" t="str">
        <f t="shared" si="55"/>
        <v>19:19:18</v>
      </c>
      <c r="I599" s="8" t="str">
        <f t="shared" si="56"/>
        <v>Evening</v>
      </c>
      <c r="J599" t="s">
        <v>2370</v>
      </c>
      <c r="K599" t="s">
        <v>2370</v>
      </c>
      <c r="L599" s="3">
        <v>0</v>
      </c>
      <c r="M599" s="3">
        <v>0</v>
      </c>
      <c r="N599">
        <v>1</v>
      </c>
      <c r="O599" s="4">
        <f t="shared" si="57"/>
        <v>1</v>
      </c>
      <c r="P599" s="5" t="str">
        <f t="shared" si="58"/>
        <v>Low engagement</v>
      </c>
      <c r="Q599" t="b">
        <v>0</v>
      </c>
      <c r="R599" t="b">
        <v>0</v>
      </c>
      <c r="S599" t="b">
        <v>0</v>
      </c>
      <c r="T599" s="24" t="str">
        <f t="shared" si="59"/>
        <v>Text only</v>
      </c>
    </row>
    <row r="600" spans="1:20" hidden="1" x14ac:dyDescent="0.2">
      <c r="A600" t="s">
        <v>4893</v>
      </c>
      <c r="B600" t="s">
        <v>2365</v>
      </c>
      <c r="C600" t="s">
        <v>2366</v>
      </c>
      <c r="D600" t="s">
        <v>4894</v>
      </c>
      <c r="E600" t="s">
        <v>4895</v>
      </c>
      <c r="F600" t="str">
        <f>IF(Table2[[#This Row],[Date posted]]&lt; DATE(2015,9,18),"Before Crisis","During Crisis")</f>
        <v>Before Crisis</v>
      </c>
      <c r="G600" s="27">
        <f t="shared" si="54"/>
        <v>42261</v>
      </c>
      <c r="H600" s="7" t="str">
        <f t="shared" si="55"/>
        <v>15:35:43</v>
      </c>
      <c r="I600" s="8" t="str">
        <f t="shared" si="56"/>
        <v>Afternoon</v>
      </c>
      <c r="J600" t="s">
        <v>4892</v>
      </c>
      <c r="K600" t="s">
        <v>2370</v>
      </c>
      <c r="L600" s="3">
        <v>0</v>
      </c>
      <c r="M600" s="3">
        <v>0</v>
      </c>
      <c r="N600">
        <v>1</v>
      </c>
      <c r="O600" s="4">
        <f t="shared" si="57"/>
        <v>1</v>
      </c>
      <c r="P600" s="5" t="str">
        <f t="shared" si="58"/>
        <v>Low engagement</v>
      </c>
      <c r="Q600" t="b">
        <v>0</v>
      </c>
      <c r="R600" t="b">
        <v>0</v>
      </c>
      <c r="S600" t="b">
        <v>0</v>
      </c>
      <c r="T600" s="24" t="str">
        <f t="shared" si="59"/>
        <v>Text only</v>
      </c>
    </row>
    <row r="601" spans="1:20" hidden="1" x14ac:dyDescent="0.2">
      <c r="A601" t="s">
        <v>4886</v>
      </c>
      <c r="B601" t="s">
        <v>2365</v>
      </c>
      <c r="C601" t="s">
        <v>2366</v>
      </c>
      <c r="D601" t="s">
        <v>4887</v>
      </c>
      <c r="E601" t="s">
        <v>4888</v>
      </c>
      <c r="F601" t="str">
        <f>IF(Table2[[#This Row],[Date posted]]&lt; DATE(2015,9,18),"Before Crisis","During Crisis")</f>
        <v>Before Crisis</v>
      </c>
      <c r="G601" s="27">
        <f t="shared" si="54"/>
        <v>42261</v>
      </c>
      <c r="H601" s="7" t="str">
        <f t="shared" si="55"/>
        <v>15:35:44</v>
      </c>
      <c r="I601" s="8" t="str">
        <f t="shared" si="56"/>
        <v>Afternoon</v>
      </c>
      <c r="J601" t="s">
        <v>4889</v>
      </c>
      <c r="K601" t="s">
        <v>2370</v>
      </c>
      <c r="L601">
        <v>1</v>
      </c>
      <c r="M601">
        <v>1</v>
      </c>
      <c r="N601">
        <v>1</v>
      </c>
      <c r="O601" s="4">
        <f t="shared" si="57"/>
        <v>3</v>
      </c>
      <c r="P601" s="5" t="str">
        <f t="shared" si="58"/>
        <v>Low engagement</v>
      </c>
      <c r="Q601" t="b">
        <v>0</v>
      </c>
      <c r="R601" t="b">
        <v>0</v>
      </c>
      <c r="S601" t="b">
        <v>1</v>
      </c>
      <c r="T601" s="24" t="str">
        <f t="shared" si="59"/>
        <v>Link</v>
      </c>
    </row>
    <row r="602" spans="1:20" hidden="1" x14ac:dyDescent="0.2">
      <c r="A602" t="s">
        <v>4877</v>
      </c>
      <c r="B602" t="s">
        <v>2365</v>
      </c>
      <c r="C602" t="s">
        <v>2366</v>
      </c>
      <c r="D602" t="s">
        <v>4878</v>
      </c>
      <c r="E602" t="s">
        <v>4879</v>
      </c>
      <c r="F602" t="str">
        <f>IF(Table2[[#This Row],[Date posted]]&lt; DATE(2015,9,18),"Before Crisis","During Crisis")</f>
        <v>Before Crisis</v>
      </c>
      <c r="G602" s="27">
        <f t="shared" si="54"/>
        <v>42261</v>
      </c>
      <c r="H602" s="7" t="str">
        <f t="shared" si="55"/>
        <v>19:19:07</v>
      </c>
      <c r="I602" s="8" t="str">
        <f t="shared" si="56"/>
        <v>Evening</v>
      </c>
      <c r="J602" t="s">
        <v>2370</v>
      </c>
      <c r="K602" t="s">
        <v>2370</v>
      </c>
      <c r="L602" s="3">
        <v>0</v>
      </c>
      <c r="M602" s="3">
        <v>0</v>
      </c>
      <c r="N602">
        <v>1</v>
      </c>
      <c r="O602" s="4">
        <f t="shared" si="57"/>
        <v>1</v>
      </c>
      <c r="P602" s="5" t="str">
        <f t="shared" si="58"/>
        <v>Low engagement</v>
      </c>
      <c r="Q602" t="b">
        <v>0</v>
      </c>
      <c r="R602" t="b">
        <v>0</v>
      </c>
      <c r="S602" t="b">
        <v>1</v>
      </c>
      <c r="T602" s="24" t="str">
        <f t="shared" si="59"/>
        <v>Link</v>
      </c>
    </row>
    <row r="603" spans="1:20" hidden="1" x14ac:dyDescent="0.2">
      <c r="A603" t="s">
        <v>4873</v>
      </c>
      <c r="B603" t="s">
        <v>2365</v>
      </c>
      <c r="C603" t="s">
        <v>2366</v>
      </c>
      <c r="D603" t="s">
        <v>4874</v>
      </c>
      <c r="E603" t="s">
        <v>4875</v>
      </c>
      <c r="F603" t="str">
        <f>IF(Table2[[#This Row],[Date posted]]&lt; DATE(2015,9,18),"Before Crisis","During Crisis")</f>
        <v>Before Crisis</v>
      </c>
      <c r="G603" s="27">
        <f t="shared" si="54"/>
        <v>42261</v>
      </c>
      <c r="H603" s="7" t="str">
        <f t="shared" si="55"/>
        <v>19:44:27</v>
      </c>
      <c r="I603" s="8" t="str">
        <f t="shared" si="56"/>
        <v>Evening</v>
      </c>
      <c r="J603" t="s">
        <v>4876</v>
      </c>
      <c r="K603" t="s">
        <v>2370</v>
      </c>
      <c r="L603" s="3">
        <v>0</v>
      </c>
      <c r="M603" s="3">
        <v>0</v>
      </c>
      <c r="N603">
        <v>1</v>
      </c>
      <c r="O603" s="4">
        <f t="shared" si="57"/>
        <v>1</v>
      </c>
      <c r="P603" s="5" t="str">
        <f t="shared" si="58"/>
        <v>Low engagement</v>
      </c>
      <c r="Q603" t="b">
        <v>0</v>
      </c>
      <c r="R603" t="b">
        <v>0</v>
      </c>
      <c r="S603" t="b">
        <v>0</v>
      </c>
      <c r="T603" s="24" t="str">
        <f t="shared" si="59"/>
        <v>Text only</v>
      </c>
    </row>
    <row r="604" spans="1:20" hidden="1" x14ac:dyDescent="0.2">
      <c r="A604" t="s">
        <v>4843</v>
      </c>
      <c r="B604" t="s">
        <v>2365</v>
      </c>
      <c r="C604" t="s">
        <v>2366</v>
      </c>
      <c r="D604" t="s">
        <v>4844</v>
      </c>
      <c r="E604" t="s">
        <v>4845</v>
      </c>
      <c r="F604" t="str">
        <f>IF(Table2[[#This Row],[Date posted]]&lt; DATE(2015,9,18),"Before Crisis","During Crisis")</f>
        <v>Before Crisis</v>
      </c>
      <c r="G604" s="27">
        <f t="shared" si="54"/>
        <v>42262</v>
      </c>
      <c r="H604" s="7" t="str">
        <f t="shared" si="55"/>
        <v>17:10:36</v>
      </c>
      <c r="I604" s="8" t="str">
        <f t="shared" si="56"/>
        <v>Afternoon</v>
      </c>
      <c r="J604" t="s">
        <v>4846</v>
      </c>
      <c r="K604" t="s">
        <v>2370</v>
      </c>
      <c r="L604" s="3">
        <v>0</v>
      </c>
      <c r="M604" s="3">
        <v>0</v>
      </c>
      <c r="N604">
        <v>1</v>
      </c>
      <c r="O604" s="4">
        <f t="shared" si="57"/>
        <v>1</v>
      </c>
      <c r="P604" s="5" t="str">
        <f t="shared" si="58"/>
        <v>Low engagement</v>
      </c>
      <c r="Q604" t="b">
        <v>0</v>
      </c>
      <c r="R604" t="b">
        <v>0</v>
      </c>
      <c r="S604" t="b">
        <v>1</v>
      </c>
      <c r="T604" s="24" t="str">
        <f t="shared" si="59"/>
        <v>Link</v>
      </c>
    </row>
    <row r="605" spans="1:20" hidden="1" x14ac:dyDescent="0.2">
      <c r="A605" t="s">
        <v>4821</v>
      </c>
      <c r="B605" t="s">
        <v>2365</v>
      </c>
      <c r="C605" t="s">
        <v>2366</v>
      </c>
      <c r="D605" t="s">
        <v>4822</v>
      </c>
      <c r="E605" t="s">
        <v>4823</v>
      </c>
      <c r="F605" t="str">
        <f>IF(Table2[[#This Row],[Date posted]]&lt; DATE(2015,9,18),"Before Crisis","During Crisis")</f>
        <v>Before Crisis</v>
      </c>
      <c r="G605" s="27">
        <f t="shared" si="54"/>
        <v>42262</v>
      </c>
      <c r="H605" s="7" t="str">
        <f t="shared" si="55"/>
        <v>21:32:14</v>
      </c>
      <c r="I605" s="8" t="str">
        <f t="shared" si="56"/>
        <v>Evening</v>
      </c>
      <c r="J605" t="s">
        <v>4824</v>
      </c>
      <c r="K605" t="s">
        <v>2370</v>
      </c>
      <c r="L605" s="3">
        <v>0</v>
      </c>
      <c r="M605" s="3">
        <v>0</v>
      </c>
      <c r="N605">
        <v>1</v>
      </c>
      <c r="O605" s="4">
        <f t="shared" si="57"/>
        <v>1</v>
      </c>
      <c r="P605" s="5" t="str">
        <f t="shared" si="58"/>
        <v>Low engagement</v>
      </c>
      <c r="Q605" t="b">
        <v>0</v>
      </c>
      <c r="R605" t="b">
        <v>0</v>
      </c>
      <c r="S605" t="b">
        <v>0</v>
      </c>
      <c r="T605" s="24" t="str">
        <f t="shared" si="59"/>
        <v>Text only</v>
      </c>
    </row>
    <row r="606" spans="1:20" hidden="1" x14ac:dyDescent="0.2">
      <c r="A606" t="s">
        <v>4818</v>
      </c>
      <c r="B606" t="s">
        <v>2365</v>
      </c>
      <c r="C606" t="s">
        <v>2366</v>
      </c>
      <c r="D606" t="s">
        <v>4819</v>
      </c>
      <c r="E606" t="s">
        <v>4820</v>
      </c>
      <c r="F606" t="str">
        <f>IF(Table2[[#This Row],[Date posted]]&lt; DATE(2015,9,18),"Before Crisis","During Crisis")</f>
        <v>Before Crisis</v>
      </c>
      <c r="G606" s="27">
        <f t="shared" si="54"/>
        <v>42262</v>
      </c>
      <c r="H606" s="7" t="str">
        <f t="shared" si="55"/>
        <v>21:49:10</v>
      </c>
      <c r="I606" s="8" t="str">
        <f t="shared" si="56"/>
        <v>Evening</v>
      </c>
      <c r="J606" t="s">
        <v>2370</v>
      </c>
      <c r="K606" t="s">
        <v>2370</v>
      </c>
      <c r="L606" s="3">
        <v>0</v>
      </c>
      <c r="M606" s="3">
        <v>0</v>
      </c>
      <c r="N606">
        <v>1</v>
      </c>
      <c r="O606" s="4">
        <f t="shared" si="57"/>
        <v>1</v>
      </c>
      <c r="P606" s="5" t="str">
        <f t="shared" si="58"/>
        <v>Low engagement</v>
      </c>
      <c r="Q606" t="b">
        <v>0</v>
      </c>
      <c r="R606" t="b">
        <v>0</v>
      </c>
      <c r="S606" t="b">
        <v>1</v>
      </c>
      <c r="T606" s="24" t="str">
        <f t="shared" si="59"/>
        <v>Link</v>
      </c>
    </row>
    <row r="607" spans="1:20" hidden="1" x14ac:dyDescent="0.2">
      <c r="A607" t="s">
        <v>4814</v>
      </c>
      <c r="B607" t="s">
        <v>2365</v>
      </c>
      <c r="C607" t="s">
        <v>2366</v>
      </c>
      <c r="D607" t="s">
        <v>4815</v>
      </c>
      <c r="E607" t="s">
        <v>4816</v>
      </c>
      <c r="F607" t="str">
        <f>IF(Table2[[#This Row],[Date posted]]&lt; DATE(2015,9,18),"Before Crisis","During Crisis")</f>
        <v>Before Crisis</v>
      </c>
      <c r="G607" s="27">
        <f t="shared" si="54"/>
        <v>42262</v>
      </c>
      <c r="H607" s="7" t="str">
        <f t="shared" si="55"/>
        <v>21:57:34</v>
      </c>
      <c r="I607" s="8" t="str">
        <f t="shared" si="56"/>
        <v>Evening</v>
      </c>
      <c r="J607" t="s">
        <v>4817</v>
      </c>
      <c r="K607" t="s">
        <v>2370</v>
      </c>
      <c r="L607" s="3">
        <v>0</v>
      </c>
      <c r="M607" s="3">
        <v>0</v>
      </c>
      <c r="N607">
        <v>1</v>
      </c>
      <c r="O607" s="4">
        <f t="shared" si="57"/>
        <v>1</v>
      </c>
      <c r="P607" s="5" t="str">
        <f t="shared" si="58"/>
        <v>Low engagement</v>
      </c>
      <c r="Q607" t="b">
        <v>0</v>
      </c>
      <c r="R607" t="b">
        <v>0</v>
      </c>
      <c r="S607" t="b">
        <v>0</v>
      </c>
      <c r="T607" s="24" t="str">
        <f t="shared" si="59"/>
        <v>Text only</v>
      </c>
    </row>
    <row r="608" spans="1:20" hidden="1" x14ac:dyDescent="0.2">
      <c r="A608" t="s">
        <v>4810</v>
      </c>
      <c r="B608" t="s">
        <v>2365</v>
      </c>
      <c r="C608" t="s">
        <v>2366</v>
      </c>
      <c r="D608" t="s">
        <v>4811</v>
      </c>
      <c r="E608" t="s">
        <v>4812</v>
      </c>
      <c r="F608" t="str">
        <f>IF(Table2[[#This Row],[Date posted]]&lt; DATE(2015,9,18),"Before Crisis","During Crisis")</f>
        <v>Before Crisis</v>
      </c>
      <c r="G608" s="27">
        <f t="shared" si="54"/>
        <v>42262</v>
      </c>
      <c r="H608" s="7" t="str">
        <f t="shared" si="55"/>
        <v>22:47:52</v>
      </c>
      <c r="I608" s="8" t="str">
        <f t="shared" si="56"/>
        <v>Evening</v>
      </c>
      <c r="J608" t="s">
        <v>4813</v>
      </c>
      <c r="K608" t="s">
        <v>2370</v>
      </c>
      <c r="L608">
        <v>1</v>
      </c>
      <c r="M608" s="3">
        <v>0</v>
      </c>
      <c r="N608">
        <v>1</v>
      </c>
      <c r="O608" s="4">
        <f t="shared" si="57"/>
        <v>2</v>
      </c>
      <c r="P608" s="5" t="str">
        <f t="shared" si="58"/>
        <v>Low engagement</v>
      </c>
      <c r="Q608" t="b">
        <v>0</v>
      </c>
      <c r="R608" t="b">
        <v>0</v>
      </c>
      <c r="S608" t="b">
        <v>1</v>
      </c>
      <c r="T608" s="24" t="str">
        <f t="shared" si="59"/>
        <v>Link</v>
      </c>
    </row>
    <row r="609" spans="1:20" hidden="1" x14ac:dyDescent="0.2">
      <c r="A609" t="s">
        <v>4806</v>
      </c>
      <c r="B609" t="s">
        <v>2365</v>
      </c>
      <c r="C609" t="s">
        <v>2366</v>
      </c>
      <c r="D609" t="s">
        <v>4807</v>
      </c>
      <c r="E609" t="s">
        <v>4808</v>
      </c>
      <c r="F609" t="str">
        <f>IF(Table2[[#This Row],[Date posted]]&lt; DATE(2015,9,18),"Before Crisis","During Crisis")</f>
        <v>Before Crisis</v>
      </c>
      <c r="G609" s="27">
        <f t="shared" si="54"/>
        <v>42262</v>
      </c>
      <c r="H609" s="7" t="str">
        <f t="shared" si="55"/>
        <v>22:56:25</v>
      </c>
      <c r="I609" s="8" t="str">
        <f t="shared" si="56"/>
        <v>Evening</v>
      </c>
      <c r="J609" t="s">
        <v>4809</v>
      </c>
      <c r="K609" t="s">
        <v>2370</v>
      </c>
      <c r="L609">
        <v>1</v>
      </c>
      <c r="M609" s="3">
        <v>0</v>
      </c>
      <c r="N609">
        <v>1</v>
      </c>
      <c r="O609" s="4">
        <f t="shared" si="57"/>
        <v>2</v>
      </c>
      <c r="P609" s="5" t="str">
        <f t="shared" si="58"/>
        <v>Low engagement</v>
      </c>
      <c r="Q609" t="b">
        <v>0</v>
      </c>
      <c r="R609" t="b">
        <v>0</v>
      </c>
      <c r="S609" t="b">
        <v>0</v>
      </c>
      <c r="T609" s="24" t="str">
        <f t="shared" si="59"/>
        <v>Text only</v>
      </c>
    </row>
    <row r="610" spans="1:20" hidden="1" x14ac:dyDescent="0.2">
      <c r="A610" t="s">
        <v>4770</v>
      </c>
      <c r="B610" t="s">
        <v>2365</v>
      </c>
      <c r="C610" t="s">
        <v>2366</v>
      </c>
      <c r="D610" t="s">
        <v>4771</v>
      </c>
      <c r="E610" t="s">
        <v>4772</v>
      </c>
      <c r="F610" t="str">
        <f>IF(Table2[[#This Row],[Date posted]]&lt; DATE(2015,9,18),"Before Crisis","During Crisis")</f>
        <v>Before Crisis</v>
      </c>
      <c r="G610" s="27">
        <f t="shared" si="54"/>
        <v>42263</v>
      </c>
      <c r="H610" s="7" t="str">
        <f t="shared" si="55"/>
        <v>22:00:21</v>
      </c>
      <c r="I610" s="8" t="str">
        <f t="shared" si="56"/>
        <v>Evening</v>
      </c>
      <c r="J610" t="s">
        <v>2370</v>
      </c>
      <c r="K610" t="s">
        <v>2370</v>
      </c>
      <c r="L610" s="3">
        <v>0</v>
      </c>
      <c r="M610">
        <v>1</v>
      </c>
      <c r="N610">
        <v>1</v>
      </c>
      <c r="O610" s="4">
        <f t="shared" si="57"/>
        <v>2</v>
      </c>
      <c r="P610" s="5" t="str">
        <f t="shared" si="58"/>
        <v>Low engagement</v>
      </c>
      <c r="Q610" t="b">
        <v>0</v>
      </c>
      <c r="R610" t="b">
        <v>0</v>
      </c>
      <c r="S610" t="b">
        <v>0</v>
      </c>
      <c r="T610" s="24" t="str">
        <f t="shared" si="59"/>
        <v>Text only</v>
      </c>
    </row>
    <row r="611" spans="1:20" hidden="1" x14ac:dyDescent="0.2">
      <c r="A611" t="s">
        <v>4773</v>
      </c>
      <c r="B611" t="s">
        <v>2365</v>
      </c>
      <c r="C611" t="s">
        <v>2366</v>
      </c>
      <c r="D611" t="s">
        <v>4774</v>
      </c>
      <c r="E611" t="s">
        <v>4772</v>
      </c>
      <c r="F611" t="str">
        <f>IF(Table2[[#This Row],[Date posted]]&lt; DATE(2015,9,18),"Before Crisis","During Crisis")</f>
        <v>Before Crisis</v>
      </c>
      <c r="G611" s="27">
        <f t="shared" si="54"/>
        <v>42263</v>
      </c>
      <c r="H611" s="7" t="str">
        <f t="shared" si="55"/>
        <v>22:00:21</v>
      </c>
      <c r="I611" s="8" t="str">
        <f t="shared" si="56"/>
        <v>Evening</v>
      </c>
      <c r="J611" t="s">
        <v>4775</v>
      </c>
      <c r="K611" t="s">
        <v>2370</v>
      </c>
      <c r="L611" s="3">
        <v>0</v>
      </c>
      <c r="M611" s="3">
        <v>0</v>
      </c>
      <c r="N611">
        <v>1</v>
      </c>
      <c r="O611" s="4">
        <f t="shared" si="57"/>
        <v>1</v>
      </c>
      <c r="P611" s="5" t="str">
        <f t="shared" si="58"/>
        <v>Low engagement</v>
      </c>
      <c r="Q611" t="b">
        <v>0</v>
      </c>
      <c r="R611" t="b">
        <v>0</v>
      </c>
      <c r="S611" t="b">
        <v>0</v>
      </c>
      <c r="T611" s="24" t="str">
        <f t="shared" si="59"/>
        <v>Text only</v>
      </c>
    </row>
    <row r="612" spans="1:20" hidden="1" x14ac:dyDescent="0.2">
      <c r="A612" t="s">
        <v>4776</v>
      </c>
      <c r="B612" t="s">
        <v>2365</v>
      </c>
      <c r="C612" t="s">
        <v>2366</v>
      </c>
      <c r="D612" t="s">
        <v>4777</v>
      </c>
      <c r="E612" t="s">
        <v>4772</v>
      </c>
      <c r="F612" t="str">
        <f>IF(Table2[[#This Row],[Date posted]]&lt; DATE(2015,9,18),"Before Crisis","During Crisis")</f>
        <v>Before Crisis</v>
      </c>
      <c r="G612" s="27">
        <f t="shared" si="54"/>
        <v>42263</v>
      </c>
      <c r="H612" s="7" t="str">
        <f t="shared" si="55"/>
        <v>22:00:21</v>
      </c>
      <c r="I612" s="8" t="str">
        <f t="shared" si="56"/>
        <v>Evening</v>
      </c>
      <c r="J612" t="s">
        <v>4778</v>
      </c>
      <c r="K612" t="s">
        <v>2370</v>
      </c>
      <c r="L612" s="3">
        <v>0</v>
      </c>
      <c r="M612">
        <v>4</v>
      </c>
      <c r="N612">
        <v>1</v>
      </c>
      <c r="O612" s="4">
        <f t="shared" si="57"/>
        <v>5</v>
      </c>
      <c r="P612" s="5" t="str">
        <f t="shared" si="58"/>
        <v>Moderate engagement</v>
      </c>
      <c r="Q612" t="b">
        <v>0</v>
      </c>
      <c r="R612" t="b">
        <v>0</v>
      </c>
      <c r="S612" t="b">
        <v>0</v>
      </c>
      <c r="T612" s="24" t="str">
        <f t="shared" si="59"/>
        <v>Text only</v>
      </c>
    </row>
    <row r="613" spans="1:20" hidden="1" x14ac:dyDescent="0.2">
      <c r="A613" t="s">
        <v>4765</v>
      </c>
      <c r="B613" t="s">
        <v>2365</v>
      </c>
      <c r="C613" t="s">
        <v>2366</v>
      </c>
      <c r="D613" t="s">
        <v>4766</v>
      </c>
      <c r="E613" t="s">
        <v>4767</v>
      </c>
      <c r="F613" t="str">
        <f>IF(Table2[[#This Row],[Date posted]]&lt; DATE(2015,9,18),"Before Crisis","During Crisis")</f>
        <v>Before Crisis</v>
      </c>
      <c r="G613" s="27">
        <f t="shared" si="54"/>
        <v>42263</v>
      </c>
      <c r="H613" s="7" t="str">
        <f t="shared" si="55"/>
        <v>22:00:22</v>
      </c>
      <c r="I613" s="8" t="str">
        <f t="shared" si="56"/>
        <v>Evening</v>
      </c>
      <c r="J613" t="s">
        <v>2370</v>
      </c>
      <c r="K613" t="s">
        <v>2370</v>
      </c>
      <c r="L613" s="3">
        <v>0</v>
      </c>
      <c r="M613" s="3">
        <v>0</v>
      </c>
      <c r="N613">
        <v>1</v>
      </c>
      <c r="O613" s="4">
        <f t="shared" si="57"/>
        <v>1</v>
      </c>
      <c r="P613" s="5" t="str">
        <f t="shared" si="58"/>
        <v>Low engagement</v>
      </c>
      <c r="Q613" t="b">
        <v>0</v>
      </c>
      <c r="R613" t="b">
        <v>0</v>
      </c>
      <c r="S613" t="b">
        <v>1</v>
      </c>
      <c r="T613" s="24" t="str">
        <f t="shared" si="59"/>
        <v>Link</v>
      </c>
    </row>
    <row r="614" spans="1:20" hidden="1" x14ac:dyDescent="0.2">
      <c r="A614" t="s">
        <v>4762</v>
      </c>
      <c r="B614" t="s">
        <v>2365</v>
      </c>
      <c r="C614" t="s">
        <v>2366</v>
      </c>
      <c r="D614" t="s">
        <v>4763</v>
      </c>
      <c r="E614" t="s">
        <v>4764</v>
      </c>
      <c r="F614" t="str">
        <f>IF(Table2[[#This Row],[Date posted]]&lt; DATE(2015,9,18),"Before Crisis","During Crisis")</f>
        <v>Before Crisis</v>
      </c>
      <c r="G614" s="27">
        <f t="shared" si="54"/>
        <v>42263</v>
      </c>
      <c r="H614" s="7" t="str">
        <f t="shared" si="55"/>
        <v>22:00:24</v>
      </c>
      <c r="I614" s="8" t="str">
        <f t="shared" si="56"/>
        <v>Evening</v>
      </c>
      <c r="J614" t="s">
        <v>2370</v>
      </c>
      <c r="K614" t="s">
        <v>2370</v>
      </c>
      <c r="L614" s="3">
        <v>0</v>
      </c>
      <c r="M614" s="3">
        <v>0</v>
      </c>
      <c r="N614">
        <v>1</v>
      </c>
      <c r="O614" s="4">
        <f t="shared" si="57"/>
        <v>1</v>
      </c>
      <c r="P614" s="5" t="str">
        <f t="shared" si="58"/>
        <v>Low engagement</v>
      </c>
      <c r="Q614" t="b">
        <v>0</v>
      </c>
      <c r="R614" t="b">
        <v>0</v>
      </c>
      <c r="S614" t="b">
        <v>0</v>
      </c>
      <c r="T614" s="24" t="str">
        <f t="shared" si="59"/>
        <v>Text only</v>
      </c>
    </row>
    <row r="615" spans="1:20" hidden="1" x14ac:dyDescent="0.2">
      <c r="A615" t="s">
        <v>4751</v>
      </c>
      <c r="B615" t="s">
        <v>2365</v>
      </c>
      <c r="C615" t="s">
        <v>2366</v>
      </c>
      <c r="D615" t="s">
        <v>4752</v>
      </c>
      <c r="E615" t="s">
        <v>4753</v>
      </c>
      <c r="F615" t="str">
        <f>IF(Table2[[#This Row],[Date posted]]&lt; DATE(2015,9,18),"Before Crisis","During Crisis")</f>
        <v>Before Crisis</v>
      </c>
      <c r="G615" s="27">
        <f t="shared" si="54"/>
        <v>42264</v>
      </c>
      <c r="H615" s="7" t="str">
        <f t="shared" si="55"/>
        <v>19:22:20</v>
      </c>
      <c r="I615" s="8" t="str">
        <f t="shared" si="56"/>
        <v>Evening</v>
      </c>
      <c r="J615" t="s">
        <v>4754</v>
      </c>
      <c r="K615" t="s">
        <v>2370</v>
      </c>
      <c r="L615" s="3">
        <v>0</v>
      </c>
      <c r="M615" s="3">
        <v>0</v>
      </c>
      <c r="N615">
        <v>1</v>
      </c>
      <c r="O615" s="4">
        <f t="shared" si="57"/>
        <v>1</v>
      </c>
      <c r="P615" s="5" t="str">
        <f t="shared" si="58"/>
        <v>Low engagement</v>
      </c>
      <c r="Q615" t="b">
        <v>0</v>
      </c>
      <c r="R615" t="b">
        <v>0</v>
      </c>
      <c r="S615" t="b">
        <v>1</v>
      </c>
      <c r="T615" s="24" t="str">
        <f t="shared" si="59"/>
        <v>Link</v>
      </c>
    </row>
    <row r="616" spans="1:20" hidden="1" x14ac:dyDescent="0.2">
      <c r="A616" t="s">
        <v>4740</v>
      </c>
      <c r="B616" t="s">
        <v>2365</v>
      </c>
      <c r="C616" t="s">
        <v>2366</v>
      </c>
      <c r="D616" t="s">
        <v>4741</v>
      </c>
      <c r="E616" t="s">
        <v>4742</v>
      </c>
      <c r="F616" t="str">
        <f>IF(Table2[[#This Row],[Date posted]]&lt; DATE(2015,9,18),"Before Crisis","During Crisis")</f>
        <v>Before Crisis</v>
      </c>
      <c r="G616" s="27">
        <f t="shared" si="54"/>
        <v>42264</v>
      </c>
      <c r="H616" s="7" t="str">
        <f t="shared" si="55"/>
        <v>23:11:07</v>
      </c>
      <c r="I616" s="8" t="str">
        <f t="shared" si="56"/>
        <v>Evening</v>
      </c>
      <c r="J616" t="s">
        <v>4743</v>
      </c>
      <c r="K616" t="s">
        <v>2370</v>
      </c>
      <c r="L616">
        <v>1</v>
      </c>
      <c r="M616">
        <v>2</v>
      </c>
      <c r="N616">
        <v>1</v>
      </c>
      <c r="O616" s="4">
        <f t="shared" si="57"/>
        <v>4</v>
      </c>
      <c r="P616" s="5" t="str">
        <f t="shared" si="58"/>
        <v>Low engagement</v>
      </c>
      <c r="Q616" t="b">
        <v>0</v>
      </c>
      <c r="R616" t="b">
        <v>0</v>
      </c>
      <c r="S616" t="b">
        <v>0</v>
      </c>
      <c r="T616" s="24" t="str">
        <f t="shared" si="59"/>
        <v>Text only</v>
      </c>
    </row>
    <row r="617" spans="1:20" hidden="1" x14ac:dyDescent="0.2">
      <c r="A617" t="s">
        <v>4734</v>
      </c>
      <c r="B617" t="s">
        <v>2365</v>
      </c>
      <c r="C617" t="s">
        <v>2366</v>
      </c>
      <c r="D617" t="s">
        <v>4735</v>
      </c>
      <c r="E617" t="s">
        <v>4736</v>
      </c>
      <c r="F617" t="str">
        <f>IF(Table2[[#This Row],[Date posted]]&lt; DATE(2015,9,18),"Before Crisis","During Crisis")</f>
        <v>Before Crisis</v>
      </c>
      <c r="G617" s="27">
        <f t="shared" si="54"/>
        <v>42264</v>
      </c>
      <c r="H617" s="7" t="str">
        <f t="shared" si="55"/>
        <v>23:19:26</v>
      </c>
      <c r="I617" s="8" t="str">
        <f t="shared" si="56"/>
        <v>Evening</v>
      </c>
      <c r="J617" t="s">
        <v>2370</v>
      </c>
      <c r="K617" t="s">
        <v>2370</v>
      </c>
      <c r="L617" s="3">
        <v>0</v>
      </c>
      <c r="M617" s="3">
        <v>0</v>
      </c>
      <c r="N617">
        <v>1</v>
      </c>
      <c r="O617" s="4">
        <f t="shared" si="57"/>
        <v>1</v>
      </c>
      <c r="P617" s="5" t="str">
        <f t="shared" si="58"/>
        <v>Low engagement</v>
      </c>
      <c r="Q617" t="b">
        <v>0</v>
      </c>
      <c r="R617" t="b">
        <v>0</v>
      </c>
      <c r="S617" t="b">
        <v>1</v>
      </c>
      <c r="T617" s="24" t="str">
        <f t="shared" si="59"/>
        <v>Link</v>
      </c>
    </row>
    <row r="618" spans="1:20" hidden="1" x14ac:dyDescent="0.2">
      <c r="A618" t="s">
        <v>4728</v>
      </c>
      <c r="B618" t="s">
        <v>2365</v>
      </c>
      <c r="C618" t="s">
        <v>2366</v>
      </c>
      <c r="D618" t="s">
        <v>4729</v>
      </c>
      <c r="E618" t="s">
        <v>4730</v>
      </c>
      <c r="F618" t="str">
        <f>IF(Table2[[#This Row],[Date posted]]&lt; DATE(2015,9,18),"Before Crisis","During Crisis")</f>
        <v>Before Crisis</v>
      </c>
      <c r="G618" s="27">
        <f t="shared" si="54"/>
        <v>42264</v>
      </c>
      <c r="H618" s="7" t="str">
        <f t="shared" si="55"/>
        <v>23:19:27</v>
      </c>
      <c r="I618" s="8" t="str">
        <f t="shared" si="56"/>
        <v>Evening</v>
      </c>
      <c r="J618" t="s">
        <v>2370</v>
      </c>
      <c r="K618" t="s">
        <v>2370</v>
      </c>
      <c r="L618" s="3">
        <v>0</v>
      </c>
      <c r="M618" s="3">
        <v>0</v>
      </c>
      <c r="N618">
        <v>1</v>
      </c>
      <c r="O618" s="4">
        <f t="shared" si="57"/>
        <v>1</v>
      </c>
      <c r="P618" s="5" t="str">
        <f t="shared" si="58"/>
        <v>Low engagement</v>
      </c>
      <c r="Q618" t="b">
        <v>0</v>
      </c>
      <c r="R618" t="b">
        <v>0</v>
      </c>
      <c r="S618" t="b">
        <v>0</v>
      </c>
      <c r="T618" s="24" t="str">
        <f t="shared" si="59"/>
        <v>Text only</v>
      </c>
    </row>
    <row r="619" spans="1:20" hidden="1" x14ac:dyDescent="0.2">
      <c r="A619" t="s">
        <v>4722</v>
      </c>
      <c r="B619" t="s">
        <v>2365</v>
      </c>
      <c r="C619" t="s">
        <v>2366</v>
      </c>
      <c r="D619" t="s">
        <v>4723</v>
      </c>
      <c r="E619" t="s">
        <v>4724</v>
      </c>
      <c r="F619" t="str">
        <f>IF(Table2[[#This Row],[Date posted]]&lt; DATE(2015,9,18),"Before Crisis","During Crisis")</f>
        <v>Before Crisis</v>
      </c>
      <c r="G619" s="27">
        <f t="shared" si="54"/>
        <v>42264</v>
      </c>
      <c r="H619" s="7" t="str">
        <f t="shared" si="55"/>
        <v>23:19:28</v>
      </c>
      <c r="I619" s="8" t="str">
        <f t="shared" si="56"/>
        <v>Evening</v>
      </c>
      <c r="J619" t="s">
        <v>4725</v>
      </c>
      <c r="K619" t="s">
        <v>2370</v>
      </c>
      <c r="L619" s="3">
        <v>0</v>
      </c>
      <c r="M619" s="3">
        <v>0</v>
      </c>
      <c r="N619">
        <v>1</v>
      </c>
      <c r="O619" s="4">
        <f t="shared" si="57"/>
        <v>1</v>
      </c>
      <c r="P619" s="5" t="str">
        <f t="shared" si="58"/>
        <v>Low engagement</v>
      </c>
      <c r="Q619" t="b">
        <v>0</v>
      </c>
      <c r="R619" t="b">
        <v>0</v>
      </c>
      <c r="S619" t="b">
        <v>0</v>
      </c>
      <c r="T619" s="24" t="str">
        <f t="shared" si="59"/>
        <v>Text only</v>
      </c>
    </row>
    <row r="620" spans="1:20" hidden="1" x14ac:dyDescent="0.2">
      <c r="A620" t="s">
        <v>4718</v>
      </c>
      <c r="B620" t="s">
        <v>2365</v>
      </c>
      <c r="C620" t="s">
        <v>2366</v>
      </c>
      <c r="D620" t="s">
        <v>4719</v>
      </c>
      <c r="E620" t="s">
        <v>4720</v>
      </c>
      <c r="F620" t="str">
        <f>IF(Table2[[#This Row],[Date posted]]&lt; DATE(2015,9,18),"Before Crisis","During Crisis")</f>
        <v>Before Crisis</v>
      </c>
      <c r="G620" s="27">
        <f t="shared" si="54"/>
        <v>42264</v>
      </c>
      <c r="H620" s="7" t="str">
        <f t="shared" si="55"/>
        <v>23:19:29</v>
      </c>
      <c r="I620" s="8" t="str">
        <f t="shared" si="56"/>
        <v>Evening</v>
      </c>
      <c r="J620" t="s">
        <v>4721</v>
      </c>
      <c r="K620" t="s">
        <v>2370</v>
      </c>
      <c r="L620" s="3">
        <v>0</v>
      </c>
      <c r="M620" s="3">
        <v>0</v>
      </c>
      <c r="N620">
        <v>1</v>
      </c>
      <c r="O620" s="4">
        <f t="shared" si="57"/>
        <v>1</v>
      </c>
      <c r="P620" s="5" t="str">
        <f t="shared" si="58"/>
        <v>Low engagement</v>
      </c>
      <c r="Q620" t="b">
        <v>0</v>
      </c>
      <c r="R620" t="b">
        <v>0</v>
      </c>
      <c r="S620" t="b">
        <v>1</v>
      </c>
      <c r="T620" s="24" t="str">
        <f t="shared" si="59"/>
        <v>Link</v>
      </c>
    </row>
    <row r="621" spans="1:20" hidden="1" x14ac:dyDescent="0.2">
      <c r="A621" t="s">
        <v>4715</v>
      </c>
      <c r="B621" t="s">
        <v>2365</v>
      </c>
      <c r="C621" t="s">
        <v>2366</v>
      </c>
      <c r="D621" t="s">
        <v>4716</v>
      </c>
      <c r="E621" t="s">
        <v>4717</v>
      </c>
      <c r="F621" t="str">
        <f>IF(Table2[[#This Row],[Date posted]]&lt; DATE(2015,9,18),"Before Crisis","During Crisis")</f>
        <v>Before Crisis</v>
      </c>
      <c r="G621" s="27">
        <f t="shared" si="54"/>
        <v>42264</v>
      </c>
      <c r="H621" s="7" t="str">
        <f t="shared" si="55"/>
        <v>23:19:30</v>
      </c>
      <c r="I621" s="8" t="str">
        <f t="shared" si="56"/>
        <v>Evening</v>
      </c>
      <c r="J621" t="s">
        <v>2370</v>
      </c>
      <c r="K621" t="s">
        <v>2370</v>
      </c>
      <c r="L621" s="3">
        <v>0</v>
      </c>
      <c r="M621" s="3">
        <v>0</v>
      </c>
      <c r="N621">
        <v>1</v>
      </c>
      <c r="O621" s="4">
        <f t="shared" si="57"/>
        <v>1</v>
      </c>
      <c r="P621" s="5" t="str">
        <f t="shared" si="58"/>
        <v>Low engagement</v>
      </c>
      <c r="Q621" t="b">
        <v>0</v>
      </c>
      <c r="R621" t="b">
        <v>0</v>
      </c>
      <c r="S621" t="b">
        <v>0</v>
      </c>
      <c r="T621" s="24" t="str">
        <f t="shared" si="59"/>
        <v>Text only</v>
      </c>
    </row>
    <row r="622" spans="1:20" x14ac:dyDescent="0.2">
      <c r="A622" t="s">
        <v>4711</v>
      </c>
      <c r="B622" t="s">
        <v>2365</v>
      </c>
      <c r="C622" t="s">
        <v>2366</v>
      </c>
      <c r="D622" t="s">
        <v>4712</v>
      </c>
      <c r="E622" t="s">
        <v>4713</v>
      </c>
      <c r="F622" t="str">
        <f>IF(Table2[[#This Row],[Date posted]]&lt; DATE(2015,9,18),"Before Crisis","During Crisis")</f>
        <v>During Crisis</v>
      </c>
      <c r="G622" s="27">
        <f t="shared" si="54"/>
        <v>42265</v>
      </c>
      <c r="H622" s="7" t="str">
        <f t="shared" si="55"/>
        <v>00:18:07</v>
      </c>
      <c r="I622" s="8" t="str">
        <f t="shared" si="56"/>
        <v>Early morning</v>
      </c>
      <c r="J622" t="s">
        <v>4714</v>
      </c>
      <c r="K622" t="s">
        <v>2370</v>
      </c>
      <c r="L622">
        <v>1</v>
      </c>
      <c r="M622">
        <v>1</v>
      </c>
      <c r="N622">
        <v>1</v>
      </c>
      <c r="O622" s="4">
        <f t="shared" si="57"/>
        <v>3</v>
      </c>
      <c r="P622" s="5" t="str">
        <f t="shared" si="58"/>
        <v>Low engagement</v>
      </c>
      <c r="Q622" t="b">
        <v>0</v>
      </c>
      <c r="R622" t="b">
        <v>0</v>
      </c>
      <c r="S622" t="b">
        <v>0</v>
      </c>
      <c r="T622" s="24" t="str">
        <f t="shared" si="59"/>
        <v>Text only</v>
      </c>
    </row>
    <row r="623" spans="1:20" hidden="1" x14ac:dyDescent="0.2">
      <c r="A623" t="s">
        <v>4700</v>
      </c>
      <c r="B623" t="s">
        <v>2365</v>
      </c>
      <c r="C623" t="s">
        <v>2366</v>
      </c>
      <c r="D623" t="s">
        <v>4701</v>
      </c>
      <c r="E623" t="s">
        <v>4702</v>
      </c>
      <c r="F623" t="str">
        <f>IF(Table2[[#This Row],[Date posted]]&lt; DATE(2015,9,18),"Before Crisis","During Crisis")</f>
        <v>During Crisis</v>
      </c>
      <c r="G623" s="27">
        <f t="shared" si="54"/>
        <v>42265</v>
      </c>
      <c r="H623" s="7" t="str">
        <f t="shared" si="55"/>
        <v>14:03:40</v>
      </c>
      <c r="I623" s="8" t="str">
        <f t="shared" si="56"/>
        <v>Afternoon</v>
      </c>
      <c r="J623" t="s">
        <v>4703</v>
      </c>
      <c r="K623" t="s">
        <v>2370</v>
      </c>
      <c r="L623">
        <v>1</v>
      </c>
      <c r="M623" s="3">
        <v>0</v>
      </c>
      <c r="N623">
        <v>1</v>
      </c>
      <c r="O623" s="4">
        <f t="shared" si="57"/>
        <v>2</v>
      </c>
      <c r="P623" s="5" t="str">
        <f t="shared" si="58"/>
        <v>Low engagement</v>
      </c>
      <c r="Q623" t="b">
        <v>0</v>
      </c>
      <c r="R623" t="b">
        <v>0</v>
      </c>
      <c r="S623" t="b">
        <v>0</v>
      </c>
      <c r="T623" s="24" t="str">
        <f t="shared" si="59"/>
        <v>Text only</v>
      </c>
    </row>
    <row r="624" spans="1:20" hidden="1" x14ac:dyDescent="0.2">
      <c r="A624" t="s">
        <v>4696</v>
      </c>
      <c r="B624" t="s">
        <v>2365</v>
      </c>
      <c r="C624" t="s">
        <v>2366</v>
      </c>
      <c r="D624" t="s">
        <v>4697</v>
      </c>
      <c r="E624" t="s">
        <v>4698</v>
      </c>
      <c r="F624" t="str">
        <f>IF(Table2[[#This Row],[Date posted]]&lt; DATE(2015,9,18),"Before Crisis","During Crisis")</f>
        <v>During Crisis</v>
      </c>
      <c r="G624" s="27">
        <f t="shared" si="54"/>
        <v>42265</v>
      </c>
      <c r="H624" s="7" t="str">
        <f t="shared" si="55"/>
        <v>14:12:05</v>
      </c>
      <c r="I624" s="8" t="str">
        <f t="shared" si="56"/>
        <v>Afternoon</v>
      </c>
      <c r="J624" t="s">
        <v>4699</v>
      </c>
      <c r="K624" t="s">
        <v>2370</v>
      </c>
      <c r="L624">
        <v>1</v>
      </c>
      <c r="M624" s="3">
        <v>0</v>
      </c>
      <c r="N624">
        <v>1</v>
      </c>
      <c r="O624" s="4">
        <f t="shared" si="57"/>
        <v>2</v>
      </c>
      <c r="P624" s="5" t="str">
        <f t="shared" si="58"/>
        <v>Low engagement</v>
      </c>
      <c r="Q624" t="b">
        <v>0</v>
      </c>
      <c r="R624" t="b">
        <v>0</v>
      </c>
      <c r="S624" t="b">
        <v>0</v>
      </c>
      <c r="T624" s="24" t="str">
        <f t="shared" si="59"/>
        <v>Text only</v>
      </c>
    </row>
    <row r="625" spans="1:20" hidden="1" x14ac:dyDescent="0.2">
      <c r="A625" t="s">
        <v>4693</v>
      </c>
      <c r="B625" t="s">
        <v>2365</v>
      </c>
      <c r="C625" t="s">
        <v>2366</v>
      </c>
      <c r="D625" t="s">
        <v>4694</v>
      </c>
      <c r="E625" t="s">
        <v>4695</v>
      </c>
      <c r="F625" t="str">
        <f>IF(Table2[[#This Row],[Date posted]]&lt; DATE(2015,9,18),"Before Crisis","During Crisis")</f>
        <v>During Crisis</v>
      </c>
      <c r="G625" s="27">
        <f t="shared" si="54"/>
        <v>42265</v>
      </c>
      <c r="H625" s="7" t="str">
        <f t="shared" si="55"/>
        <v>14:28:50</v>
      </c>
      <c r="I625" s="8" t="str">
        <f t="shared" si="56"/>
        <v>Afternoon</v>
      </c>
      <c r="J625" t="s">
        <v>2370</v>
      </c>
      <c r="K625" t="s">
        <v>2370</v>
      </c>
      <c r="L625">
        <v>3</v>
      </c>
      <c r="M625" s="3">
        <v>0</v>
      </c>
      <c r="N625">
        <v>1</v>
      </c>
      <c r="O625" s="4">
        <f t="shared" si="57"/>
        <v>4</v>
      </c>
      <c r="P625" s="5" t="str">
        <f t="shared" si="58"/>
        <v>Low engagement</v>
      </c>
      <c r="Q625" t="b">
        <v>0</v>
      </c>
      <c r="R625" t="b">
        <v>0</v>
      </c>
      <c r="S625" t="b">
        <v>0</v>
      </c>
      <c r="T625" s="24" t="str">
        <f t="shared" si="59"/>
        <v>Text only</v>
      </c>
    </row>
    <row r="626" spans="1:20" hidden="1" x14ac:dyDescent="0.2">
      <c r="A626" t="s">
        <v>4685</v>
      </c>
      <c r="B626" t="s">
        <v>2365</v>
      </c>
      <c r="C626" t="s">
        <v>2366</v>
      </c>
      <c r="D626" t="s">
        <v>4686</v>
      </c>
      <c r="E626" t="s">
        <v>4687</v>
      </c>
      <c r="F626" t="str">
        <f>IF(Table2[[#This Row],[Date posted]]&lt; DATE(2015,9,18),"Before Crisis","During Crisis")</f>
        <v>During Crisis</v>
      </c>
      <c r="G626" s="27">
        <f t="shared" si="54"/>
        <v>42265</v>
      </c>
      <c r="H626" s="7" t="str">
        <f t="shared" si="55"/>
        <v>14:58:21</v>
      </c>
      <c r="I626" s="8" t="str">
        <f t="shared" si="56"/>
        <v>Afternoon</v>
      </c>
      <c r="J626" t="s">
        <v>4688</v>
      </c>
      <c r="K626" t="s">
        <v>2370</v>
      </c>
      <c r="L626">
        <v>1</v>
      </c>
      <c r="M626">
        <v>1</v>
      </c>
      <c r="N626">
        <v>1</v>
      </c>
      <c r="O626" s="4">
        <f t="shared" si="57"/>
        <v>3</v>
      </c>
      <c r="P626" s="5" t="str">
        <f t="shared" si="58"/>
        <v>Low engagement</v>
      </c>
      <c r="Q626" t="b">
        <v>0</v>
      </c>
      <c r="R626" t="b">
        <v>0</v>
      </c>
      <c r="S626" t="b">
        <v>0</v>
      </c>
      <c r="T626" s="24" t="str">
        <f t="shared" si="59"/>
        <v>Text only</v>
      </c>
    </row>
    <row r="627" spans="1:20" hidden="1" x14ac:dyDescent="0.2">
      <c r="A627" t="s">
        <v>4674</v>
      </c>
      <c r="B627" t="s">
        <v>2365</v>
      </c>
      <c r="C627" t="s">
        <v>2366</v>
      </c>
      <c r="D627" t="s">
        <v>4675</v>
      </c>
      <c r="E627" t="s">
        <v>4676</v>
      </c>
      <c r="F627" t="str">
        <f>IF(Table2[[#This Row],[Date posted]]&lt; DATE(2015,9,18),"Before Crisis","During Crisis")</f>
        <v>During Crisis</v>
      </c>
      <c r="G627" s="27">
        <f t="shared" si="54"/>
        <v>42265</v>
      </c>
      <c r="H627" s="7" t="str">
        <f t="shared" si="55"/>
        <v>16:28:47</v>
      </c>
      <c r="I627" s="8" t="str">
        <f t="shared" si="56"/>
        <v>Afternoon</v>
      </c>
      <c r="J627" t="s">
        <v>4677</v>
      </c>
      <c r="K627" t="s">
        <v>2370</v>
      </c>
      <c r="L627">
        <v>2</v>
      </c>
      <c r="M627">
        <v>3</v>
      </c>
      <c r="N627">
        <v>1</v>
      </c>
      <c r="O627" s="4">
        <f t="shared" si="57"/>
        <v>6</v>
      </c>
      <c r="P627" s="5" t="str">
        <f t="shared" si="58"/>
        <v>Moderate engagement</v>
      </c>
      <c r="Q627" t="b">
        <v>0</v>
      </c>
      <c r="R627" t="b">
        <v>0</v>
      </c>
      <c r="S627" t="b">
        <v>1</v>
      </c>
      <c r="T627" s="24" t="str">
        <f t="shared" si="59"/>
        <v>Link</v>
      </c>
    </row>
    <row r="628" spans="1:20" hidden="1" x14ac:dyDescent="0.2">
      <c r="A628" t="s">
        <v>4672</v>
      </c>
      <c r="B628" t="s">
        <v>2365</v>
      </c>
      <c r="C628" t="s">
        <v>2366</v>
      </c>
      <c r="D628" t="s">
        <v>4673</v>
      </c>
      <c r="E628" t="s">
        <v>4671</v>
      </c>
      <c r="F628" t="str">
        <f>IF(Table2[[#This Row],[Date posted]]&lt; DATE(2015,9,18),"Before Crisis","During Crisis")</f>
        <v>During Crisis</v>
      </c>
      <c r="G628" s="27">
        <f t="shared" si="54"/>
        <v>42265</v>
      </c>
      <c r="H628" s="7" t="str">
        <f t="shared" si="55"/>
        <v>21:20:56</v>
      </c>
      <c r="I628" s="8" t="str">
        <f t="shared" si="56"/>
        <v>Evening</v>
      </c>
      <c r="J628" t="s">
        <v>2370</v>
      </c>
      <c r="K628" t="s">
        <v>2370</v>
      </c>
      <c r="L628" s="3">
        <v>0</v>
      </c>
      <c r="M628" s="3">
        <v>0</v>
      </c>
      <c r="N628">
        <v>1</v>
      </c>
      <c r="O628" s="4">
        <f t="shared" si="57"/>
        <v>1</v>
      </c>
      <c r="P628" s="5" t="str">
        <f t="shared" si="58"/>
        <v>Low engagement</v>
      </c>
      <c r="Q628" t="b">
        <v>0</v>
      </c>
      <c r="R628" t="b">
        <v>0</v>
      </c>
      <c r="S628" t="b">
        <v>0</v>
      </c>
      <c r="T628" s="24" t="str">
        <f t="shared" si="59"/>
        <v>Text only</v>
      </c>
    </row>
    <row r="629" spans="1:20" hidden="1" x14ac:dyDescent="0.2">
      <c r="A629" t="s">
        <v>4655</v>
      </c>
      <c r="B629" t="s">
        <v>2365</v>
      </c>
      <c r="C629" t="s">
        <v>2366</v>
      </c>
      <c r="D629" t="s">
        <v>4656</v>
      </c>
      <c r="E629" t="s">
        <v>4657</v>
      </c>
      <c r="F629" t="str">
        <f>IF(Table2[[#This Row],[Date posted]]&lt; DATE(2015,9,18),"Before Crisis","During Crisis")</f>
        <v>During Crisis</v>
      </c>
      <c r="G629" s="27">
        <f t="shared" si="54"/>
        <v>42265</v>
      </c>
      <c r="H629" s="7" t="str">
        <f t="shared" si="55"/>
        <v>21:20:58</v>
      </c>
      <c r="I629" s="8" t="str">
        <f t="shared" si="56"/>
        <v>Evening</v>
      </c>
      <c r="J629" t="s">
        <v>2370</v>
      </c>
      <c r="K629" t="s">
        <v>2370</v>
      </c>
      <c r="L629" s="3">
        <v>0</v>
      </c>
      <c r="M629">
        <v>2</v>
      </c>
      <c r="N629">
        <v>1</v>
      </c>
      <c r="O629" s="4">
        <f t="shared" si="57"/>
        <v>3</v>
      </c>
      <c r="P629" s="5" t="str">
        <f t="shared" si="58"/>
        <v>Low engagement</v>
      </c>
      <c r="Q629" t="b">
        <v>0</v>
      </c>
      <c r="R629" t="b">
        <v>0</v>
      </c>
      <c r="S629" t="b">
        <v>1</v>
      </c>
      <c r="T629" s="24" t="str">
        <f t="shared" si="59"/>
        <v>Link</v>
      </c>
    </row>
    <row r="630" spans="1:20" hidden="1" x14ac:dyDescent="0.2">
      <c r="A630" t="s">
        <v>4660</v>
      </c>
      <c r="B630" t="s">
        <v>2365</v>
      </c>
      <c r="C630" t="s">
        <v>2366</v>
      </c>
      <c r="D630" t="s">
        <v>4661</v>
      </c>
      <c r="E630" t="s">
        <v>4657</v>
      </c>
      <c r="F630" t="str">
        <f>IF(Table2[[#This Row],[Date posted]]&lt; DATE(2015,9,18),"Before Crisis","During Crisis")</f>
        <v>During Crisis</v>
      </c>
      <c r="G630" s="27">
        <f t="shared" si="54"/>
        <v>42265</v>
      </c>
      <c r="H630" s="7" t="str">
        <f t="shared" si="55"/>
        <v>21:20:58</v>
      </c>
      <c r="I630" s="8" t="str">
        <f t="shared" si="56"/>
        <v>Evening</v>
      </c>
      <c r="J630" t="s">
        <v>2200</v>
      </c>
      <c r="K630" t="s">
        <v>2370</v>
      </c>
      <c r="L630" s="3">
        <v>0</v>
      </c>
      <c r="M630">
        <v>1</v>
      </c>
      <c r="N630">
        <v>1</v>
      </c>
      <c r="O630" s="4">
        <f t="shared" si="57"/>
        <v>2</v>
      </c>
      <c r="P630" s="5" t="str">
        <f t="shared" si="58"/>
        <v>Low engagement</v>
      </c>
      <c r="Q630" t="b">
        <v>0</v>
      </c>
      <c r="R630" t="b">
        <v>0</v>
      </c>
      <c r="S630" t="b">
        <v>0</v>
      </c>
      <c r="T630" s="24" t="str">
        <f t="shared" si="59"/>
        <v>Text only</v>
      </c>
    </row>
    <row r="631" spans="1:20" hidden="1" x14ac:dyDescent="0.2">
      <c r="A631" t="s">
        <v>4651</v>
      </c>
      <c r="B631" t="s">
        <v>2365</v>
      </c>
      <c r="C631" t="s">
        <v>2366</v>
      </c>
      <c r="D631" t="s">
        <v>4652</v>
      </c>
      <c r="E631" t="s">
        <v>4653</v>
      </c>
      <c r="F631" t="str">
        <f>IF(Table2[[#This Row],[Date posted]]&lt; DATE(2015,9,18),"Before Crisis","During Crisis")</f>
        <v>During Crisis</v>
      </c>
      <c r="G631" s="27">
        <f t="shared" si="54"/>
        <v>42265</v>
      </c>
      <c r="H631" s="7" t="str">
        <f t="shared" si="55"/>
        <v>21:24:28</v>
      </c>
      <c r="I631" s="8" t="str">
        <f t="shared" si="56"/>
        <v>Evening</v>
      </c>
      <c r="J631" t="s">
        <v>4654</v>
      </c>
      <c r="K631" t="s">
        <v>2370</v>
      </c>
      <c r="L631">
        <v>3</v>
      </c>
      <c r="M631">
        <v>1</v>
      </c>
      <c r="N631">
        <v>1</v>
      </c>
      <c r="O631" s="4">
        <f t="shared" si="57"/>
        <v>5</v>
      </c>
      <c r="P631" s="5" t="str">
        <f t="shared" si="58"/>
        <v>Moderate engagement</v>
      </c>
      <c r="Q631" t="b">
        <v>0</v>
      </c>
      <c r="R631" t="b">
        <v>0</v>
      </c>
      <c r="S631" t="b">
        <v>0</v>
      </c>
      <c r="T631" s="24" t="str">
        <f t="shared" si="59"/>
        <v>Text only</v>
      </c>
    </row>
    <row r="632" spans="1:20" hidden="1" x14ac:dyDescent="0.2">
      <c r="A632" t="s">
        <v>4648</v>
      </c>
      <c r="B632" t="s">
        <v>2365</v>
      </c>
      <c r="C632" t="s">
        <v>2366</v>
      </c>
      <c r="D632" t="s">
        <v>4649</v>
      </c>
      <c r="E632" t="s">
        <v>4650</v>
      </c>
      <c r="F632" t="str">
        <f>IF(Table2[[#This Row],[Date posted]]&lt; DATE(2015,9,18),"Before Crisis","During Crisis")</f>
        <v>During Crisis</v>
      </c>
      <c r="G632" s="27">
        <f t="shared" si="54"/>
        <v>42268</v>
      </c>
      <c r="H632" s="7" t="str">
        <f t="shared" si="55"/>
        <v>15:43:35</v>
      </c>
      <c r="I632" s="8" t="str">
        <f t="shared" si="56"/>
        <v>Afternoon</v>
      </c>
      <c r="J632" t="s">
        <v>2370</v>
      </c>
      <c r="K632" t="s">
        <v>2370</v>
      </c>
      <c r="L632" s="3">
        <v>0</v>
      </c>
      <c r="M632" s="3">
        <v>0</v>
      </c>
      <c r="N632">
        <v>1</v>
      </c>
      <c r="O632" s="4">
        <f t="shared" si="57"/>
        <v>1</v>
      </c>
      <c r="P632" s="5" t="str">
        <f t="shared" si="58"/>
        <v>Low engagement</v>
      </c>
      <c r="Q632" t="b">
        <v>0</v>
      </c>
      <c r="R632" t="b">
        <v>0</v>
      </c>
      <c r="S632" t="b">
        <v>1</v>
      </c>
      <c r="T632" s="24" t="str">
        <f t="shared" si="59"/>
        <v>Link</v>
      </c>
    </row>
    <row r="633" spans="1:20" hidden="1" x14ac:dyDescent="0.2">
      <c r="A633" t="s">
        <v>4628</v>
      </c>
      <c r="B633" t="s">
        <v>2365</v>
      </c>
      <c r="C633" t="s">
        <v>2366</v>
      </c>
      <c r="D633" t="s">
        <v>4629</v>
      </c>
      <c r="E633" t="s">
        <v>4630</v>
      </c>
      <c r="F633" t="str">
        <f>IF(Table2[[#This Row],[Date posted]]&lt; DATE(2015,9,18),"Before Crisis","During Crisis")</f>
        <v>During Crisis</v>
      </c>
      <c r="G633" s="27">
        <f t="shared" si="54"/>
        <v>42268</v>
      </c>
      <c r="H633" s="7" t="str">
        <f t="shared" si="55"/>
        <v>20:30:10</v>
      </c>
      <c r="I633" s="8" t="str">
        <f t="shared" si="56"/>
        <v>Evening</v>
      </c>
      <c r="J633" t="s">
        <v>4631</v>
      </c>
      <c r="K633" t="s">
        <v>2370</v>
      </c>
      <c r="L633" s="3">
        <v>0</v>
      </c>
      <c r="M633" s="3">
        <v>0</v>
      </c>
      <c r="N633">
        <v>1</v>
      </c>
      <c r="O633" s="4">
        <f t="shared" si="57"/>
        <v>1</v>
      </c>
      <c r="P633" s="5" t="str">
        <f t="shared" si="58"/>
        <v>Low engagement</v>
      </c>
      <c r="Q633" t="b">
        <v>0</v>
      </c>
      <c r="R633" t="b">
        <v>0</v>
      </c>
      <c r="S633" t="b">
        <v>1</v>
      </c>
      <c r="T633" s="24" t="str">
        <f t="shared" si="59"/>
        <v>Link</v>
      </c>
    </row>
    <row r="634" spans="1:20" hidden="1" x14ac:dyDescent="0.2">
      <c r="A634" t="s">
        <v>4625</v>
      </c>
      <c r="B634" t="s">
        <v>2365</v>
      </c>
      <c r="C634" t="s">
        <v>2366</v>
      </c>
      <c r="D634" t="s">
        <v>4626</v>
      </c>
      <c r="E634" t="s">
        <v>4627</v>
      </c>
      <c r="F634" t="str">
        <f>IF(Table2[[#This Row],[Date posted]]&lt; DATE(2015,9,18),"Before Crisis","During Crisis")</f>
        <v>During Crisis</v>
      </c>
      <c r="G634" s="27">
        <f t="shared" si="54"/>
        <v>42268</v>
      </c>
      <c r="H634" s="7" t="str">
        <f t="shared" si="55"/>
        <v>21:40:44</v>
      </c>
      <c r="I634" s="8" t="str">
        <f t="shared" si="56"/>
        <v>Evening</v>
      </c>
      <c r="J634" t="s">
        <v>4624</v>
      </c>
      <c r="K634" t="s">
        <v>2370</v>
      </c>
      <c r="L634" s="3">
        <v>0</v>
      </c>
      <c r="M634" s="3">
        <v>0</v>
      </c>
      <c r="N634">
        <v>1</v>
      </c>
      <c r="O634" s="4">
        <f t="shared" si="57"/>
        <v>1</v>
      </c>
      <c r="P634" s="5" t="str">
        <f t="shared" si="58"/>
        <v>Low engagement</v>
      </c>
      <c r="Q634" t="b">
        <v>0</v>
      </c>
      <c r="R634" t="b">
        <v>0</v>
      </c>
      <c r="S634" t="b">
        <v>0</v>
      </c>
      <c r="T634" s="24" t="str">
        <f t="shared" si="59"/>
        <v>Text only</v>
      </c>
    </row>
    <row r="635" spans="1:20" hidden="1" x14ac:dyDescent="0.2">
      <c r="A635" t="s">
        <v>4621</v>
      </c>
      <c r="B635" t="s">
        <v>2365</v>
      </c>
      <c r="C635" t="s">
        <v>2366</v>
      </c>
      <c r="D635" t="s">
        <v>4622</v>
      </c>
      <c r="E635" t="s">
        <v>4623</v>
      </c>
      <c r="F635" t="str">
        <f>IF(Table2[[#This Row],[Date posted]]&lt; DATE(2015,9,18),"Before Crisis","During Crisis")</f>
        <v>During Crisis</v>
      </c>
      <c r="G635" s="27">
        <f t="shared" si="54"/>
        <v>42268</v>
      </c>
      <c r="H635" s="7" t="str">
        <f t="shared" si="55"/>
        <v>22:09:01</v>
      </c>
      <c r="I635" s="8" t="str">
        <f t="shared" si="56"/>
        <v>Evening</v>
      </c>
      <c r="J635" t="s">
        <v>4624</v>
      </c>
      <c r="K635" t="s">
        <v>2370</v>
      </c>
      <c r="L635" s="3">
        <v>0</v>
      </c>
      <c r="M635" s="3">
        <v>0</v>
      </c>
      <c r="N635">
        <v>1</v>
      </c>
      <c r="O635" s="4">
        <f t="shared" si="57"/>
        <v>1</v>
      </c>
      <c r="P635" s="5" t="str">
        <f t="shared" si="58"/>
        <v>Low engagement</v>
      </c>
      <c r="Q635" t="b">
        <v>0</v>
      </c>
      <c r="R635" t="b">
        <v>0</v>
      </c>
      <c r="S635" t="b">
        <v>1</v>
      </c>
      <c r="T635" s="24" t="str">
        <f t="shared" si="59"/>
        <v>Link</v>
      </c>
    </row>
    <row r="636" spans="1:20" hidden="1" x14ac:dyDescent="0.2">
      <c r="A636" t="s">
        <v>4618</v>
      </c>
      <c r="B636" t="s">
        <v>2365</v>
      </c>
      <c r="C636" t="s">
        <v>2366</v>
      </c>
      <c r="D636" t="s">
        <v>4619</v>
      </c>
      <c r="E636" t="s">
        <v>4620</v>
      </c>
      <c r="F636" t="str">
        <f>IF(Table2[[#This Row],[Date posted]]&lt; DATE(2015,9,18),"Before Crisis","During Crisis")</f>
        <v>During Crisis</v>
      </c>
      <c r="G636" s="27">
        <f t="shared" si="54"/>
        <v>42268</v>
      </c>
      <c r="H636" s="7" t="str">
        <f t="shared" si="55"/>
        <v>22:09:03</v>
      </c>
      <c r="I636" s="8" t="str">
        <f t="shared" si="56"/>
        <v>Evening</v>
      </c>
      <c r="J636" t="s">
        <v>2370</v>
      </c>
      <c r="K636" t="s">
        <v>2370</v>
      </c>
      <c r="L636">
        <v>1</v>
      </c>
      <c r="M636">
        <v>3</v>
      </c>
      <c r="N636">
        <v>1</v>
      </c>
      <c r="O636" s="4">
        <f t="shared" si="57"/>
        <v>5</v>
      </c>
      <c r="P636" s="5" t="str">
        <f t="shared" si="58"/>
        <v>Moderate engagement</v>
      </c>
      <c r="Q636" t="b">
        <v>0</v>
      </c>
      <c r="R636" t="b">
        <v>0</v>
      </c>
      <c r="S636" t="b">
        <v>0</v>
      </c>
      <c r="T636" s="24" t="str">
        <f t="shared" si="59"/>
        <v>Text only</v>
      </c>
    </row>
    <row r="637" spans="1:20" hidden="1" x14ac:dyDescent="0.2">
      <c r="A637" t="s">
        <v>4592</v>
      </c>
      <c r="B637" t="s">
        <v>2365</v>
      </c>
      <c r="C637" t="s">
        <v>2366</v>
      </c>
      <c r="D637" t="s">
        <v>4593</v>
      </c>
      <c r="E637" t="s">
        <v>4594</v>
      </c>
      <c r="F637" t="str">
        <f>IF(Table2[[#This Row],[Date posted]]&lt; DATE(2015,9,18),"Before Crisis","During Crisis")</f>
        <v>During Crisis</v>
      </c>
      <c r="G637" s="27">
        <f t="shared" si="54"/>
        <v>42269</v>
      </c>
      <c r="H637" s="7" t="str">
        <f t="shared" si="55"/>
        <v>18:17:06</v>
      </c>
      <c r="I637" s="8" t="str">
        <f t="shared" si="56"/>
        <v>Evening</v>
      </c>
      <c r="J637" t="s">
        <v>4220</v>
      </c>
      <c r="K637" t="s">
        <v>2370</v>
      </c>
      <c r="L637" s="3">
        <v>0</v>
      </c>
      <c r="M637">
        <v>1</v>
      </c>
      <c r="N637">
        <v>1</v>
      </c>
      <c r="O637" s="4">
        <f t="shared" si="57"/>
        <v>2</v>
      </c>
      <c r="P637" s="5" t="str">
        <f t="shared" si="58"/>
        <v>Low engagement</v>
      </c>
      <c r="Q637" t="b">
        <v>0</v>
      </c>
      <c r="R637" t="b">
        <v>0</v>
      </c>
      <c r="S637" t="b">
        <v>1</v>
      </c>
      <c r="T637" s="24" t="str">
        <f t="shared" si="59"/>
        <v>Link</v>
      </c>
    </row>
    <row r="638" spans="1:20" x14ac:dyDescent="0.2">
      <c r="A638" t="s">
        <v>4559</v>
      </c>
      <c r="B638" t="s">
        <v>2365</v>
      </c>
      <c r="C638" t="s">
        <v>2366</v>
      </c>
      <c r="D638" t="s">
        <v>4560</v>
      </c>
      <c r="E638" t="s">
        <v>4561</v>
      </c>
      <c r="F638" t="str">
        <f>IF(Table2[[#This Row],[Date posted]]&lt; DATE(2015,9,18),"Before Crisis","During Crisis")</f>
        <v>During Crisis</v>
      </c>
      <c r="G638" s="27">
        <f t="shared" si="54"/>
        <v>42270</v>
      </c>
      <c r="H638" s="7" t="str">
        <f t="shared" si="55"/>
        <v>03:01:59</v>
      </c>
      <c r="I638" s="8" t="str">
        <f t="shared" si="56"/>
        <v>Early morning</v>
      </c>
      <c r="J638" t="s">
        <v>2370</v>
      </c>
      <c r="K638" t="s">
        <v>2370</v>
      </c>
      <c r="L638" s="3">
        <v>0</v>
      </c>
      <c r="M638" s="3">
        <v>0</v>
      </c>
      <c r="N638">
        <v>1</v>
      </c>
      <c r="O638" s="4">
        <f t="shared" si="57"/>
        <v>1</v>
      </c>
      <c r="P638" s="5" t="str">
        <f t="shared" si="58"/>
        <v>Low engagement</v>
      </c>
      <c r="Q638" t="b">
        <v>0</v>
      </c>
      <c r="R638" t="b">
        <v>0</v>
      </c>
      <c r="S638" t="b">
        <v>1</v>
      </c>
      <c r="T638" s="24" t="str">
        <f t="shared" si="59"/>
        <v>Link</v>
      </c>
    </row>
    <row r="639" spans="1:20" x14ac:dyDescent="0.2">
      <c r="A639" t="s">
        <v>4555</v>
      </c>
      <c r="B639" t="s">
        <v>2365</v>
      </c>
      <c r="C639" t="s">
        <v>2366</v>
      </c>
      <c r="D639" t="s">
        <v>4556</v>
      </c>
      <c r="E639" t="s">
        <v>4557</v>
      </c>
      <c r="F639" t="str">
        <f>IF(Table2[[#This Row],[Date posted]]&lt; DATE(2015,9,18),"Before Crisis","During Crisis")</f>
        <v>During Crisis</v>
      </c>
      <c r="G639" s="27">
        <f t="shared" si="54"/>
        <v>42270</v>
      </c>
      <c r="H639" s="7" t="str">
        <f t="shared" si="55"/>
        <v>03:02:01</v>
      </c>
      <c r="I639" s="8" t="str">
        <f t="shared" si="56"/>
        <v>Early morning</v>
      </c>
      <c r="J639" t="s">
        <v>4558</v>
      </c>
      <c r="K639" t="s">
        <v>2370</v>
      </c>
      <c r="L639" s="3">
        <v>0</v>
      </c>
      <c r="M639" s="3">
        <v>0</v>
      </c>
      <c r="N639">
        <v>1</v>
      </c>
      <c r="O639" s="4">
        <f t="shared" si="57"/>
        <v>1</v>
      </c>
      <c r="P639" s="5" t="str">
        <f t="shared" si="58"/>
        <v>Low engagement</v>
      </c>
      <c r="Q639" t="b">
        <v>0</v>
      </c>
      <c r="R639" t="b">
        <v>0</v>
      </c>
      <c r="S639" t="b">
        <v>0</v>
      </c>
      <c r="T639" s="24" t="str">
        <f t="shared" si="59"/>
        <v>Text only</v>
      </c>
    </row>
    <row r="640" spans="1:20" hidden="1" x14ac:dyDescent="0.2">
      <c r="A640" t="s">
        <v>4542</v>
      </c>
      <c r="B640" t="s">
        <v>2365</v>
      </c>
      <c r="C640" t="s">
        <v>2366</v>
      </c>
      <c r="D640" t="s">
        <v>4543</v>
      </c>
      <c r="E640" t="s">
        <v>4544</v>
      </c>
      <c r="F640" t="str">
        <f>IF(Table2[[#This Row],[Date posted]]&lt; DATE(2015,9,18),"Before Crisis","During Crisis")</f>
        <v>During Crisis</v>
      </c>
      <c r="G640" s="27">
        <f t="shared" si="54"/>
        <v>42270</v>
      </c>
      <c r="H640" s="7" t="str">
        <f t="shared" si="55"/>
        <v>19:53:37</v>
      </c>
      <c r="I640" s="8" t="str">
        <f t="shared" si="56"/>
        <v>Evening</v>
      </c>
      <c r="J640" t="s">
        <v>2433</v>
      </c>
      <c r="K640" t="s">
        <v>2370</v>
      </c>
      <c r="L640" s="3">
        <v>0</v>
      </c>
      <c r="M640" s="3">
        <v>0</v>
      </c>
      <c r="N640">
        <v>1</v>
      </c>
      <c r="O640" s="4">
        <f t="shared" si="57"/>
        <v>1</v>
      </c>
      <c r="P640" s="5" t="str">
        <f t="shared" si="58"/>
        <v>Low engagement</v>
      </c>
      <c r="Q640" t="b">
        <v>0</v>
      </c>
      <c r="R640" t="b">
        <v>0</v>
      </c>
      <c r="S640" t="b">
        <v>0</v>
      </c>
      <c r="T640" s="24" t="str">
        <f t="shared" si="59"/>
        <v>Text only</v>
      </c>
    </row>
    <row r="641" spans="1:20" hidden="1" x14ac:dyDescent="0.2">
      <c r="A641" t="s">
        <v>4537</v>
      </c>
      <c r="B641" t="s">
        <v>2365</v>
      </c>
      <c r="C641" t="s">
        <v>2366</v>
      </c>
      <c r="D641" t="s">
        <v>4538</v>
      </c>
      <c r="E641" t="s">
        <v>4539</v>
      </c>
      <c r="F641" t="str">
        <f>IF(Table2[[#This Row],[Date posted]]&lt; DATE(2015,9,18),"Before Crisis","During Crisis")</f>
        <v>During Crisis</v>
      </c>
      <c r="G641" s="27">
        <f t="shared" si="54"/>
        <v>42270</v>
      </c>
      <c r="H641" s="7" t="str">
        <f t="shared" si="55"/>
        <v>19:53:38</v>
      </c>
      <c r="I641" s="8" t="str">
        <f t="shared" si="56"/>
        <v>Evening</v>
      </c>
      <c r="J641" t="s">
        <v>2370</v>
      </c>
      <c r="K641" t="s">
        <v>2370</v>
      </c>
      <c r="L641" s="3">
        <v>0</v>
      </c>
      <c r="M641">
        <v>1</v>
      </c>
      <c r="N641">
        <v>1</v>
      </c>
      <c r="O641" s="4">
        <f t="shared" si="57"/>
        <v>2</v>
      </c>
      <c r="P641" s="5" t="str">
        <f t="shared" si="58"/>
        <v>Low engagement</v>
      </c>
      <c r="Q641" t="b">
        <v>0</v>
      </c>
      <c r="R641" t="b">
        <v>0</v>
      </c>
      <c r="S641" t="b">
        <v>1</v>
      </c>
      <c r="T641" s="24" t="str">
        <f t="shared" si="59"/>
        <v>Link</v>
      </c>
    </row>
    <row r="642" spans="1:20" hidden="1" x14ac:dyDescent="0.2">
      <c r="A642" t="s">
        <v>4540</v>
      </c>
      <c r="B642" t="s">
        <v>2365</v>
      </c>
      <c r="C642" t="s">
        <v>2366</v>
      </c>
      <c r="D642" t="s">
        <v>4541</v>
      </c>
      <c r="E642" t="s">
        <v>4539</v>
      </c>
      <c r="F642" t="str">
        <f>IF(Table2[[#This Row],[Date posted]]&lt; DATE(2015,9,18),"Before Crisis","During Crisis")</f>
        <v>During Crisis</v>
      </c>
      <c r="G642" s="27">
        <f t="shared" ref="G642:G705" si="60">DATEVALUE(LEFT(E642,10))</f>
        <v>42270</v>
      </c>
      <c r="H642" s="7" t="str">
        <f t="shared" ref="H642:H705" si="61">MID(E642,12,8)</f>
        <v>19:53:38</v>
      </c>
      <c r="I642" s="8" t="str">
        <f t="shared" ref="I642:I705" si="62">IF(HOUR(H642)&lt;7,"Early morning",
IF(HOUR(H642)&lt;11,"Morning",
IF(HOUR(H642)&lt;14,"Mid-day",
IF(HOUR(H642)&lt;18,"Afternoon","Evening"))))</f>
        <v>Evening</v>
      </c>
      <c r="J642" t="s">
        <v>2370</v>
      </c>
      <c r="K642" t="s">
        <v>2370</v>
      </c>
      <c r="L642" s="3">
        <v>0</v>
      </c>
      <c r="M642" s="3">
        <v>0</v>
      </c>
      <c r="N642">
        <v>1</v>
      </c>
      <c r="O642" s="4">
        <f t="shared" ref="O642:O705" si="63">L642+M642+N642</f>
        <v>1</v>
      </c>
      <c r="P642" s="5" t="str">
        <f t="shared" ref="P642:P705" si="64">IF(O642&lt;1,"No engagement", IF(O642&lt;5,"Low engagement", IF(O642&lt;10,"Moderate engagement", "High engagement")))</f>
        <v>Low engagement</v>
      </c>
      <c r="Q642" t="b">
        <v>0</v>
      </c>
      <c r="R642" t="b">
        <v>0</v>
      </c>
      <c r="S642" t="b">
        <v>1</v>
      </c>
      <c r="T642" s="24" t="str">
        <f t="shared" ref="T642:T705" si="65">IF(Q642=TRUE,"Photo",
    IF(R642=TRUE,"Video",
        IF(S642=TRUE,"Link","Text only")))</f>
        <v>Link</v>
      </c>
    </row>
    <row r="643" spans="1:20" hidden="1" x14ac:dyDescent="0.2">
      <c r="A643" t="s">
        <v>4534</v>
      </c>
      <c r="B643" t="s">
        <v>2365</v>
      </c>
      <c r="C643" t="s">
        <v>2366</v>
      </c>
      <c r="D643" t="s">
        <v>4535</v>
      </c>
      <c r="E643" t="s">
        <v>4536</v>
      </c>
      <c r="F643" t="str">
        <f>IF(Table2[[#This Row],[Date posted]]&lt; DATE(2015,9,18),"Before Crisis","During Crisis")</f>
        <v>During Crisis</v>
      </c>
      <c r="G643" s="27">
        <f t="shared" si="60"/>
        <v>42270</v>
      </c>
      <c r="H643" s="7" t="str">
        <f t="shared" si="61"/>
        <v>20:51:57</v>
      </c>
      <c r="I643" s="8" t="str">
        <f t="shared" si="62"/>
        <v>Evening</v>
      </c>
      <c r="J643" t="s">
        <v>4481</v>
      </c>
      <c r="K643" t="s">
        <v>2370</v>
      </c>
      <c r="L643" s="3">
        <v>0</v>
      </c>
      <c r="M643">
        <v>1</v>
      </c>
      <c r="N643">
        <v>1</v>
      </c>
      <c r="O643" s="4">
        <f t="shared" si="63"/>
        <v>2</v>
      </c>
      <c r="P643" s="5" t="str">
        <f t="shared" si="64"/>
        <v>Low engagement</v>
      </c>
      <c r="Q643" t="b">
        <v>0</v>
      </c>
      <c r="R643" t="b">
        <v>0</v>
      </c>
      <c r="S643" t="b">
        <v>1</v>
      </c>
      <c r="T643" s="24" t="str">
        <f t="shared" si="65"/>
        <v>Link</v>
      </c>
    </row>
    <row r="644" spans="1:20" hidden="1" x14ac:dyDescent="0.2">
      <c r="A644" t="s">
        <v>4528</v>
      </c>
      <c r="B644" t="s">
        <v>2365</v>
      </c>
      <c r="C644" t="s">
        <v>2366</v>
      </c>
      <c r="D644" t="s">
        <v>4529</v>
      </c>
      <c r="E644" t="s">
        <v>4530</v>
      </c>
      <c r="F644" t="str">
        <f>IF(Table2[[#This Row],[Date posted]]&lt; DATE(2015,9,18),"Before Crisis","During Crisis")</f>
        <v>During Crisis</v>
      </c>
      <c r="G644" s="27">
        <f t="shared" si="60"/>
        <v>42270</v>
      </c>
      <c r="H644" s="7" t="str">
        <f t="shared" si="61"/>
        <v>20:51:58</v>
      </c>
      <c r="I644" s="8" t="str">
        <f t="shared" si="62"/>
        <v>Evening</v>
      </c>
      <c r="J644" t="s">
        <v>2370</v>
      </c>
      <c r="K644" t="s">
        <v>2370</v>
      </c>
      <c r="L644">
        <v>2</v>
      </c>
      <c r="M644" s="3">
        <v>0</v>
      </c>
      <c r="N644">
        <v>1</v>
      </c>
      <c r="O644" s="4">
        <f t="shared" si="63"/>
        <v>3</v>
      </c>
      <c r="P644" s="5" t="str">
        <f t="shared" si="64"/>
        <v>Low engagement</v>
      </c>
      <c r="Q644" t="b">
        <v>0</v>
      </c>
      <c r="R644" t="b">
        <v>0</v>
      </c>
      <c r="S644" t="b">
        <v>1</v>
      </c>
      <c r="T644" s="24" t="str">
        <f t="shared" si="65"/>
        <v>Link</v>
      </c>
    </row>
    <row r="645" spans="1:20" hidden="1" x14ac:dyDescent="0.2">
      <c r="A645" t="s">
        <v>4531</v>
      </c>
      <c r="B645" t="s">
        <v>2365</v>
      </c>
      <c r="C645" t="s">
        <v>2366</v>
      </c>
      <c r="D645" t="s">
        <v>4532</v>
      </c>
      <c r="E645" t="s">
        <v>4530</v>
      </c>
      <c r="F645" t="str">
        <f>IF(Table2[[#This Row],[Date posted]]&lt; DATE(2015,9,18),"Before Crisis","During Crisis")</f>
        <v>During Crisis</v>
      </c>
      <c r="G645" s="27">
        <f t="shared" si="60"/>
        <v>42270</v>
      </c>
      <c r="H645" s="7" t="str">
        <f t="shared" si="61"/>
        <v>20:51:58</v>
      </c>
      <c r="I645" s="8" t="str">
        <f t="shared" si="62"/>
        <v>Evening</v>
      </c>
      <c r="J645" t="s">
        <v>4533</v>
      </c>
      <c r="K645" t="s">
        <v>2370</v>
      </c>
      <c r="L645" s="3">
        <v>0</v>
      </c>
      <c r="M645">
        <v>2</v>
      </c>
      <c r="N645">
        <v>1</v>
      </c>
      <c r="O645" s="4">
        <f t="shared" si="63"/>
        <v>3</v>
      </c>
      <c r="P645" s="5" t="str">
        <f t="shared" si="64"/>
        <v>Low engagement</v>
      </c>
      <c r="Q645" t="b">
        <v>0</v>
      </c>
      <c r="R645" t="b">
        <v>0</v>
      </c>
      <c r="S645" t="b">
        <v>1</v>
      </c>
      <c r="T645" s="24" t="str">
        <f t="shared" si="65"/>
        <v>Link</v>
      </c>
    </row>
    <row r="646" spans="1:20" hidden="1" x14ac:dyDescent="0.2">
      <c r="A646" t="s">
        <v>4524</v>
      </c>
      <c r="B646" t="s">
        <v>2365</v>
      </c>
      <c r="C646" t="s">
        <v>2366</v>
      </c>
      <c r="D646" t="s">
        <v>4525</v>
      </c>
      <c r="E646" t="s">
        <v>4526</v>
      </c>
      <c r="F646" t="str">
        <f>IF(Table2[[#This Row],[Date posted]]&lt; DATE(2015,9,18),"Before Crisis","During Crisis")</f>
        <v>During Crisis</v>
      </c>
      <c r="G646" s="27">
        <f t="shared" si="60"/>
        <v>42270</v>
      </c>
      <c r="H646" s="7" t="str">
        <f t="shared" si="61"/>
        <v>20:51:59</v>
      </c>
      <c r="I646" s="8" t="str">
        <f t="shared" si="62"/>
        <v>Evening</v>
      </c>
      <c r="J646" t="s">
        <v>4527</v>
      </c>
      <c r="K646" t="s">
        <v>2370</v>
      </c>
      <c r="L646">
        <v>2</v>
      </c>
      <c r="M646">
        <v>8</v>
      </c>
      <c r="N646">
        <v>1</v>
      </c>
      <c r="O646" s="4">
        <f t="shared" si="63"/>
        <v>11</v>
      </c>
      <c r="P646" s="5" t="str">
        <f t="shared" si="64"/>
        <v>High engagement</v>
      </c>
      <c r="Q646" t="b">
        <v>0</v>
      </c>
      <c r="R646" t="b">
        <v>0</v>
      </c>
      <c r="S646" t="b">
        <v>0</v>
      </c>
      <c r="T646" s="24" t="str">
        <f t="shared" si="65"/>
        <v>Text only</v>
      </c>
    </row>
    <row r="647" spans="1:20" hidden="1" x14ac:dyDescent="0.2">
      <c r="A647" t="s">
        <v>4505</v>
      </c>
      <c r="B647" t="s">
        <v>2365</v>
      </c>
      <c r="C647" t="s">
        <v>2366</v>
      </c>
      <c r="D647" t="s">
        <v>4506</v>
      </c>
      <c r="E647" t="s">
        <v>4507</v>
      </c>
      <c r="F647" t="str">
        <f>IF(Table2[[#This Row],[Date posted]]&lt; DATE(2015,9,18),"Before Crisis","During Crisis")</f>
        <v>During Crisis</v>
      </c>
      <c r="G647" s="27">
        <f t="shared" si="60"/>
        <v>42271</v>
      </c>
      <c r="H647" s="7" t="str">
        <f t="shared" si="61"/>
        <v>23:18:54</v>
      </c>
      <c r="I647" s="8" t="str">
        <f t="shared" si="62"/>
        <v>Evening</v>
      </c>
      <c r="J647" t="s">
        <v>4504</v>
      </c>
      <c r="K647" t="s">
        <v>2370</v>
      </c>
      <c r="L647">
        <v>1</v>
      </c>
      <c r="M647" s="3">
        <v>0</v>
      </c>
      <c r="N647">
        <v>1</v>
      </c>
      <c r="O647" s="4">
        <f t="shared" si="63"/>
        <v>2</v>
      </c>
      <c r="P647" s="5" t="str">
        <f t="shared" si="64"/>
        <v>Low engagement</v>
      </c>
      <c r="Q647" t="b">
        <v>0</v>
      </c>
      <c r="R647" t="b">
        <v>0</v>
      </c>
      <c r="S647" t="b">
        <v>0</v>
      </c>
      <c r="T647" s="24" t="str">
        <f t="shared" si="65"/>
        <v>Text only</v>
      </c>
    </row>
    <row r="648" spans="1:20" hidden="1" x14ac:dyDescent="0.2">
      <c r="A648" t="s">
        <v>4502</v>
      </c>
      <c r="B648" t="s">
        <v>2365</v>
      </c>
      <c r="C648" t="s">
        <v>2366</v>
      </c>
      <c r="D648" t="s">
        <v>4503</v>
      </c>
      <c r="E648" t="s">
        <v>4500</v>
      </c>
      <c r="F648" t="str">
        <f>IF(Table2[[#This Row],[Date posted]]&lt; DATE(2015,9,18),"Before Crisis","During Crisis")</f>
        <v>During Crisis</v>
      </c>
      <c r="G648" s="27">
        <f t="shared" si="60"/>
        <v>42271</v>
      </c>
      <c r="H648" s="7" t="str">
        <f t="shared" si="61"/>
        <v>23:18:55</v>
      </c>
      <c r="I648" s="8" t="str">
        <f t="shared" si="62"/>
        <v>Evening</v>
      </c>
      <c r="J648" t="s">
        <v>4504</v>
      </c>
      <c r="K648" t="s">
        <v>2370</v>
      </c>
      <c r="L648" s="3">
        <v>0</v>
      </c>
      <c r="M648" s="3">
        <v>0</v>
      </c>
      <c r="N648">
        <v>1</v>
      </c>
      <c r="O648" s="4">
        <f t="shared" si="63"/>
        <v>1</v>
      </c>
      <c r="P648" s="5" t="str">
        <f t="shared" si="64"/>
        <v>Low engagement</v>
      </c>
      <c r="Q648" t="b">
        <v>0</v>
      </c>
      <c r="R648" t="b">
        <v>0</v>
      </c>
      <c r="S648" t="b">
        <v>0</v>
      </c>
      <c r="T648" s="24" t="str">
        <f t="shared" si="65"/>
        <v>Text only</v>
      </c>
    </row>
    <row r="649" spans="1:20" hidden="1" x14ac:dyDescent="0.2">
      <c r="A649" t="s">
        <v>4494</v>
      </c>
      <c r="B649" t="s">
        <v>2365</v>
      </c>
      <c r="C649" t="s">
        <v>2366</v>
      </c>
      <c r="D649" t="s">
        <v>4495</v>
      </c>
      <c r="E649" t="s">
        <v>4496</v>
      </c>
      <c r="F649" t="str">
        <f>IF(Table2[[#This Row],[Date posted]]&lt; DATE(2015,9,18),"Before Crisis","During Crisis")</f>
        <v>During Crisis</v>
      </c>
      <c r="G649" s="27">
        <f t="shared" si="60"/>
        <v>42271</v>
      </c>
      <c r="H649" s="7" t="str">
        <f t="shared" si="61"/>
        <v>23:18:56</v>
      </c>
      <c r="I649" s="8" t="str">
        <f t="shared" si="62"/>
        <v>Evening</v>
      </c>
      <c r="J649" t="s">
        <v>4497</v>
      </c>
      <c r="K649" t="s">
        <v>2370</v>
      </c>
      <c r="L649" s="3">
        <v>0</v>
      </c>
      <c r="M649" s="3">
        <v>0</v>
      </c>
      <c r="N649">
        <v>1</v>
      </c>
      <c r="O649" s="4">
        <f t="shared" si="63"/>
        <v>1</v>
      </c>
      <c r="P649" s="5" t="str">
        <f t="shared" si="64"/>
        <v>Low engagement</v>
      </c>
      <c r="Q649" t="b">
        <v>0</v>
      </c>
      <c r="R649" t="b">
        <v>0</v>
      </c>
      <c r="S649" t="b">
        <v>1</v>
      </c>
      <c r="T649" s="24" t="str">
        <f t="shared" si="65"/>
        <v>Link</v>
      </c>
    </row>
    <row r="650" spans="1:20" hidden="1" x14ac:dyDescent="0.2">
      <c r="A650" t="s">
        <v>4489</v>
      </c>
      <c r="B650" t="s">
        <v>2365</v>
      </c>
      <c r="C650" t="s">
        <v>2366</v>
      </c>
      <c r="D650" t="s">
        <v>4490</v>
      </c>
      <c r="E650" t="s">
        <v>4488</v>
      </c>
      <c r="F650" t="str">
        <f>IF(Table2[[#This Row],[Date posted]]&lt; DATE(2015,9,18),"Before Crisis","During Crisis")</f>
        <v>During Crisis</v>
      </c>
      <c r="G650" s="27">
        <f t="shared" si="60"/>
        <v>42271</v>
      </c>
      <c r="H650" s="7" t="str">
        <f t="shared" si="61"/>
        <v>23:33:11</v>
      </c>
      <c r="I650" s="8" t="str">
        <f t="shared" si="62"/>
        <v>Evening</v>
      </c>
      <c r="J650" t="s">
        <v>4491</v>
      </c>
      <c r="K650" t="s">
        <v>2370</v>
      </c>
      <c r="L650">
        <v>1</v>
      </c>
      <c r="M650">
        <v>1</v>
      </c>
      <c r="N650">
        <v>1</v>
      </c>
      <c r="O650" s="4">
        <f t="shared" si="63"/>
        <v>3</v>
      </c>
      <c r="P650" s="5" t="str">
        <f t="shared" si="64"/>
        <v>Low engagement</v>
      </c>
      <c r="Q650" t="b">
        <v>0</v>
      </c>
      <c r="R650" t="b">
        <v>0</v>
      </c>
      <c r="S650" t="b">
        <v>0</v>
      </c>
      <c r="T650" s="24" t="str">
        <f t="shared" si="65"/>
        <v>Text only</v>
      </c>
    </row>
    <row r="651" spans="1:20" hidden="1" x14ac:dyDescent="0.2">
      <c r="A651" t="s">
        <v>4482</v>
      </c>
      <c r="B651" t="s">
        <v>2365</v>
      </c>
      <c r="C651" t="s">
        <v>2366</v>
      </c>
      <c r="D651" t="s">
        <v>4483</v>
      </c>
      <c r="E651" t="s">
        <v>4484</v>
      </c>
      <c r="F651" t="str">
        <f>IF(Table2[[#This Row],[Date posted]]&lt; DATE(2015,9,18),"Before Crisis","During Crisis")</f>
        <v>During Crisis</v>
      </c>
      <c r="G651" s="27">
        <f t="shared" si="60"/>
        <v>42271</v>
      </c>
      <c r="H651" s="7" t="str">
        <f t="shared" si="61"/>
        <v>23:33:12</v>
      </c>
      <c r="I651" s="8" t="str">
        <f t="shared" si="62"/>
        <v>Evening</v>
      </c>
      <c r="J651" t="s">
        <v>4485</v>
      </c>
      <c r="K651" t="s">
        <v>2370</v>
      </c>
      <c r="L651">
        <v>1</v>
      </c>
      <c r="M651" s="3">
        <v>0</v>
      </c>
      <c r="N651">
        <v>1</v>
      </c>
      <c r="O651" s="4">
        <f t="shared" si="63"/>
        <v>2</v>
      </c>
      <c r="P651" s="5" t="str">
        <f t="shared" si="64"/>
        <v>Low engagement</v>
      </c>
      <c r="Q651" t="b">
        <v>0</v>
      </c>
      <c r="R651" t="b">
        <v>0</v>
      </c>
      <c r="S651" t="b">
        <v>1</v>
      </c>
      <c r="T651" s="24" t="str">
        <f t="shared" si="65"/>
        <v>Link</v>
      </c>
    </row>
    <row r="652" spans="1:20" hidden="1" x14ac:dyDescent="0.2">
      <c r="A652" t="s">
        <v>4478</v>
      </c>
      <c r="B652" t="s">
        <v>2365</v>
      </c>
      <c r="C652" t="s">
        <v>2366</v>
      </c>
      <c r="D652" t="s">
        <v>4479</v>
      </c>
      <c r="E652" t="s">
        <v>4480</v>
      </c>
      <c r="F652" t="str">
        <f>IF(Table2[[#This Row],[Date posted]]&lt; DATE(2015,9,18),"Before Crisis","During Crisis")</f>
        <v>During Crisis</v>
      </c>
      <c r="G652" s="27">
        <f t="shared" si="60"/>
        <v>42271</v>
      </c>
      <c r="H652" s="7" t="str">
        <f t="shared" si="61"/>
        <v>23:43:48</v>
      </c>
      <c r="I652" s="8" t="str">
        <f t="shared" si="62"/>
        <v>Evening</v>
      </c>
      <c r="J652" t="s">
        <v>4481</v>
      </c>
      <c r="K652" t="s">
        <v>2370</v>
      </c>
      <c r="L652" s="3">
        <v>0</v>
      </c>
      <c r="M652" s="3">
        <v>0</v>
      </c>
      <c r="N652">
        <v>1</v>
      </c>
      <c r="O652" s="4">
        <f t="shared" si="63"/>
        <v>1</v>
      </c>
      <c r="P652" s="5" t="str">
        <f t="shared" si="64"/>
        <v>Low engagement</v>
      </c>
      <c r="Q652" t="b">
        <v>0</v>
      </c>
      <c r="R652" t="b">
        <v>0</v>
      </c>
      <c r="S652" t="b">
        <v>0</v>
      </c>
      <c r="T652" s="24" t="str">
        <f t="shared" si="65"/>
        <v>Text only</v>
      </c>
    </row>
    <row r="653" spans="1:20" hidden="1" x14ac:dyDescent="0.2">
      <c r="A653" t="s">
        <v>4472</v>
      </c>
      <c r="B653" t="s">
        <v>2365</v>
      </c>
      <c r="C653" t="s">
        <v>2366</v>
      </c>
      <c r="D653" t="s">
        <v>4473</v>
      </c>
      <c r="E653" t="s">
        <v>4470</v>
      </c>
      <c r="F653" t="str">
        <f>IF(Table2[[#This Row],[Date posted]]&lt; DATE(2015,9,18),"Before Crisis","During Crisis")</f>
        <v>During Crisis</v>
      </c>
      <c r="G653" s="27">
        <f t="shared" si="60"/>
        <v>42271</v>
      </c>
      <c r="H653" s="7" t="str">
        <f t="shared" si="61"/>
        <v>23:43:50</v>
      </c>
      <c r="I653" s="8" t="str">
        <f t="shared" si="62"/>
        <v>Evening</v>
      </c>
      <c r="J653" t="s">
        <v>2370</v>
      </c>
      <c r="K653" t="s">
        <v>2370</v>
      </c>
      <c r="L653" s="3">
        <v>0</v>
      </c>
      <c r="M653" s="3">
        <v>0</v>
      </c>
      <c r="N653">
        <v>1</v>
      </c>
      <c r="O653" s="4">
        <f t="shared" si="63"/>
        <v>1</v>
      </c>
      <c r="P653" s="5" t="str">
        <f t="shared" si="64"/>
        <v>Low engagement</v>
      </c>
      <c r="Q653" t="b">
        <v>0</v>
      </c>
      <c r="R653" t="b">
        <v>0</v>
      </c>
      <c r="S653" t="b">
        <v>0</v>
      </c>
      <c r="T653" s="24" t="str">
        <f t="shared" si="65"/>
        <v>Text only</v>
      </c>
    </row>
    <row r="654" spans="1:20" hidden="1" x14ac:dyDescent="0.2">
      <c r="A654" t="s">
        <v>4463</v>
      </c>
      <c r="B654" t="s">
        <v>2365</v>
      </c>
      <c r="C654" t="s">
        <v>2366</v>
      </c>
      <c r="D654" t="s">
        <v>4464</v>
      </c>
      <c r="E654" t="s">
        <v>4465</v>
      </c>
      <c r="F654" t="str">
        <f>IF(Table2[[#This Row],[Date posted]]&lt; DATE(2015,9,18),"Before Crisis","During Crisis")</f>
        <v>During Crisis</v>
      </c>
      <c r="G654" s="27">
        <f t="shared" si="60"/>
        <v>42272</v>
      </c>
      <c r="H654" s="7" t="str">
        <f t="shared" si="61"/>
        <v>14:28:44</v>
      </c>
      <c r="I654" s="8" t="str">
        <f t="shared" si="62"/>
        <v>Afternoon</v>
      </c>
      <c r="J654" t="s">
        <v>2370</v>
      </c>
      <c r="K654" t="s">
        <v>2370</v>
      </c>
      <c r="L654" s="3">
        <v>0</v>
      </c>
      <c r="M654" s="3">
        <v>0</v>
      </c>
      <c r="N654">
        <v>1</v>
      </c>
      <c r="O654" s="4">
        <f t="shared" si="63"/>
        <v>1</v>
      </c>
      <c r="P654" s="5" t="str">
        <f t="shared" si="64"/>
        <v>Low engagement</v>
      </c>
      <c r="Q654" t="b">
        <v>0</v>
      </c>
      <c r="R654" t="b">
        <v>0</v>
      </c>
      <c r="S654" t="b">
        <v>1</v>
      </c>
      <c r="T654" s="24" t="str">
        <f t="shared" si="65"/>
        <v>Link</v>
      </c>
    </row>
    <row r="655" spans="1:20" hidden="1" x14ac:dyDescent="0.2">
      <c r="A655" t="s">
        <v>4466</v>
      </c>
      <c r="B655" t="s">
        <v>2365</v>
      </c>
      <c r="C655" t="s">
        <v>2366</v>
      </c>
      <c r="D655" t="s">
        <v>4467</v>
      </c>
      <c r="E655" t="s">
        <v>4465</v>
      </c>
      <c r="F655" t="str">
        <f>IF(Table2[[#This Row],[Date posted]]&lt; DATE(2015,9,18),"Before Crisis","During Crisis")</f>
        <v>During Crisis</v>
      </c>
      <c r="G655" s="27">
        <f t="shared" si="60"/>
        <v>42272</v>
      </c>
      <c r="H655" s="7" t="str">
        <f t="shared" si="61"/>
        <v>14:28:44</v>
      </c>
      <c r="I655" s="8" t="str">
        <f t="shared" si="62"/>
        <v>Afternoon</v>
      </c>
      <c r="J655" t="s">
        <v>2370</v>
      </c>
      <c r="K655" t="s">
        <v>2370</v>
      </c>
      <c r="L655" s="3">
        <v>0</v>
      </c>
      <c r="M655" s="3">
        <v>0</v>
      </c>
      <c r="N655">
        <v>1</v>
      </c>
      <c r="O655" s="4">
        <f t="shared" si="63"/>
        <v>1</v>
      </c>
      <c r="P655" s="5" t="str">
        <f t="shared" si="64"/>
        <v>Low engagement</v>
      </c>
      <c r="Q655" t="b">
        <v>0</v>
      </c>
      <c r="R655" t="b">
        <v>0</v>
      </c>
      <c r="S655" t="b">
        <v>0</v>
      </c>
      <c r="T655" s="24" t="str">
        <f t="shared" si="65"/>
        <v>Text only</v>
      </c>
    </row>
    <row r="656" spans="1:20" hidden="1" x14ac:dyDescent="0.2">
      <c r="A656" t="s">
        <v>4454</v>
      </c>
      <c r="B656" t="s">
        <v>2365</v>
      </c>
      <c r="C656" t="s">
        <v>2366</v>
      </c>
      <c r="D656" t="s">
        <v>4455</v>
      </c>
      <c r="E656" t="s">
        <v>4456</v>
      </c>
      <c r="F656" t="str">
        <f>IF(Table2[[#This Row],[Date posted]]&lt; DATE(2015,9,18),"Before Crisis","During Crisis")</f>
        <v>During Crisis</v>
      </c>
      <c r="G656" s="27">
        <f t="shared" si="60"/>
        <v>42272</v>
      </c>
      <c r="H656" s="7" t="str">
        <f t="shared" si="61"/>
        <v>19:16:43</v>
      </c>
      <c r="I656" s="8" t="str">
        <f t="shared" si="62"/>
        <v>Evening</v>
      </c>
      <c r="J656" t="s">
        <v>4457</v>
      </c>
      <c r="K656" t="s">
        <v>2370</v>
      </c>
      <c r="L656" s="3">
        <v>0</v>
      </c>
      <c r="M656" s="3">
        <v>0</v>
      </c>
      <c r="N656">
        <v>1</v>
      </c>
      <c r="O656" s="4">
        <f t="shared" si="63"/>
        <v>1</v>
      </c>
      <c r="P656" s="5" t="str">
        <f t="shared" si="64"/>
        <v>Low engagement</v>
      </c>
      <c r="Q656" t="b">
        <v>0</v>
      </c>
      <c r="R656" t="b">
        <v>0</v>
      </c>
      <c r="S656" t="b">
        <v>1</v>
      </c>
      <c r="T656" s="24" t="str">
        <f t="shared" si="65"/>
        <v>Link</v>
      </c>
    </row>
    <row r="657" spans="1:20" hidden="1" x14ac:dyDescent="0.2">
      <c r="A657" t="s">
        <v>4458</v>
      </c>
      <c r="B657" t="s">
        <v>2365</v>
      </c>
      <c r="C657" t="s">
        <v>2366</v>
      </c>
      <c r="D657" t="s">
        <v>4459</v>
      </c>
      <c r="E657" t="s">
        <v>4456</v>
      </c>
      <c r="F657" t="str">
        <f>IF(Table2[[#This Row],[Date posted]]&lt; DATE(2015,9,18),"Before Crisis","During Crisis")</f>
        <v>During Crisis</v>
      </c>
      <c r="G657" s="27">
        <f t="shared" si="60"/>
        <v>42272</v>
      </c>
      <c r="H657" s="7" t="str">
        <f t="shared" si="61"/>
        <v>19:16:43</v>
      </c>
      <c r="I657" s="8" t="str">
        <f t="shared" si="62"/>
        <v>Evening</v>
      </c>
      <c r="J657" t="s">
        <v>2370</v>
      </c>
      <c r="K657" t="s">
        <v>2370</v>
      </c>
      <c r="L657" s="3">
        <v>0</v>
      </c>
      <c r="M657" s="3">
        <v>0</v>
      </c>
      <c r="N657">
        <v>1</v>
      </c>
      <c r="O657" s="4">
        <f t="shared" si="63"/>
        <v>1</v>
      </c>
      <c r="P657" s="5" t="str">
        <f t="shared" si="64"/>
        <v>Low engagement</v>
      </c>
      <c r="Q657" t="b">
        <v>0</v>
      </c>
      <c r="R657" t="b">
        <v>0</v>
      </c>
      <c r="S657" t="b">
        <v>1</v>
      </c>
      <c r="T657" s="24" t="str">
        <f t="shared" si="65"/>
        <v>Link</v>
      </c>
    </row>
    <row r="658" spans="1:20" hidden="1" x14ac:dyDescent="0.2">
      <c r="A658" t="s">
        <v>4450</v>
      </c>
      <c r="B658" t="s">
        <v>2365</v>
      </c>
      <c r="C658" t="s">
        <v>2366</v>
      </c>
      <c r="D658" t="s">
        <v>4451</v>
      </c>
      <c r="E658" t="s">
        <v>4452</v>
      </c>
      <c r="F658" t="str">
        <f>IF(Table2[[#This Row],[Date posted]]&lt; DATE(2015,9,18),"Before Crisis","During Crisis")</f>
        <v>During Crisis</v>
      </c>
      <c r="G658" s="27">
        <f t="shared" si="60"/>
        <v>42272</v>
      </c>
      <c r="H658" s="7" t="str">
        <f t="shared" si="61"/>
        <v>19:16:44</v>
      </c>
      <c r="I658" s="8" t="str">
        <f t="shared" si="62"/>
        <v>Evening</v>
      </c>
      <c r="J658" t="s">
        <v>4453</v>
      </c>
      <c r="K658" t="s">
        <v>2370</v>
      </c>
      <c r="L658">
        <v>1</v>
      </c>
      <c r="M658">
        <v>1</v>
      </c>
      <c r="N658">
        <v>1</v>
      </c>
      <c r="O658" s="4">
        <f t="shared" si="63"/>
        <v>3</v>
      </c>
      <c r="P658" s="5" t="str">
        <f t="shared" si="64"/>
        <v>Low engagement</v>
      </c>
      <c r="Q658" t="b">
        <v>0</v>
      </c>
      <c r="R658" t="b">
        <v>0</v>
      </c>
      <c r="S658" t="b">
        <v>1</v>
      </c>
      <c r="T658" s="24" t="str">
        <f t="shared" si="65"/>
        <v>Link</v>
      </c>
    </row>
    <row r="659" spans="1:20" hidden="1" x14ac:dyDescent="0.2">
      <c r="A659" t="s">
        <v>4446</v>
      </c>
      <c r="B659" t="s">
        <v>2365</v>
      </c>
      <c r="C659" t="s">
        <v>2366</v>
      </c>
      <c r="D659" t="s">
        <v>4447</v>
      </c>
      <c r="E659" t="s">
        <v>4448</v>
      </c>
      <c r="F659" t="str">
        <f>IF(Table2[[#This Row],[Date posted]]&lt; DATE(2015,9,18),"Before Crisis","During Crisis")</f>
        <v>During Crisis</v>
      </c>
      <c r="G659" s="27">
        <f t="shared" si="60"/>
        <v>42272</v>
      </c>
      <c r="H659" s="7" t="str">
        <f t="shared" si="61"/>
        <v>19:27:32</v>
      </c>
      <c r="I659" s="8" t="str">
        <f t="shared" si="62"/>
        <v>Evening</v>
      </c>
      <c r="J659" t="s">
        <v>4449</v>
      </c>
      <c r="K659" t="s">
        <v>2370</v>
      </c>
      <c r="L659" s="3">
        <v>0</v>
      </c>
      <c r="M659" s="3">
        <v>0</v>
      </c>
      <c r="N659">
        <v>1</v>
      </c>
      <c r="O659" s="4">
        <f t="shared" si="63"/>
        <v>1</v>
      </c>
      <c r="P659" s="5" t="str">
        <f t="shared" si="64"/>
        <v>Low engagement</v>
      </c>
      <c r="Q659" t="b">
        <v>0</v>
      </c>
      <c r="R659" t="b">
        <v>0</v>
      </c>
      <c r="S659" t="b">
        <v>0</v>
      </c>
      <c r="T659" s="24" t="str">
        <f t="shared" si="65"/>
        <v>Text only</v>
      </c>
    </row>
    <row r="660" spans="1:20" hidden="1" x14ac:dyDescent="0.2">
      <c r="A660" t="s">
        <v>4440</v>
      </c>
      <c r="B660" t="s">
        <v>2365</v>
      </c>
      <c r="C660" t="s">
        <v>2366</v>
      </c>
      <c r="D660" t="s">
        <v>4441</v>
      </c>
      <c r="E660" t="s">
        <v>4442</v>
      </c>
      <c r="F660" t="str">
        <f>IF(Table2[[#This Row],[Date posted]]&lt; DATE(2015,9,18),"Before Crisis","During Crisis")</f>
        <v>During Crisis</v>
      </c>
      <c r="G660" s="27">
        <f t="shared" si="60"/>
        <v>42272</v>
      </c>
      <c r="H660" s="7" t="str">
        <f t="shared" si="61"/>
        <v>19:27:33</v>
      </c>
      <c r="I660" s="8" t="str">
        <f t="shared" si="62"/>
        <v>Evening</v>
      </c>
      <c r="J660" t="s">
        <v>4443</v>
      </c>
      <c r="K660" t="s">
        <v>2370</v>
      </c>
      <c r="L660">
        <v>1</v>
      </c>
      <c r="M660" s="3">
        <v>0</v>
      </c>
      <c r="N660">
        <v>1</v>
      </c>
      <c r="O660" s="4">
        <f t="shared" si="63"/>
        <v>2</v>
      </c>
      <c r="P660" s="5" t="str">
        <f t="shared" si="64"/>
        <v>Low engagement</v>
      </c>
      <c r="Q660" t="b">
        <v>0</v>
      </c>
      <c r="R660" t="b">
        <v>0</v>
      </c>
      <c r="S660" t="b">
        <v>0</v>
      </c>
      <c r="T660" s="24" t="str">
        <f t="shared" si="65"/>
        <v>Text only</v>
      </c>
    </row>
    <row r="661" spans="1:20" hidden="1" x14ac:dyDescent="0.2">
      <c r="A661" t="s">
        <v>4444</v>
      </c>
      <c r="B661" t="s">
        <v>2365</v>
      </c>
      <c r="C661" t="s">
        <v>2366</v>
      </c>
      <c r="D661" t="s">
        <v>4445</v>
      </c>
      <c r="E661" t="s">
        <v>4442</v>
      </c>
      <c r="F661" t="str">
        <f>IF(Table2[[#This Row],[Date posted]]&lt; DATE(2015,9,18),"Before Crisis","During Crisis")</f>
        <v>During Crisis</v>
      </c>
      <c r="G661" s="27">
        <f t="shared" si="60"/>
        <v>42272</v>
      </c>
      <c r="H661" s="7" t="str">
        <f t="shared" si="61"/>
        <v>19:27:33</v>
      </c>
      <c r="I661" s="8" t="str">
        <f t="shared" si="62"/>
        <v>Evening</v>
      </c>
      <c r="J661" t="s">
        <v>2370</v>
      </c>
      <c r="K661" t="s">
        <v>2370</v>
      </c>
      <c r="L661" s="3">
        <v>0</v>
      </c>
      <c r="M661">
        <v>1</v>
      </c>
      <c r="N661">
        <v>1</v>
      </c>
      <c r="O661" s="4">
        <f t="shared" si="63"/>
        <v>2</v>
      </c>
      <c r="P661" s="5" t="str">
        <f t="shared" si="64"/>
        <v>Low engagement</v>
      </c>
      <c r="Q661" t="b">
        <v>0</v>
      </c>
      <c r="R661" t="b">
        <v>0</v>
      </c>
      <c r="S661" t="b">
        <v>0</v>
      </c>
      <c r="T661" s="24" t="str">
        <f t="shared" si="65"/>
        <v>Text only</v>
      </c>
    </row>
    <row r="662" spans="1:20" hidden="1" x14ac:dyDescent="0.2">
      <c r="A662" t="s">
        <v>4399</v>
      </c>
      <c r="B662" t="s">
        <v>2365</v>
      </c>
      <c r="C662" t="s">
        <v>2366</v>
      </c>
      <c r="D662" t="s">
        <v>4400</v>
      </c>
      <c r="E662" t="s">
        <v>4401</v>
      </c>
      <c r="F662" t="str">
        <f>IF(Table2[[#This Row],[Date posted]]&lt; DATE(2015,9,18),"Before Crisis","During Crisis")</f>
        <v>During Crisis</v>
      </c>
      <c r="G662" s="27">
        <f t="shared" si="60"/>
        <v>42276</v>
      </c>
      <c r="H662" s="7" t="str">
        <f t="shared" si="61"/>
        <v>14:35:22</v>
      </c>
      <c r="I662" s="8" t="str">
        <f t="shared" si="62"/>
        <v>Afternoon</v>
      </c>
      <c r="J662" t="s">
        <v>4402</v>
      </c>
      <c r="K662" t="s">
        <v>2370</v>
      </c>
      <c r="L662" s="3">
        <v>0</v>
      </c>
      <c r="M662" s="3">
        <v>0</v>
      </c>
      <c r="N662">
        <v>1</v>
      </c>
      <c r="O662" s="4">
        <f t="shared" si="63"/>
        <v>1</v>
      </c>
      <c r="P662" s="5" t="str">
        <f t="shared" si="64"/>
        <v>Low engagement</v>
      </c>
      <c r="Q662" t="b">
        <v>0</v>
      </c>
      <c r="R662" t="b">
        <v>0</v>
      </c>
      <c r="S662" t="b">
        <v>0</v>
      </c>
      <c r="T662" s="24" t="str">
        <f t="shared" si="65"/>
        <v>Text only</v>
      </c>
    </row>
    <row r="663" spans="1:20" hidden="1" x14ac:dyDescent="0.2">
      <c r="A663" t="s">
        <v>4384</v>
      </c>
      <c r="B663" t="s">
        <v>2365</v>
      </c>
      <c r="C663" t="s">
        <v>2366</v>
      </c>
      <c r="D663" t="s">
        <v>4385</v>
      </c>
      <c r="E663" t="s">
        <v>4386</v>
      </c>
      <c r="F663" t="str">
        <f>IF(Table2[[#This Row],[Date posted]]&lt; DATE(2015,9,18),"Before Crisis","During Crisis")</f>
        <v>During Crisis</v>
      </c>
      <c r="G663" s="27">
        <f t="shared" si="60"/>
        <v>42276</v>
      </c>
      <c r="H663" s="7" t="str">
        <f t="shared" si="61"/>
        <v>14:52:16</v>
      </c>
      <c r="I663" s="8" t="str">
        <f t="shared" si="62"/>
        <v>Afternoon</v>
      </c>
      <c r="J663" t="s">
        <v>4387</v>
      </c>
      <c r="K663" t="s">
        <v>2370</v>
      </c>
      <c r="L663" s="3">
        <v>0</v>
      </c>
      <c r="M663" s="3">
        <v>0</v>
      </c>
      <c r="N663">
        <v>1</v>
      </c>
      <c r="O663" s="4">
        <f t="shared" si="63"/>
        <v>1</v>
      </c>
      <c r="P663" s="5" t="str">
        <f t="shared" si="64"/>
        <v>Low engagement</v>
      </c>
      <c r="Q663" t="b">
        <v>0</v>
      </c>
      <c r="R663" t="b">
        <v>0</v>
      </c>
      <c r="S663" t="b">
        <v>0</v>
      </c>
      <c r="T663" s="24" t="str">
        <f t="shared" si="65"/>
        <v>Text only</v>
      </c>
    </row>
    <row r="664" spans="1:20" hidden="1" x14ac:dyDescent="0.2">
      <c r="A664" t="s">
        <v>4377</v>
      </c>
      <c r="B664" t="s">
        <v>2365</v>
      </c>
      <c r="C664" t="s">
        <v>2366</v>
      </c>
      <c r="D664" t="s">
        <v>4378</v>
      </c>
      <c r="E664" t="s">
        <v>4379</v>
      </c>
      <c r="F664" t="str">
        <f>IF(Table2[[#This Row],[Date posted]]&lt; DATE(2015,9,18),"Before Crisis","During Crisis")</f>
        <v>During Crisis</v>
      </c>
      <c r="G664" s="27">
        <f t="shared" si="60"/>
        <v>42276</v>
      </c>
      <c r="H664" s="7" t="str">
        <f t="shared" si="61"/>
        <v>14:52:17</v>
      </c>
      <c r="I664" s="8" t="str">
        <f t="shared" si="62"/>
        <v>Afternoon</v>
      </c>
      <c r="J664" t="s">
        <v>4380</v>
      </c>
      <c r="K664" t="s">
        <v>2370</v>
      </c>
      <c r="L664" s="3">
        <v>0</v>
      </c>
      <c r="M664">
        <v>2</v>
      </c>
      <c r="N664">
        <v>1</v>
      </c>
      <c r="O664" s="4">
        <f t="shared" si="63"/>
        <v>3</v>
      </c>
      <c r="P664" s="5" t="str">
        <f t="shared" si="64"/>
        <v>Low engagement</v>
      </c>
      <c r="Q664" t="b">
        <v>0</v>
      </c>
      <c r="R664" t="b">
        <v>0</v>
      </c>
      <c r="S664" t="b">
        <v>0</v>
      </c>
      <c r="T664" s="24" t="str">
        <f t="shared" si="65"/>
        <v>Text only</v>
      </c>
    </row>
    <row r="665" spans="1:20" hidden="1" x14ac:dyDescent="0.2">
      <c r="A665" t="s">
        <v>4381</v>
      </c>
      <c r="B665" t="s">
        <v>2365</v>
      </c>
      <c r="C665" t="s">
        <v>2366</v>
      </c>
      <c r="D665" t="s">
        <v>4382</v>
      </c>
      <c r="E665" t="s">
        <v>4379</v>
      </c>
      <c r="F665" t="str">
        <f>IF(Table2[[#This Row],[Date posted]]&lt; DATE(2015,9,18),"Before Crisis","During Crisis")</f>
        <v>During Crisis</v>
      </c>
      <c r="G665" s="27">
        <f t="shared" si="60"/>
        <v>42276</v>
      </c>
      <c r="H665" s="7" t="str">
        <f t="shared" si="61"/>
        <v>14:52:17</v>
      </c>
      <c r="I665" s="8" t="str">
        <f t="shared" si="62"/>
        <v>Afternoon</v>
      </c>
      <c r="J665" t="s">
        <v>4383</v>
      </c>
      <c r="K665" t="s">
        <v>2370</v>
      </c>
      <c r="L665" s="3">
        <v>0</v>
      </c>
      <c r="M665">
        <v>1</v>
      </c>
      <c r="N665">
        <v>1</v>
      </c>
      <c r="O665" s="4">
        <f t="shared" si="63"/>
        <v>2</v>
      </c>
      <c r="P665" s="5" t="str">
        <f t="shared" si="64"/>
        <v>Low engagement</v>
      </c>
      <c r="Q665" t="b">
        <v>0</v>
      </c>
      <c r="R665" t="b">
        <v>0</v>
      </c>
      <c r="S665" t="b">
        <v>1</v>
      </c>
      <c r="T665" s="24" t="str">
        <f t="shared" si="65"/>
        <v>Link</v>
      </c>
    </row>
    <row r="666" spans="1:20" hidden="1" x14ac:dyDescent="0.2">
      <c r="A666" t="s">
        <v>4373</v>
      </c>
      <c r="B666" t="s">
        <v>2365</v>
      </c>
      <c r="C666" t="s">
        <v>2366</v>
      </c>
      <c r="D666" t="s">
        <v>4374</v>
      </c>
      <c r="E666" t="s">
        <v>4375</v>
      </c>
      <c r="F666" t="str">
        <f>IF(Table2[[#This Row],[Date posted]]&lt; DATE(2015,9,18),"Before Crisis","During Crisis")</f>
        <v>During Crisis</v>
      </c>
      <c r="G666" s="27">
        <f t="shared" si="60"/>
        <v>42276</v>
      </c>
      <c r="H666" s="7" t="str">
        <f t="shared" si="61"/>
        <v>14:52:18</v>
      </c>
      <c r="I666" s="8" t="str">
        <f t="shared" si="62"/>
        <v>Afternoon</v>
      </c>
      <c r="J666" t="s">
        <v>4376</v>
      </c>
      <c r="K666" t="s">
        <v>2370</v>
      </c>
      <c r="L666" s="3">
        <v>0</v>
      </c>
      <c r="M666" s="3">
        <v>0</v>
      </c>
      <c r="N666">
        <v>1</v>
      </c>
      <c r="O666" s="4">
        <f t="shared" si="63"/>
        <v>1</v>
      </c>
      <c r="P666" s="5" t="str">
        <f t="shared" si="64"/>
        <v>Low engagement</v>
      </c>
      <c r="Q666" t="b">
        <v>0</v>
      </c>
      <c r="R666" t="b">
        <v>0</v>
      </c>
      <c r="S666" t="b">
        <v>0</v>
      </c>
      <c r="T666" s="24" t="str">
        <f t="shared" si="65"/>
        <v>Text only</v>
      </c>
    </row>
    <row r="667" spans="1:20" hidden="1" x14ac:dyDescent="0.2">
      <c r="A667" t="s">
        <v>4369</v>
      </c>
      <c r="B667" t="s">
        <v>2365</v>
      </c>
      <c r="C667" t="s">
        <v>2366</v>
      </c>
      <c r="D667" t="s">
        <v>4370</v>
      </c>
      <c r="E667" t="s">
        <v>4371</v>
      </c>
      <c r="F667" t="str">
        <f>IF(Table2[[#This Row],[Date posted]]&lt; DATE(2015,9,18),"Before Crisis","During Crisis")</f>
        <v>During Crisis</v>
      </c>
      <c r="G667" s="27">
        <f t="shared" si="60"/>
        <v>42276</v>
      </c>
      <c r="H667" s="7" t="str">
        <f t="shared" si="61"/>
        <v>21:36:09</v>
      </c>
      <c r="I667" s="8" t="str">
        <f t="shared" si="62"/>
        <v>Evening</v>
      </c>
      <c r="J667" t="s">
        <v>4372</v>
      </c>
      <c r="K667" t="s">
        <v>2370</v>
      </c>
      <c r="L667" s="3">
        <v>0</v>
      </c>
      <c r="M667" s="3">
        <v>0</v>
      </c>
      <c r="N667">
        <v>1</v>
      </c>
      <c r="O667" s="4">
        <f t="shared" si="63"/>
        <v>1</v>
      </c>
      <c r="P667" s="5" t="str">
        <f t="shared" si="64"/>
        <v>Low engagement</v>
      </c>
      <c r="Q667" t="b">
        <v>0</v>
      </c>
      <c r="R667" t="b">
        <v>0</v>
      </c>
      <c r="S667" t="b">
        <v>1</v>
      </c>
      <c r="T667" s="24" t="str">
        <f t="shared" si="65"/>
        <v>Link</v>
      </c>
    </row>
    <row r="668" spans="1:20" hidden="1" x14ac:dyDescent="0.2">
      <c r="A668" t="s">
        <v>4367</v>
      </c>
      <c r="B668" t="s">
        <v>2365</v>
      </c>
      <c r="C668" t="s">
        <v>2366</v>
      </c>
      <c r="D668" t="s">
        <v>4368</v>
      </c>
      <c r="E668" t="s">
        <v>4366</v>
      </c>
      <c r="F668" t="str">
        <f>IF(Table2[[#This Row],[Date posted]]&lt; DATE(2015,9,18),"Before Crisis","During Crisis")</f>
        <v>During Crisis</v>
      </c>
      <c r="G668" s="27">
        <f t="shared" si="60"/>
        <v>42276</v>
      </c>
      <c r="H668" s="7" t="str">
        <f t="shared" si="61"/>
        <v>21:36:10</v>
      </c>
      <c r="I668" s="8" t="str">
        <f t="shared" si="62"/>
        <v>Evening</v>
      </c>
      <c r="J668" t="s">
        <v>2370</v>
      </c>
      <c r="K668" t="s">
        <v>2370</v>
      </c>
      <c r="L668" s="3">
        <v>0</v>
      </c>
      <c r="M668" s="3">
        <v>0</v>
      </c>
      <c r="N668">
        <v>1</v>
      </c>
      <c r="O668" s="4">
        <f t="shared" si="63"/>
        <v>1</v>
      </c>
      <c r="P668" s="5" t="str">
        <f t="shared" si="64"/>
        <v>Low engagement</v>
      </c>
      <c r="Q668" t="b">
        <v>0</v>
      </c>
      <c r="R668" t="b">
        <v>0</v>
      </c>
      <c r="S668" t="b">
        <v>0</v>
      </c>
      <c r="T668" s="24" t="str">
        <f t="shared" si="65"/>
        <v>Text only</v>
      </c>
    </row>
    <row r="669" spans="1:20" hidden="1" x14ac:dyDescent="0.2">
      <c r="A669" t="s">
        <v>4359</v>
      </c>
      <c r="B669" t="s">
        <v>2365</v>
      </c>
      <c r="C669" t="s">
        <v>2366</v>
      </c>
      <c r="D669" t="s">
        <v>4360</v>
      </c>
      <c r="E669" t="s">
        <v>4361</v>
      </c>
      <c r="F669" t="str">
        <f>IF(Table2[[#This Row],[Date posted]]&lt; DATE(2015,9,18),"Before Crisis","During Crisis")</f>
        <v>During Crisis</v>
      </c>
      <c r="G669" s="27">
        <f t="shared" si="60"/>
        <v>42276</v>
      </c>
      <c r="H669" s="7" t="str">
        <f t="shared" si="61"/>
        <v>21:36:11</v>
      </c>
      <c r="I669" s="8" t="str">
        <f t="shared" si="62"/>
        <v>Evening</v>
      </c>
      <c r="J669" t="s">
        <v>2370</v>
      </c>
      <c r="K669" t="s">
        <v>2370</v>
      </c>
      <c r="L669" s="3">
        <v>0</v>
      </c>
      <c r="M669" s="3">
        <v>0</v>
      </c>
      <c r="N669">
        <v>1</v>
      </c>
      <c r="O669" s="4">
        <f t="shared" si="63"/>
        <v>1</v>
      </c>
      <c r="P669" s="5" t="str">
        <f t="shared" si="64"/>
        <v>Low engagement</v>
      </c>
      <c r="Q669" t="b">
        <v>0</v>
      </c>
      <c r="R669" t="b">
        <v>0</v>
      </c>
      <c r="S669" t="b">
        <v>0</v>
      </c>
      <c r="T669" s="24" t="str">
        <f t="shared" si="65"/>
        <v>Text only</v>
      </c>
    </row>
    <row r="670" spans="1:20" hidden="1" x14ac:dyDescent="0.2">
      <c r="A670" t="s">
        <v>4353</v>
      </c>
      <c r="B670" t="s">
        <v>2365</v>
      </c>
      <c r="C670" t="s">
        <v>2366</v>
      </c>
      <c r="D670" t="s">
        <v>4354</v>
      </c>
      <c r="E670" t="s">
        <v>4355</v>
      </c>
      <c r="F670" t="str">
        <f>IF(Table2[[#This Row],[Date posted]]&lt; DATE(2015,9,18),"Before Crisis","During Crisis")</f>
        <v>During Crisis</v>
      </c>
      <c r="G670" s="27">
        <f t="shared" si="60"/>
        <v>42276</v>
      </c>
      <c r="H670" s="7" t="str">
        <f t="shared" si="61"/>
        <v>21:36:12</v>
      </c>
      <c r="I670" s="8" t="str">
        <f t="shared" si="62"/>
        <v>Evening</v>
      </c>
      <c r="J670" t="s">
        <v>4356</v>
      </c>
      <c r="K670" t="s">
        <v>2370</v>
      </c>
      <c r="L670" s="3">
        <v>0</v>
      </c>
      <c r="M670">
        <v>1</v>
      </c>
      <c r="N670">
        <v>1</v>
      </c>
      <c r="O670" s="4">
        <f t="shared" si="63"/>
        <v>2</v>
      </c>
      <c r="P670" s="5" t="str">
        <f t="shared" si="64"/>
        <v>Low engagement</v>
      </c>
      <c r="Q670" t="b">
        <v>0</v>
      </c>
      <c r="R670" t="b">
        <v>0</v>
      </c>
      <c r="S670" t="b">
        <v>0</v>
      </c>
      <c r="T670" s="24" t="str">
        <f t="shared" si="65"/>
        <v>Text only</v>
      </c>
    </row>
    <row r="671" spans="1:20" hidden="1" x14ac:dyDescent="0.2">
      <c r="A671" t="s">
        <v>4357</v>
      </c>
      <c r="B671" t="s">
        <v>2365</v>
      </c>
      <c r="C671" t="s">
        <v>2366</v>
      </c>
      <c r="D671" t="s">
        <v>4358</v>
      </c>
      <c r="E671" t="s">
        <v>4355</v>
      </c>
      <c r="F671" t="str">
        <f>IF(Table2[[#This Row],[Date posted]]&lt; DATE(2015,9,18),"Before Crisis","During Crisis")</f>
        <v>During Crisis</v>
      </c>
      <c r="G671" s="27">
        <f t="shared" si="60"/>
        <v>42276</v>
      </c>
      <c r="H671" s="7" t="str">
        <f t="shared" si="61"/>
        <v>21:36:12</v>
      </c>
      <c r="I671" s="8" t="str">
        <f t="shared" si="62"/>
        <v>Evening</v>
      </c>
      <c r="J671" t="s">
        <v>2370</v>
      </c>
      <c r="K671" t="s">
        <v>2370</v>
      </c>
      <c r="L671">
        <v>1</v>
      </c>
      <c r="M671">
        <v>1</v>
      </c>
      <c r="N671">
        <v>1</v>
      </c>
      <c r="O671" s="4">
        <f t="shared" si="63"/>
        <v>3</v>
      </c>
      <c r="P671" s="5" t="str">
        <f t="shared" si="64"/>
        <v>Low engagement</v>
      </c>
      <c r="Q671" t="b">
        <v>0</v>
      </c>
      <c r="R671" t="b">
        <v>0</v>
      </c>
      <c r="S671" t="b">
        <v>0</v>
      </c>
      <c r="T671" s="24" t="str">
        <f t="shared" si="65"/>
        <v>Text only</v>
      </c>
    </row>
    <row r="672" spans="1:20" hidden="1" x14ac:dyDescent="0.2">
      <c r="A672" t="s">
        <v>4350</v>
      </c>
      <c r="B672" t="s">
        <v>2365</v>
      </c>
      <c r="C672" t="s">
        <v>2366</v>
      </c>
      <c r="D672" t="s">
        <v>4351</v>
      </c>
      <c r="E672" t="s">
        <v>4352</v>
      </c>
      <c r="F672" t="str">
        <f>IF(Table2[[#This Row],[Date posted]]&lt; DATE(2015,9,18),"Before Crisis","During Crisis")</f>
        <v>During Crisis</v>
      </c>
      <c r="G672" s="27">
        <f t="shared" si="60"/>
        <v>42276</v>
      </c>
      <c r="H672" s="7" t="str">
        <f t="shared" si="61"/>
        <v>21:36:13</v>
      </c>
      <c r="I672" s="8" t="str">
        <f t="shared" si="62"/>
        <v>Evening</v>
      </c>
      <c r="J672" t="s">
        <v>2370</v>
      </c>
      <c r="K672" t="s">
        <v>2370</v>
      </c>
      <c r="L672">
        <v>1</v>
      </c>
      <c r="M672">
        <v>1</v>
      </c>
      <c r="N672">
        <v>1</v>
      </c>
      <c r="O672" s="4">
        <f t="shared" si="63"/>
        <v>3</v>
      </c>
      <c r="P672" s="5" t="str">
        <f t="shared" si="64"/>
        <v>Low engagement</v>
      </c>
      <c r="Q672" t="b">
        <v>0</v>
      </c>
      <c r="R672" t="b">
        <v>0</v>
      </c>
      <c r="S672" t="b">
        <v>1</v>
      </c>
      <c r="T672" s="24" t="str">
        <f t="shared" si="65"/>
        <v>Link</v>
      </c>
    </row>
    <row r="673" spans="1:20" hidden="1" x14ac:dyDescent="0.2">
      <c r="A673" t="s">
        <v>4347</v>
      </c>
      <c r="B673" t="s">
        <v>2365</v>
      </c>
      <c r="C673" t="s">
        <v>2366</v>
      </c>
      <c r="D673" t="s">
        <v>4348</v>
      </c>
      <c r="E673" t="s">
        <v>4349</v>
      </c>
      <c r="F673" t="str">
        <f>IF(Table2[[#This Row],[Date posted]]&lt; DATE(2015,9,18),"Before Crisis","During Crisis")</f>
        <v>During Crisis</v>
      </c>
      <c r="G673" s="27">
        <f t="shared" si="60"/>
        <v>42277</v>
      </c>
      <c r="H673" s="7" t="str">
        <f t="shared" si="61"/>
        <v>17:50:19</v>
      </c>
      <c r="I673" s="8" t="str">
        <f t="shared" si="62"/>
        <v>Afternoon</v>
      </c>
      <c r="J673" t="s">
        <v>2370</v>
      </c>
      <c r="K673" t="s">
        <v>2370</v>
      </c>
      <c r="L673" s="3">
        <v>0</v>
      </c>
      <c r="M673" s="3">
        <v>0</v>
      </c>
      <c r="N673">
        <v>1</v>
      </c>
      <c r="O673" s="4">
        <f t="shared" si="63"/>
        <v>1</v>
      </c>
      <c r="P673" s="5" t="str">
        <f t="shared" si="64"/>
        <v>Low engagement</v>
      </c>
      <c r="Q673" t="b">
        <v>0</v>
      </c>
      <c r="R673" t="b">
        <v>0</v>
      </c>
      <c r="S673" t="b">
        <v>0</v>
      </c>
      <c r="T673" s="24" t="str">
        <f t="shared" si="65"/>
        <v>Text only</v>
      </c>
    </row>
    <row r="674" spans="1:20" hidden="1" x14ac:dyDescent="0.2">
      <c r="A674" t="s">
        <v>4340</v>
      </c>
      <c r="B674" t="s">
        <v>2365</v>
      </c>
      <c r="C674" t="s">
        <v>2366</v>
      </c>
      <c r="D674" t="s">
        <v>4341</v>
      </c>
      <c r="E674" t="s">
        <v>4342</v>
      </c>
      <c r="F674" t="str">
        <f>IF(Table2[[#This Row],[Date posted]]&lt; DATE(2015,9,18),"Before Crisis","During Crisis")</f>
        <v>During Crisis</v>
      </c>
      <c r="G674" s="27">
        <f t="shared" si="60"/>
        <v>42277</v>
      </c>
      <c r="H674" s="7" t="str">
        <f t="shared" si="61"/>
        <v>17:50:20</v>
      </c>
      <c r="I674" s="8" t="str">
        <f t="shared" si="62"/>
        <v>Afternoon</v>
      </c>
      <c r="J674" t="s">
        <v>2370</v>
      </c>
      <c r="K674" t="s">
        <v>2370</v>
      </c>
      <c r="L674" s="3">
        <v>0</v>
      </c>
      <c r="M674" s="3">
        <v>0</v>
      </c>
      <c r="N674">
        <v>1</v>
      </c>
      <c r="O674" s="4">
        <f t="shared" si="63"/>
        <v>1</v>
      </c>
      <c r="P674" s="5" t="str">
        <f t="shared" si="64"/>
        <v>Low engagement</v>
      </c>
      <c r="Q674" t="b">
        <v>0</v>
      </c>
      <c r="R674" t="b">
        <v>0</v>
      </c>
      <c r="S674" t="b">
        <v>0</v>
      </c>
      <c r="T674" s="24" t="str">
        <f t="shared" si="65"/>
        <v>Text only</v>
      </c>
    </row>
    <row r="675" spans="1:20" hidden="1" x14ac:dyDescent="0.2">
      <c r="A675" t="s">
        <v>4343</v>
      </c>
      <c r="B675" t="s">
        <v>2365</v>
      </c>
      <c r="C675" t="s">
        <v>2366</v>
      </c>
      <c r="D675" t="s">
        <v>4344</v>
      </c>
      <c r="E675" t="s">
        <v>4342</v>
      </c>
      <c r="F675" t="str">
        <f>IF(Table2[[#This Row],[Date posted]]&lt; DATE(2015,9,18),"Before Crisis","During Crisis")</f>
        <v>During Crisis</v>
      </c>
      <c r="G675" s="27">
        <f t="shared" si="60"/>
        <v>42277</v>
      </c>
      <c r="H675" s="7" t="str">
        <f t="shared" si="61"/>
        <v>17:50:20</v>
      </c>
      <c r="I675" s="8" t="str">
        <f t="shared" si="62"/>
        <v>Afternoon</v>
      </c>
      <c r="J675" t="s">
        <v>4252</v>
      </c>
      <c r="K675" t="s">
        <v>2370</v>
      </c>
      <c r="L675" s="3">
        <v>0</v>
      </c>
      <c r="M675">
        <v>1</v>
      </c>
      <c r="N675">
        <v>1</v>
      </c>
      <c r="O675" s="4">
        <f t="shared" si="63"/>
        <v>2</v>
      </c>
      <c r="P675" s="5" t="str">
        <f t="shared" si="64"/>
        <v>Low engagement</v>
      </c>
      <c r="Q675" t="b">
        <v>0</v>
      </c>
      <c r="R675" t="b">
        <v>0</v>
      </c>
      <c r="S675" t="b">
        <v>1</v>
      </c>
      <c r="T675" s="24" t="str">
        <f t="shared" si="65"/>
        <v>Link</v>
      </c>
    </row>
    <row r="676" spans="1:20" hidden="1" x14ac:dyDescent="0.2">
      <c r="A676" t="s">
        <v>4345</v>
      </c>
      <c r="B676" t="s">
        <v>2365</v>
      </c>
      <c r="C676" t="s">
        <v>2366</v>
      </c>
      <c r="D676" t="s">
        <v>4346</v>
      </c>
      <c r="E676" t="s">
        <v>4342</v>
      </c>
      <c r="F676" t="str">
        <f>IF(Table2[[#This Row],[Date posted]]&lt; DATE(2015,9,18),"Before Crisis","During Crisis")</f>
        <v>During Crisis</v>
      </c>
      <c r="G676" s="27">
        <f t="shared" si="60"/>
        <v>42277</v>
      </c>
      <c r="H676" s="7" t="str">
        <f t="shared" si="61"/>
        <v>17:50:20</v>
      </c>
      <c r="I676" s="8" t="str">
        <f t="shared" si="62"/>
        <v>Afternoon</v>
      </c>
      <c r="J676" t="s">
        <v>4252</v>
      </c>
      <c r="K676" t="s">
        <v>2370</v>
      </c>
      <c r="L676" s="3">
        <v>0</v>
      </c>
      <c r="M676">
        <v>1</v>
      </c>
      <c r="N676">
        <v>1</v>
      </c>
      <c r="O676" s="4">
        <f t="shared" si="63"/>
        <v>2</v>
      </c>
      <c r="P676" s="5" t="str">
        <f t="shared" si="64"/>
        <v>Low engagement</v>
      </c>
      <c r="Q676" t="b">
        <v>0</v>
      </c>
      <c r="R676" t="b">
        <v>0</v>
      </c>
      <c r="S676" t="b">
        <v>1</v>
      </c>
      <c r="T676" s="24" t="str">
        <f t="shared" si="65"/>
        <v>Link</v>
      </c>
    </row>
    <row r="677" spans="1:20" hidden="1" x14ac:dyDescent="0.2">
      <c r="A677" t="s">
        <v>4334</v>
      </c>
      <c r="B677" t="s">
        <v>2365</v>
      </c>
      <c r="C677" t="s">
        <v>2366</v>
      </c>
      <c r="D677" t="s">
        <v>4335</v>
      </c>
      <c r="E677" t="s">
        <v>4336</v>
      </c>
      <c r="F677" t="str">
        <f>IF(Table2[[#This Row],[Date posted]]&lt; DATE(2015,9,18),"Before Crisis","During Crisis")</f>
        <v>During Crisis</v>
      </c>
      <c r="G677" s="27">
        <f t="shared" si="60"/>
        <v>42277</v>
      </c>
      <c r="H677" s="7" t="str">
        <f t="shared" si="61"/>
        <v>17:50:21</v>
      </c>
      <c r="I677" s="8" t="str">
        <f t="shared" si="62"/>
        <v>Afternoon</v>
      </c>
      <c r="J677" t="s">
        <v>4337</v>
      </c>
      <c r="K677" t="s">
        <v>2370</v>
      </c>
      <c r="L677" s="3">
        <v>0</v>
      </c>
      <c r="M677" s="3">
        <v>0</v>
      </c>
      <c r="N677">
        <v>1</v>
      </c>
      <c r="O677" s="4">
        <f t="shared" si="63"/>
        <v>1</v>
      </c>
      <c r="P677" s="5" t="str">
        <f t="shared" si="64"/>
        <v>Low engagement</v>
      </c>
      <c r="Q677" t="b">
        <v>0</v>
      </c>
      <c r="R677" t="b">
        <v>0</v>
      </c>
      <c r="S677" t="b">
        <v>0</v>
      </c>
      <c r="T677" s="24" t="str">
        <f t="shared" si="65"/>
        <v>Text only</v>
      </c>
    </row>
    <row r="678" spans="1:20" hidden="1" x14ac:dyDescent="0.2">
      <c r="A678" t="s">
        <v>4338</v>
      </c>
      <c r="B678" t="s">
        <v>2365</v>
      </c>
      <c r="C678" t="s">
        <v>2366</v>
      </c>
      <c r="D678" t="s">
        <v>4339</v>
      </c>
      <c r="E678" t="s">
        <v>4336</v>
      </c>
      <c r="F678" t="str">
        <f>IF(Table2[[#This Row],[Date posted]]&lt; DATE(2015,9,18),"Before Crisis","During Crisis")</f>
        <v>During Crisis</v>
      </c>
      <c r="G678" s="27">
        <f t="shared" si="60"/>
        <v>42277</v>
      </c>
      <c r="H678" s="7" t="str">
        <f t="shared" si="61"/>
        <v>17:50:21</v>
      </c>
      <c r="I678" s="8" t="str">
        <f t="shared" si="62"/>
        <v>Afternoon</v>
      </c>
      <c r="J678" t="s">
        <v>2370</v>
      </c>
      <c r="K678" t="s">
        <v>2370</v>
      </c>
      <c r="L678" s="3">
        <v>0</v>
      </c>
      <c r="M678" s="3">
        <v>0</v>
      </c>
      <c r="N678">
        <v>1</v>
      </c>
      <c r="O678" s="4">
        <f t="shared" si="63"/>
        <v>1</v>
      </c>
      <c r="P678" s="5" t="str">
        <f t="shared" si="64"/>
        <v>Low engagement</v>
      </c>
      <c r="Q678" t="b">
        <v>0</v>
      </c>
      <c r="R678" t="b">
        <v>0</v>
      </c>
      <c r="S678" t="b">
        <v>0</v>
      </c>
      <c r="T678" s="24" t="str">
        <f t="shared" si="65"/>
        <v>Text only</v>
      </c>
    </row>
    <row r="679" spans="1:20" hidden="1" x14ac:dyDescent="0.2">
      <c r="A679" t="s">
        <v>4331</v>
      </c>
      <c r="B679" t="s">
        <v>2365</v>
      </c>
      <c r="C679" t="s">
        <v>2366</v>
      </c>
      <c r="D679" t="s">
        <v>4332</v>
      </c>
      <c r="E679" t="s">
        <v>4333</v>
      </c>
      <c r="F679" t="str">
        <f>IF(Table2[[#This Row],[Date posted]]&lt; DATE(2015,9,18),"Before Crisis","During Crisis")</f>
        <v>During Crisis</v>
      </c>
      <c r="G679" s="27">
        <f t="shared" si="60"/>
        <v>42277</v>
      </c>
      <c r="H679" s="7" t="str">
        <f t="shared" si="61"/>
        <v>17:50:22</v>
      </c>
      <c r="I679" s="8" t="str">
        <f t="shared" si="62"/>
        <v>Afternoon</v>
      </c>
      <c r="J679" t="s">
        <v>2370</v>
      </c>
      <c r="K679" t="s">
        <v>2370</v>
      </c>
      <c r="L679" s="3">
        <v>0</v>
      </c>
      <c r="M679">
        <v>1</v>
      </c>
      <c r="N679">
        <v>1</v>
      </c>
      <c r="O679" s="4">
        <f t="shared" si="63"/>
        <v>2</v>
      </c>
      <c r="P679" s="5" t="str">
        <f t="shared" si="64"/>
        <v>Low engagement</v>
      </c>
      <c r="Q679" t="b">
        <v>0</v>
      </c>
      <c r="R679" t="b">
        <v>0</v>
      </c>
      <c r="S679" t="b">
        <v>0</v>
      </c>
      <c r="T679" s="24" t="str">
        <f t="shared" si="65"/>
        <v>Text only</v>
      </c>
    </row>
    <row r="680" spans="1:20" hidden="1" x14ac:dyDescent="0.2">
      <c r="A680" t="s">
        <v>4328</v>
      </c>
      <c r="B680" t="s">
        <v>2365</v>
      </c>
      <c r="C680" t="s">
        <v>2366</v>
      </c>
      <c r="D680" t="s">
        <v>4329</v>
      </c>
      <c r="E680" t="s">
        <v>4330</v>
      </c>
      <c r="F680" t="str">
        <f>IF(Table2[[#This Row],[Date posted]]&lt; DATE(2015,9,18),"Before Crisis","During Crisis")</f>
        <v>During Crisis</v>
      </c>
      <c r="G680" s="27">
        <f t="shared" si="60"/>
        <v>42277</v>
      </c>
      <c r="H680" s="7" t="str">
        <f t="shared" si="61"/>
        <v>17:50:23</v>
      </c>
      <c r="I680" s="8" t="str">
        <f t="shared" si="62"/>
        <v>Afternoon</v>
      </c>
      <c r="J680" t="s">
        <v>4282</v>
      </c>
      <c r="K680" t="s">
        <v>2370</v>
      </c>
      <c r="L680">
        <v>1</v>
      </c>
      <c r="M680" s="3">
        <v>0</v>
      </c>
      <c r="N680">
        <v>1</v>
      </c>
      <c r="O680" s="4">
        <f t="shared" si="63"/>
        <v>2</v>
      </c>
      <c r="P680" s="5" t="str">
        <f t="shared" si="64"/>
        <v>Low engagement</v>
      </c>
      <c r="Q680" t="b">
        <v>0</v>
      </c>
      <c r="R680" t="b">
        <v>0</v>
      </c>
      <c r="S680" t="b">
        <v>0</v>
      </c>
      <c r="T680" s="24" t="str">
        <f t="shared" si="65"/>
        <v>Text only</v>
      </c>
    </row>
    <row r="681" spans="1:20" hidden="1" x14ac:dyDescent="0.2">
      <c r="A681" t="s">
        <v>4325</v>
      </c>
      <c r="B681" t="s">
        <v>2365</v>
      </c>
      <c r="C681" t="s">
        <v>2366</v>
      </c>
      <c r="D681" t="s">
        <v>4326</v>
      </c>
      <c r="E681" t="s">
        <v>4327</v>
      </c>
      <c r="F681" t="str">
        <f>IF(Table2[[#This Row],[Date posted]]&lt; DATE(2015,9,18),"Before Crisis","During Crisis")</f>
        <v>During Crisis</v>
      </c>
      <c r="G681" s="27">
        <f t="shared" si="60"/>
        <v>42277</v>
      </c>
      <c r="H681" s="7" t="str">
        <f t="shared" si="61"/>
        <v>18:35:49</v>
      </c>
      <c r="I681" s="8" t="str">
        <f t="shared" si="62"/>
        <v>Evening</v>
      </c>
      <c r="J681" t="s">
        <v>4282</v>
      </c>
      <c r="K681" t="s">
        <v>2370</v>
      </c>
      <c r="L681" s="3">
        <v>0</v>
      </c>
      <c r="M681" s="3">
        <v>0</v>
      </c>
      <c r="N681">
        <v>1</v>
      </c>
      <c r="O681" s="4">
        <f t="shared" si="63"/>
        <v>1</v>
      </c>
      <c r="P681" s="5" t="str">
        <f t="shared" si="64"/>
        <v>Low engagement</v>
      </c>
      <c r="Q681" t="b">
        <v>0</v>
      </c>
      <c r="R681" t="b">
        <v>0</v>
      </c>
      <c r="S681" t="b">
        <v>0</v>
      </c>
      <c r="T681" s="24" t="str">
        <f t="shared" si="65"/>
        <v>Text only</v>
      </c>
    </row>
    <row r="682" spans="1:20" hidden="1" x14ac:dyDescent="0.2">
      <c r="A682" t="s">
        <v>4319</v>
      </c>
      <c r="B682" t="s">
        <v>2365</v>
      </c>
      <c r="C682" t="s">
        <v>2366</v>
      </c>
      <c r="D682" t="s">
        <v>4320</v>
      </c>
      <c r="E682" t="s">
        <v>4321</v>
      </c>
      <c r="F682" t="str">
        <f>IF(Table2[[#This Row],[Date posted]]&lt; DATE(2015,9,18),"Before Crisis","During Crisis")</f>
        <v>During Crisis</v>
      </c>
      <c r="G682" s="27">
        <f t="shared" si="60"/>
        <v>42277</v>
      </c>
      <c r="H682" s="7" t="str">
        <f t="shared" si="61"/>
        <v>20:31:23</v>
      </c>
      <c r="I682" s="8" t="str">
        <f t="shared" si="62"/>
        <v>Evening</v>
      </c>
      <c r="J682" t="s">
        <v>2370</v>
      </c>
      <c r="K682" t="s">
        <v>2370</v>
      </c>
      <c r="L682" s="3">
        <v>0</v>
      </c>
      <c r="M682" s="3">
        <v>0</v>
      </c>
      <c r="N682">
        <v>1</v>
      </c>
      <c r="O682" s="4">
        <f t="shared" si="63"/>
        <v>1</v>
      </c>
      <c r="P682" s="5" t="str">
        <f t="shared" si="64"/>
        <v>Low engagement</v>
      </c>
      <c r="Q682" t="b">
        <v>0</v>
      </c>
      <c r="R682" t="b">
        <v>0</v>
      </c>
      <c r="S682" t="b">
        <v>1</v>
      </c>
      <c r="T682" s="24" t="str">
        <f t="shared" si="65"/>
        <v>Link</v>
      </c>
    </row>
    <row r="683" spans="1:20" hidden="1" x14ac:dyDescent="0.2">
      <c r="A683" t="s">
        <v>4322</v>
      </c>
      <c r="B683" t="s">
        <v>2365</v>
      </c>
      <c r="C683" t="s">
        <v>2366</v>
      </c>
      <c r="D683" t="s">
        <v>4323</v>
      </c>
      <c r="E683" t="s">
        <v>4321</v>
      </c>
      <c r="F683" t="str">
        <f>IF(Table2[[#This Row],[Date posted]]&lt; DATE(2015,9,18),"Before Crisis","During Crisis")</f>
        <v>During Crisis</v>
      </c>
      <c r="G683" s="27">
        <f t="shared" si="60"/>
        <v>42277</v>
      </c>
      <c r="H683" s="7" t="str">
        <f t="shared" si="61"/>
        <v>20:31:23</v>
      </c>
      <c r="I683" s="8" t="str">
        <f t="shared" si="62"/>
        <v>Evening</v>
      </c>
      <c r="J683" t="s">
        <v>4324</v>
      </c>
      <c r="K683" t="s">
        <v>2370</v>
      </c>
      <c r="L683">
        <v>1</v>
      </c>
      <c r="M683">
        <v>2</v>
      </c>
      <c r="N683">
        <v>1</v>
      </c>
      <c r="O683" s="4">
        <f t="shared" si="63"/>
        <v>4</v>
      </c>
      <c r="P683" s="5" t="str">
        <f t="shared" si="64"/>
        <v>Low engagement</v>
      </c>
      <c r="Q683" t="b">
        <v>0</v>
      </c>
      <c r="R683" t="b">
        <v>0</v>
      </c>
      <c r="S683" t="b">
        <v>0</v>
      </c>
      <c r="T683" s="24" t="str">
        <f t="shared" si="65"/>
        <v>Text only</v>
      </c>
    </row>
    <row r="684" spans="1:20" hidden="1" x14ac:dyDescent="0.2">
      <c r="A684" t="s">
        <v>4313</v>
      </c>
      <c r="B684" t="s">
        <v>2365</v>
      </c>
      <c r="C684" t="s">
        <v>2366</v>
      </c>
      <c r="D684" t="s">
        <v>4314</v>
      </c>
      <c r="E684" t="s">
        <v>4315</v>
      </c>
      <c r="F684" t="str">
        <f>IF(Table2[[#This Row],[Date posted]]&lt; DATE(2015,9,18),"Before Crisis","During Crisis")</f>
        <v>During Crisis</v>
      </c>
      <c r="G684" s="27">
        <f t="shared" si="60"/>
        <v>42278</v>
      </c>
      <c r="H684" s="7" t="str">
        <f t="shared" si="61"/>
        <v>19:40:25</v>
      </c>
      <c r="I684" s="8" t="str">
        <f t="shared" si="62"/>
        <v>Evening</v>
      </c>
      <c r="J684" t="s">
        <v>4316</v>
      </c>
      <c r="K684" t="s">
        <v>2370</v>
      </c>
      <c r="L684" s="3">
        <v>0</v>
      </c>
      <c r="M684">
        <v>1</v>
      </c>
      <c r="N684">
        <v>1</v>
      </c>
      <c r="O684" s="4">
        <f t="shared" si="63"/>
        <v>2</v>
      </c>
      <c r="P684" s="5" t="str">
        <f t="shared" si="64"/>
        <v>Low engagement</v>
      </c>
      <c r="Q684" t="b">
        <v>0</v>
      </c>
      <c r="R684" t="b">
        <v>0</v>
      </c>
      <c r="S684" t="b">
        <v>0</v>
      </c>
      <c r="T684" s="24" t="str">
        <f t="shared" si="65"/>
        <v>Text only</v>
      </c>
    </row>
    <row r="685" spans="1:20" hidden="1" x14ac:dyDescent="0.2">
      <c r="A685" t="s">
        <v>4309</v>
      </c>
      <c r="B685" t="s">
        <v>2365</v>
      </c>
      <c r="C685" t="s">
        <v>2366</v>
      </c>
      <c r="D685" t="s">
        <v>4310</v>
      </c>
      <c r="E685" t="s">
        <v>4311</v>
      </c>
      <c r="F685" t="str">
        <f>IF(Table2[[#This Row],[Date posted]]&lt; DATE(2015,9,18),"Before Crisis","During Crisis")</f>
        <v>During Crisis</v>
      </c>
      <c r="G685" s="27">
        <f t="shared" si="60"/>
        <v>42278</v>
      </c>
      <c r="H685" s="7" t="str">
        <f t="shared" si="61"/>
        <v>20:04:52</v>
      </c>
      <c r="I685" s="8" t="str">
        <f t="shared" si="62"/>
        <v>Evening</v>
      </c>
      <c r="J685" t="s">
        <v>4312</v>
      </c>
      <c r="K685" t="s">
        <v>2370</v>
      </c>
      <c r="L685">
        <v>3</v>
      </c>
      <c r="M685">
        <v>1</v>
      </c>
      <c r="N685">
        <v>1</v>
      </c>
      <c r="O685" s="4">
        <f t="shared" si="63"/>
        <v>5</v>
      </c>
      <c r="P685" s="5" t="str">
        <f t="shared" si="64"/>
        <v>Moderate engagement</v>
      </c>
      <c r="Q685" t="b">
        <v>0</v>
      </c>
      <c r="R685" t="b">
        <v>0</v>
      </c>
      <c r="S685" t="b">
        <v>0</v>
      </c>
      <c r="T685" s="24" t="str">
        <f t="shared" si="65"/>
        <v>Text only</v>
      </c>
    </row>
    <row r="686" spans="1:20" hidden="1" x14ac:dyDescent="0.2">
      <c r="A686" t="s">
        <v>4305</v>
      </c>
      <c r="B686" t="s">
        <v>2365</v>
      </c>
      <c r="C686" t="s">
        <v>2366</v>
      </c>
      <c r="D686" t="s">
        <v>4306</v>
      </c>
      <c r="E686" t="s">
        <v>4307</v>
      </c>
      <c r="F686" t="str">
        <f>IF(Table2[[#This Row],[Date posted]]&lt; DATE(2015,9,18),"Before Crisis","During Crisis")</f>
        <v>During Crisis</v>
      </c>
      <c r="G686" s="27">
        <f t="shared" si="60"/>
        <v>42279</v>
      </c>
      <c r="H686" s="7" t="str">
        <f t="shared" si="61"/>
        <v>16:44:49</v>
      </c>
      <c r="I686" s="8" t="str">
        <f t="shared" si="62"/>
        <v>Afternoon</v>
      </c>
      <c r="J686" t="s">
        <v>4308</v>
      </c>
      <c r="K686" t="s">
        <v>2370</v>
      </c>
      <c r="L686">
        <v>1</v>
      </c>
      <c r="M686">
        <v>1</v>
      </c>
      <c r="N686">
        <v>1</v>
      </c>
      <c r="O686" s="4">
        <f t="shared" si="63"/>
        <v>3</v>
      </c>
      <c r="P686" s="5" t="str">
        <f t="shared" si="64"/>
        <v>Low engagement</v>
      </c>
      <c r="Q686" t="b">
        <v>0</v>
      </c>
      <c r="R686" t="b">
        <v>0</v>
      </c>
      <c r="S686" t="b">
        <v>0</v>
      </c>
      <c r="T686" s="24" t="str">
        <f t="shared" si="65"/>
        <v>Text only</v>
      </c>
    </row>
    <row r="687" spans="1:20" hidden="1" x14ac:dyDescent="0.2">
      <c r="A687" t="s">
        <v>4298</v>
      </c>
      <c r="B687" t="s">
        <v>2365</v>
      </c>
      <c r="C687" t="s">
        <v>2366</v>
      </c>
      <c r="D687" t="s">
        <v>4299</v>
      </c>
      <c r="E687" t="s">
        <v>4300</v>
      </c>
      <c r="F687" t="str">
        <f>IF(Table2[[#This Row],[Date posted]]&lt; DATE(2015,9,18),"Before Crisis","During Crisis")</f>
        <v>During Crisis</v>
      </c>
      <c r="G687" s="27">
        <f t="shared" si="60"/>
        <v>42279</v>
      </c>
      <c r="H687" s="7" t="str">
        <f t="shared" si="61"/>
        <v>18:47:17</v>
      </c>
      <c r="I687" s="8" t="str">
        <f t="shared" si="62"/>
        <v>Evening</v>
      </c>
      <c r="J687" t="s">
        <v>2370</v>
      </c>
      <c r="K687" t="s">
        <v>2370</v>
      </c>
      <c r="L687" s="3">
        <v>0</v>
      </c>
      <c r="M687" s="3">
        <v>0</v>
      </c>
      <c r="N687">
        <v>1</v>
      </c>
      <c r="O687" s="4">
        <f t="shared" si="63"/>
        <v>1</v>
      </c>
      <c r="P687" s="5" t="str">
        <f t="shared" si="64"/>
        <v>Low engagement</v>
      </c>
      <c r="Q687" t="b">
        <v>0</v>
      </c>
      <c r="R687" t="b">
        <v>0</v>
      </c>
      <c r="S687" t="b">
        <v>1</v>
      </c>
      <c r="T687" s="24" t="str">
        <f t="shared" si="65"/>
        <v>Link</v>
      </c>
    </row>
    <row r="688" spans="1:20" hidden="1" x14ac:dyDescent="0.2">
      <c r="A688" t="s">
        <v>4301</v>
      </c>
      <c r="B688" t="s">
        <v>2365</v>
      </c>
      <c r="C688" t="s">
        <v>2366</v>
      </c>
      <c r="D688" t="s">
        <v>4302</v>
      </c>
      <c r="E688" t="s">
        <v>4300</v>
      </c>
      <c r="F688" t="str">
        <f>IF(Table2[[#This Row],[Date posted]]&lt; DATE(2015,9,18),"Before Crisis","During Crisis")</f>
        <v>During Crisis</v>
      </c>
      <c r="G688" s="27">
        <f t="shared" si="60"/>
        <v>42279</v>
      </c>
      <c r="H688" s="7" t="str">
        <f t="shared" si="61"/>
        <v>18:47:17</v>
      </c>
      <c r="I688" s="8" t="str">
        <f t="shared" si="62"/>
        <v>Evening</v>
      </c>
      <c r="J688" t="s">
        <v>2370</v>
      </c>
      <c r="K688" t="s">
        <v>2370</v>
      </c>
      <c r="L688" s="3">
        <v>0</v>
      </c>
      <c r="M688" s="3">
        <v>0</v>
      </c>
      <c r="N688">
        <v>1</v>
      </c>
      <c r="O688" s="4">
        <f t="shared" si="63"/>
        <v>1</v>
      </c>
      <c r="P688" s="5" t="str">
        <f t="shared" si="64"/>
        <v>Low engagement</v>
      </c>
      <c r="Q688" t="b">
        <v>0</v>
      </c>
      <c r="R688" t="b">
        <v>0</v>
      </c>
      <c r="S688" t="b">
        <v>0</v>
      </c>
      <c r="T688" s="24" t="str">
        <f t="shared" si="65"/>
        <v>Text only</v>
      </c>
    </row>
    <row r="689" spans="1:20" hidden="1" x14ac:dyDescent="0.2">
      <c r="A689" t="s">
        <v>4295</v>
      </c>
      <c r="B689" t="s">
        <v>2365</v>
      </c>
      <c r="C689" t="s">
        <v>2366</v>
      </c>
      <c r="D689" t="s">
        <v>4296</v>
      </c>
      <c r="E689" t="s">
        <v>4297</v>
      </c>
      <c r="F689" t="str">
        <f>IF(Table2[[#This Row],[Date posted]]&lt; DATE(2015,9,18),"Before Crisis","During Crisis")</f>
        <v>During Crisis</v>
      </c>
      <c r="G689" s="27">
        <f t="shared" si="60"/>
        <v>42279</v>
      </c>
      <c r="H689" s="7" t="str">
        <f t="shared" si="61"/>
        <v>18:50:37</v>
      </c>
      <c r="I689" s="8" t="str">
        <f t="shared" si="62"/>
        <v>Evening</v>
      </c>
      <c r="J689" t="s">
        <v>4294</v>
      </c>
      <c r="K689" t="s">
        <v>2370</v>
      </c>
      <c r="L689" s="3">
        <v>0</v>
      </c>
      <c r="M689" s="3">
        <v>0</v>
      </c>
      <c r="N689">
        <v>1</v>
      </c>
      <c r="O689" s="4">
        <f t="shared" si="63"/>
        <v>1</v>
      </c>
      <c r="P689" s="5" t="str">
        <f t="shared" si="64"/>
        <v>Low engagement</v>
      </c>
      <c r="Q689" t="b">
        <v>0</v>
      </c>
      <c r="R689" t="b">
        <v>0</v>
      </c>
      <c r="S689" t="b">
        <v>0</v>
      </c>
      <c r="T689" s="24" t="str">
        <f t="shared" si="65"/>
        <v>Text only</v>
      </c>
    </row>
    <row r="690" spans="1:20" hidden="1" x14ac:dyDescent="0.2">
      <c r="A690" t="s">
        <v>4291</v>
      </c>
      <c r="B690" t="s">
        <v>2365</v>
      </c>
      <c r="C690" t="s">
        <v>2366</v>
      </c>
      <c r="D690" t="s">
        <v>4292</v>
      </c>
      <c r="E690" t="s">
        <v>4293</v>
      </c>
      <c r="F690" t="str">
        <f>IF(Table2[[#This Row],[Date posted]]&lt; DATE(2015,9,18),"Before Crisis","During Crisis")</f>
        <v>During Crisis</v>
      </c>
      <c r="G690" s="27">
        <f t="shared" si="60"/>
        <v>42279</v>
      </c>
      <c r="H690" s="7" t="str">
        <f t="shared" si="61"/>
        <v>18:50:38</v>
      </c>
      <c r="I690" s="8" t="str">
        <f t="shared" si="62"/>
        <v>Evening</v>
      </c>
      <c r="J690" t="s">
        <v>4294</v>
      </c>
      <c r="K690" t="s">
        <v>2370</v>
      </c>
      <c r="L690" s="3">
        <v>0</v>
      </c>
      <c r="M690" s="3">
        <v>0</v>
      </c>
      <c r="N690">
        <v>1</v>
      </c>
      <c r="O690" s="4">
        <f t="shared" si="63"/>
        <v>1</v>
      </c>
      <c r="P690" s="5" t="str">
        <f t="shared" si="64"/>
        <v>Low engagement</v>
      </c>
      <c r="Q690" t="b">
        <v>0</v>
      </c>
      <c r="R690" t="b">
        <v>0</v>
      </c>
      <c r="S690" t="b">
        <v>0</v>
      </c>
      <c r="T690" s="24" t="str">
        <f t="shared" si="65"/>
        <v>Text only</v>
      </c>
    </row>
    <row r="691" spans="1:20" hidden="1" x14ac:dyDescent="0.2">
      <c r="A691" t="s">
        <v>4283</v>
      </c>
      <c r="B691" t="s">
        <v>2365</v>
      </c>
      <c r="C691" t="s">
        <v>2366</v>
      </c>
      <c r="D691" t="s">
        <v>4284</v>
      </c>
      <c r="E691" t="s">
        <v>4285</v>
      </c>
      <c r="F691" t="str">
        <f>IF(Table2[[#This Row],[Date posted]]&lt; DATE(2015,9,18),"Before Crisis","During Crisis")</f>
        <v>During Crisis</v>
      </c>
      <c r="G691" s="27">
        <f t="shared" si="60"/>
        <v>42279</v>
      </c>
      <c r="H691" s="7" t="str">
        <f t="shared" si="61"/>
        <v>19:39:37</v>
      </c>
      <c r="I691" s="8" t="str">
        <f t="shared" si="62"/>
        <v>Evening</v>
      </c>
      <c r="J691" t="s">
        <v>4286</v>
      </c>
      <c r="K691" t="s">
        <v>2370</v>
      </c>
      <c r="L691" s="3">
        <v>0</v>
      </c>
      <c r="M691">
        <v>1</v>
      </c>
      <c r="N691">
        <v>1</v>
      </c>
      <c r="O691" s="4">
        <f t="shared" si="63"/>
        <v>2</v>
      </c>
      <c r="P691" s="5" t="str">
        <f t="shared" si="64"/>
        <v>Low engagement</v>
      </c>
      <c r="Q691" t="b">
        <v>0</v>
      </c>
      <c r="R691" t="b">
        <v>0</v>
      </c>
      <c r="S691" t="b">
        <v>0</v>
      </c>
      <c r="T691" s="24" t="str">
        <f t="shared" si="65"/>
        <v>Text only</v>
      </c>
    </row>
    <row r="692" spans="1:20" hidden="1" x14ac:dyDescent="0.2">
      <c r="A692" t="s">
        <v>4279</v>
      </c>
      <c r="B692" t="s">
        <v>2365</v>
      </c>
      <c r="C692" t="s">
        <v>2366</v>
      </c>
      <c r="D692" t="s">
        <v>4280</v>
      </c>
      <c r="E692" t="s">
        <v>4281</v>
      </c>
      <c r="F692" t="str">
        <f>IF(Table2[[#This Row],[Date posted]]&lt; DATE(2015,9,18),"Before Crisis","During Crisis")</f>
        <v>During Crisis</v>
      </c>
      <c r="G692" s="27">
        <f t="shared" si="60"/>
        <v>42279</v>
      </c>
      <c r="H692" s="7" t="str">
        <f t="shared" si="61"/>
        <v>22:28:56</v>
      </c>
      <c r="I692" s="8" t="str">
        <f t="shared" si="62"/>
        <v>Evening</v>
      </c>
      <c r="J692" t="s">
        <v>4282</v>
      </c>
      <c r="K692" t="s">
        <v>2370</v>
      </c>
      <c r="L692" s="3">
        <v>0</v>
      </c>
      <c r="M692" s="3">
        <v>0</v>
      </c>
      <c r="N692">
        <v>1</v>
      </c>
      <c r="O692" s="4">
        <f t="shared" si="63"/>
        <v>1</v>
      </c>
      <c r="P692" s="5" t="str">
        <f t="shared" si="64"/>
        <v>Low engagement</v>
      </c>
      <c r="Q692" t="b">
        <v>0</v>
      </c>
      <c r="R692" t="b">
        <v>0</v>
      </c>
      <c r="S692" t="b">
        <v>0</v>
      </c>
      <c r="T692" s="24" t="str">
        <f t="shared" si="65"/>
        <v>Text only</v>
      </c>
    </row>
    <row r="693" spans="1:20" hidden="1" x14ac:dyDescent="0.2">
      <c r="A693" t="s">
        <v>4275</v>
      </c>
      <c r="B693" t="s">
        <v>2365</v>
      </c>
      <c r="C693" t="s">
        <v>2366</v>
      </c>
      <c r="D693" t="s">
        <v>4276</v>
      </c>
      <c r="E693" t="s">
        <v>4277</v>
      </c>
      <c r="F693" t="str">
        <f>IF(Table2[[#This Row],[Date posted]]&lt; DATE(2015,9,18),"Before Crisis","During Crisis")</f>
        <v>During Crisis</v>
      </c>
      <c r="G693" s="27">
        <f t="shared" si="60"/>
        <v>42279</v>
      </c>
      <c r="H693" s="7" t="str">
        <f t="shared" si="61"/>
        <v>22:28:57</v>
      </c>
      <c r="I693" s="8" t="str">
        <f t="shared" si="62"/>
        <v>Evening</v>
      </c>
      <c r="J693" t="s">
        <v>4278</v>
      </c>
      <c r="K693" t="s">
        <v>2370</v>
      </c>
      <c r="L693">
        <v>1</v>
      </c>
      <c r="M693" s="3">
        <v>0</v>
      </c>
      <c r="N693">
        <v>1</v>
      </c>
      <c r="O693" s="4">
        <f t="shared" si="63"/>
        <v>2</v>
      </c>
      <c r="P693" s="5" t="str">
        <f t="shared" si="64"/>
        <v>Low engagement</v>
      </c>
      <c r="Q693" t="b">
        <v>0</v>
      </c>
      <c r="R693" t="b">
        <v>0</v>
      </c>
      <c r="S693" t="b">
        <v>0</v>
      </c>
      <c r="T693" s="24" t="str">
        <f t="shared" si="65"/>
        <v>Text only</v>
      </c>
    </row>
    <row r="694" spans="1:20" hidden="1" x14ac:dyDescent="0.2">
      <c r="A694" t="s">
        <v>4236</v>
      </c>
      <c r="B694" t="s">
        <v>2365</v>
      </c>
      <c r="C694" t="s">
        <v>2366</v>
      </c>
      <c r="D694" t="s">
        <v>4237</v>
      </c>
      <c r="E694" t="s">
        <v>4238</v>
      </c>
      <c r="F694" t="str">
        <f>IF(Table2[[#This Row],[Date posted]]&lt; DATE(2015,9,18),"Before Crisis","During Crisis")</f>
        <v>During Crisis</v>
      </c>
      <c r="G694" s="27">
        <f t="shared" si="60"/>
        <v>42282</v>
      </c>
      <c r="H694" s="7" t="str">
        <f t="shared" si="61"/>
        <v>19:40:20</v>
      </c>
      <c r="I694" s="8" t="str">
        <f t="shared" si="62"/>
        <v>Evening</v>
      </c>
      <c r="J694" t="s">
        <v>2370</v>
      </c>
      <c r="K694" t="s">
        <v>2370</v>
      </c>
      <c r="L694" s="3">
        <v>0</v>
      </c>
      <c r="M694" s="3">
        <v>0</v>
      </c>
      <c r="N694">
        <v>1</v>
      </c>
      <c r="O694" s="4">
        <f t="shared" si="63"/>
        <v>1</v>
      </c>
      <c r="P694" s="5" t="str">
        <f t="shared" si="64"/>
        <v>Low engagement</v>
      </c>
      <c r="Q694" t="b">
        <v>0</v>
      </c>
      <c r="R694" t="b">
        <v>0</v>
      </c>
      <c r="S694" t="b">
        <v>0</v>
      </c>
      <c r="T694" s="24" t="str">
        <f t="shared" si="65"/>
        <v>Text only</v>
      </c>
    </row>
    <row r="695" spans="1:20" hidden="1" x14ac:dyDescent="0.2">
      <c r="A695" t="s">
        <v>4229</v>
      </c>
      <c r="B695" t="s">
        <v>2365</v>
      </c>
      <c r="C695" t="s">
        <v>2366</v>
      </c>
      <c r="D695" t="s">
        <v>4230</v>
      </c>
      <c r="E695" t="s">
        <v>4231</v>
      </c>
      <c r="F695" t="str">
        <f>IF(Table2[[#This Row],[Date posted]]&lt; DATE(2015,9,18),"Before Crisis","During Crisis")</f>
        <v>During Crisis</v>
      </c>
      <c r="G695" s="27">
        <f t="shared" si="60"/>
        <v>42282</v>
      </c>
      <c r="H695" s="7" t="str">
        <f t="shared" si="61"/>
        <v>20:14:52</v>
      </c>
      <c r="I695" s="8" t="str">
        <f t="shared" si="62"/>
        <v>Evening</v>
      </c>
      <c r="J695" t="s">
        <v>4232</v>
      </c>
      <c r="K695" t="s">
        <v>2370</v>
      </c>
      <c r="L695" s="3">
        <v>0</v>
      </c>
      <c r="M695" s="3">
        <v>0</v>
      </c>
      <c r="N695">
        <v>1</v>
      </c>
      <c r="O695" s="4">
        <f t="shared" si="63"/>
        <v>1</v>
      </c>
      <c r="P695" s="5" t="str">
        <f t="shared" si="64"/>
        <v>Low engagement</v>
      </c>
      <c r="Q695" t="b">
        <v>0</v>
      </c>
      <c r="R695" t="b">
        <v>0</v>
      </c>
      <c r="S695" t="b">
        <v>1</v>
      </c>
      <c r="T695" s="24" t="str">
        <f t="shared" si="65"/>
        <v>Link</v>
      </c>
    </row>
    <row r="696" spans="1:20" hidden="1" x14ac:dyDescent="0.2">
      <c r="A696" t="s">
        <v>4221</v>
      </c>
      <c r="B696" t="s">
        <v>2365</v>
      </c>
      <c r="C696" t="s">
        <v>2366</v>
      </c>
      <c r="D696" t="s">
        <v>4222</v>
      </c>
      <c r="E696" t="s">
        <v>4223</v>
      </c>
      <c r="F696" t="str">
        <f>IF(Table2[[#This Row],[Date posted]]&lt; DATE(2015,9,18),"Before Crisis","During Crisis")</f>
        <v>During Crisis</v>
      </c>
      <c r="G696" s="27">
        <f t="shared" si="60"/>
        <v>42282</v>
      </c>
      <c r="H696" s="7" t="str">
        <f t="shared" si="61"/>
        <v>20:52:42</v>
      </c>
      <c r="I696" s="8" t="str">
        <f t="shared" si="62"/>
        <v>Evening</v>
      </c>
      <c r="J696" t="s">
        <v>4224</v>
      </c>
      <c r="K696" t="s">
        <v>2370</v>
      </c>
      <c r="L696" s="3">
        <v>0</v>
      </c>
      <c r="M696" s="3">
        <v>0</v>
      </c>
      <c r="N696">
        <v>1</v>
      </c>
      <c r="O696" s="4">
        <f t="shared" si="63"/>
        <v>1</v>
      </c>
      <c r="P696" s="5" t="str">
        <f t="shared" si="64"/>
        <v>Low engagement</v>
      </c>
      <c r="Q696" t="b">
        <v>0</v>
      </c>
      <c r="R696" t="b">
        <v>0</v>
      </c>
      <c r="S696" t="b">
        <v>1</v>
      </c>
      <c r="T696" s="24" t="str">
        <f t="shared" si="65"/>
        <v>Link</v>
      </c>
    </row>
    <row r="697" spans="1:20" hidden="1" x14ac:dyDescent="0.2">
      <c r="A697" t="s">
        <v>4205</v>
      </c>
      <c r="B697" t="s">
        <v>2365</v>
      </c>
      <c r="C697" t="s">
        <v>2366</v>
      </c>
      <c r="D697" t="s">
        <v>4206</v>
      </c>
      <c r="E697" t="s">
        <v>4207</v>
      </c>
      <c r="F697" t="str">
        <f>IF(Table2[[#This Row],[Date posted]]&lt; DATE(2015,9,18),"Before Crisis","During Crisis")</f>
        <v>During Crisis</v>
      </c>
      <c r="G697" s="27">
        <f t="shared" si="60"/>
        <v>42283</v>
      </c>
      <c r="H697" s="7" t="str">
        <f t="shared" si="61"/>
        <v>13:21:37</v>
      </c>
      <c r="I697" s="8" t="str">
        <f t="shared" si="62"/>
        <v>Mid-day</v>
      </c>
      <c r="J697" t="s">
        <v>2625</v>
      </c>
      <c r="K697" t="s">
        <v>2370</v>
      </c>
      <c r="L697" s="3">
        <v>0</v>
      </c>
      <c r="M697">
        <v>1</v>
      </c>
      <c r="N697">
        <v>1</v>
      </c>
      <c r="O697" s="4">
        <f t="shared" si="63"/>
        <v>2</v>
      </c>
      <c r="P697" s="5" t="str">
        <f t="shared" si="64"/>
        <v>Low engagement</v>
      </c>
      <c r="Q697" t="b">
        <v>0</v>
      </c>
      <c r="R697" t="b">
        <v>0</v>
      </c>
      <c r="S697" t="b">
        <v>0</v>
      </c>
      <c r="T697" s="24" t="str">
        <f t="shared" si="65"/>
        <v>Text only</v>
      </c>
    </row>
    <row r="698" spans="1:20" hidden="1" x14ac:dyDescent="0.2">
      <c r="A698" t="s">
        <v>4195</v>
      </c>
      <c r="B698" t="s">
        <v>2365</v>
      </c>
      <c r="C698" t="s">
        <v>2366</v>
      </c>
      <c r="D698" t="s">
        <v>4196</v>
      </c>
      <c r="E698" t="s">
        <v>4197</v>
      </c>
      <c r="F698" t="str">
        <f>IF(Table2[[#This Row],[Date posted]]&lt; DATE(2015,9,18),"Before Crisis","During Crisis")</f>
        <v>During Crisis</v>
      </c>
      <c r="G698" s="27">
        <f t="shared" si="60"/>
        <v>42283</v>
      </c>
      <c r="H698" s="7" t="str">
        <f t="shared" si="61"/>
        <v>15:46:34</v>
      </c>
      <c r="I698" s="8" t="str">
        <f t="shared" si="62"/>
        <v>Afternoon</v>
      </c>
      <c r="J698" t="s">
        <v>4198</v>
      </c>
      <c r="K698" t="s">
        <v>2370</v>
      </c>
      <c r="L698" s="3">
        <v>0</v>
      </c>
      <c r="M698" s="3">
        <v>0</v>
      </c>
      <c r="N698">
        <v>1</v>
      </c>
      <c r="O698" s="4">
        <f t="shared" si="63"/>
        <v>1</v>
      </c>
      <c r="P698" s="5" t="str">
        <f t="shared" si="64"/>
        <v>Low engagement</v>
      </c>
      <c r="Q698" t="b">
        <v>0</v>
      </c>
      <c r="R698" t="b">
        <v>0</v>
      </c>
      <c r="S698" t="b">
        <v>1</v>
      </c>
      <c r="T698" s="24" t="str">
        <f t="shared" si="65"/>
        <v>Link</v>
      </c>
    </row>
    <row r="699" spans="1:20" hidden="1" x14ac:dyDescent="0.2">
      <c r="A699" t="s">
        <v>4192</v>
      </c>
      <c r="B699" t="s">
        <v>2365</v>
      </c>
      <c r="C699" t="s">
        <v>2366</v>
      </c>
      <c r="D699" t="s">
        <v>4193</v>
      </c>
      <c r="E699" t="s">
        <v>4194</v>
      </c>
      <c r="F699" t="str">
        <f>IF(Table2[[#This Row],[Date posted]]&lt; DATE(2015,9,18),"Before Crisis","During Crisis")</f>
        <v>During Crisis</v>
      </c>
      <c r="G699" s="27">
        <f t="shared" si="60"/>
        <v>42283</v>
      </c>
      <c r="H699" s="7" t="str">
        <f t="shared" si="61"/>
        <v>16:08:08</v>
      </c>
      <c r="I699" s="8" t="str">
        <f t="shared" si="62"/>
        <v>Afternoon</v>
      </c>
      <c r="J699" t="s">
        <v>4191</v>
      </c>
      <c r="K699" t="s">
        <v>2370</v>
      </c>
      <c r="L699" s="3">
        <v>0</v>
      </c>
      <c r="M699" s="3">
        <v>0</v>
      </c>
      <c r="N699">
        <v>1</v>
      </c>
      <c r="O699" s="4">
        <f t="shared" si="63"/>
        <v>1</v>
      </c>
      <c r="P699" s="5" t="str">
        <f t="shared" si="64"/>
        <v>Low engagement</v>
      </c>
      <c r="Q699" t="b">
        <v>0</v>
      </c>
      <c r="R699" t="b">
        <v>0</v>
      </c>
      <c r="S699" t="b">
        <v>0</v>
      </c>
      <c r="T699" s="24" t="str">
        <f t="shared" si="65"/>
        <v>Text only</v>
      </c>
    </row>
    <row r="700" spans="1:20" hidden="1" x14ac:dyDescent="0.2">
      <c r="A700" t="s">
        <v>4185</v>
      </c>
      <c r="B700" t="s">
        <v>2365</v>
      </c>
      <c r="C700" t="s">
        <v>2366</v>
      </c>
      <c r="D700" t="s">
        <v>4186</v>
      </c>
      <c r="E700" t="s">
        <v>4187</v>
      </c>
      <c r="F700" t="str">
        <f>IF(Table2[[#This Row],[Date posted]]&lt; DATE(2015,9,18),"Before Crisis","During Crisis")</f>
        <v>During Crisis</v>
      </c>
      <c r="G700" s="27">
        <f t="shared" si="60"/>
        <v>42283</v>
      </c>
      <c r="H700" s="7" t="str">
        <f t="shared" si="61"/>
        <v>18:07:03</v>
      </c>
      <c r="I700" s="8" t="str">
        <f t="shared" si="62"/>
        <v>Evening</v>
      </c>
      <c r="J700" t="s">
        <v>2370</v>
      </c>
      <c r="K700" t="s">
        <v>2370</v>
      </c>
      <c r="L700" s="3">
        <v>0</v>
      </c>
      <c r="M700" s="3">
        <v>0</v>
      </c>
      <c r="N700">
        <v>1</v>
      </c>
      <c r="O700" s="4">
        <f t="shared" si="63"/>
        <v>1</v>
      </c>
      <c r="P700" s="5" t="str">
        <f t="shared" si="64"/>
        <v>Low engagement</v>
      </c>
      <c r="Q700" t="b">
        <v>0</v>
      </c>
      <c r="R700" t="b">
        <v>0</v>
      </c>
      <c r="S700" t="b">
        <v>0</v>
      </c>
      <c r="T700" s="24" t="str">
        <f t="shared" si="65"/>
        <v>Text only</v>
      </c>
    </row>
    <row r="701" spans="1:20" hidden="1" x14ac:dyDescent="0.2">
      <c r="A701" t="s">
        <v>4182</v>
      </c>
      <c r="B701" t="s">
        <v>2365</v>
      </c>
      <c r="C701" t="s">
        <v>2366</v>
      </c>
      <c r="D701" t="s">
        <v>4183</v>
      </c>
      <c r="E701" t="s">
        <v>4184</v>
      </c>
      <c r="F701" t="str">
        <f>IF(Table2[[#This Row],[Date posted]]&lt; DATE(2015,9,18),"Before Crisis","During Crisis")</f>
        <v>During Crisis</v>
      </c>
      <c r="G701" s="27">
        <f t="shared" si="60"/>
        <v>42283</v>
      </c>
      <c r="H701" s="7" t="str">
        <f t="shared" si="61"/>
        <v>18:35:28</v>
      </c>
      <c r="I701" s="8" t="str">
        <f t="shared" si="62"/>
        <v>Evening</v>
      </c>
      <c r="J701" t="s">
        <v>2370</v>
      </c>
      <c r="K701" t="s">
        <v>2370</v>
      </c>
      <c r="L701" s="3">
        <v>0</v>
      </c>
      <c r="M701" s="3">
        <v>0</v>
      </c>
      <c r="N701">
        <v>1</v>
      </c>
      <c r="O701" s="4">
        <f t="shared" si="63"/>
        <v>1</v>
      </c>
      <c r="P701" s="5" t="str">
        <f t="shared" si="64"/>
        <v>Low engagement</v>
      </c>
      <c r="Q701" t="b">
        <v>0</v>
      </c>
      <c r="R701" t="b">
        <v>0</v>
      </c>
      <c r="S701" t="b">
        <v>0</v>
      </c>
      <c r="T701" s="24" t="str">
        <f t="shared" si="65"/>
        <v>Text only</v>
      </c>
    </row>
    <row r="702" spans="1:20" hidden="1" x14ac:dyDescent="0.2">
      <c r="A702" t="s">
        <v>4179</v>
      </c>
      <c r="B702" t="s">
        <v>2365</v>
      </c>
      <c r="C702" t="s">
        <v>2366</v>
      </c>
      <c r="D702" t="s">
        <v>4180</v>
      </c>
      <c r="E702" t="s">
        <v>4181</v>
      </c>
      <c r="F702" t="str">
        <f>IF(Table2[[#This Row],[Date posted]]&lt; DATE(2015,9,18),"Before Crisis","During Crisis")</f>
        <v>During Crisis</v>
      </c>
      <c r="G702" s="27">
        <f t="shared" si="60"/>
        <v>42283</v>
      </c>
      <c r="H702" s="7" t="str">
        <f t="shared" si="61"/>
        <v>18:46:01</v>
      </c>
      <c r="I702" s="8" t="str">
        <f t="shared" si="62"/>
        <v>Evening</v>
      </c>
      <c r="J702" t="s">
        <v>2370</v>
      </c>
      <c r="K702" t="s">
        <v>2370</v>
      </c>
      <c r="L702" s="3">
        <v>0</v>
      </c>
      <c r="M702" s="3">
        <v>0</v>
      </c>
      <c r="N702">
        <v>1</v>
      </c>
      <c r="O702" s="4">
        <f t="shared" si="63"/>
        <v>1</v>
      </c>
      <c r="P702" s="5" t="str">
        <f t="shared" si="64"/>
        <v>Low engagement</v>
      </c>
      <c r="Q702" t="b">
        <v>0</v>
      </c>
      <c r="R702" t="b">
        <v>0</v>
      </c>
      <c r="S702" t="b">
        <v>1</v>
      </c>
      <c r="T702" s="24" t="str">
        <f t="shared" si="65"/>
        <v>Link</v>
      </c>
    </row>
    <row r="703" spans="1:20" hidden="1" x14ac:dyDescent="0.2">
      <c r="A703" t="s">
        <v>4173</v>
      </c>
      <c r="B703" t="s">
        <v>2365</v>
      </c>
      <c r="C703" t="s">
        <v>2366</v>
      </c>
      <c r="D703" t="s">
        <v>4174</v>
      </c>
      <c r="E703" t="s">
        <v>4175</v>
      </c>
      <c r="F703" t="str">
        <f>IF(Table2[[#This Row],[Date posted]]&lt; DATE(2015,9,18),"Before Crisis","During Crisis")</f>
        <v>During Crisis</v>
      </c>
      <c r="G703" s="27">
        <f t="shared" si="60"/>
        <v>42283</v>
      </c>
      <c r="H703" s="7" t="str">
        <f t="shared" si="61"/>
        <v>20:47:34</v>
      </c>
      <c r="I703" s="8" t="str">
        <f t="shared" si="62"/>
        <v>Evening</v>
      </c>
      <c r="J703" t="s">
        <v>4172</v>
      </c>
      <c r="K703" t="s">
        <v>2370</v>
      </c>
      <c r="L703" s="3">
        <v>0</v>
      </c>
      <c r="M703">
        <v>1</v>
      </c>
      <c r="N703">
        <v>1</v>
      </c>
      <c r="O703" s="4">
        <f t="shared" si="63"/>
        <v>2</v>
      </c>
      <c r="P703" s="5" t="str">
        <f t="shared" si="64"/>
        <v>Low engagement</v>
      </c>
      <c r="Q703" t="b">
        <v>0</v>
      </c>
      <c r="R703" t="b">
        <v>0</v>
      </c>
      <c r="S703" t="b">
        <v>0</v>
      </c>
      <c r="T703" s="24" t="str">
        <f t="shared" si="65"/>
        <v>Text only</v>
      </c>
    </row>
    <row r="704" spans="1:20" hidden="1" x14ac:dyDescent="0.2">
      <c r="A704" t="s">
        <v>4166</v>
      </c>
      <c r="B704" t="s">
        <v>2365</v>
      </c>
      <c r="C704" t="s">
        <v>2366</v>
      </c>
      <c r="D704" t="s">
        <v>4167</v>
      </c>
      <c r="E704" t="s">
        <v>4168</v>
      </c>
      <c r="F704" t="str">
        <f>IF(Table2[[#This Row],[Date posted]]&lt; DATE(2015,9,18),"Before Crisis","During Crisis")</f>
        <v>During Crisis</v>
      </c>
      <c r="G704" s="27">
        <f t="shared" si="60"/>
        <v>42283</v>
      </c>
      <c r="H704" s="7" t="str">
        <f t="shared" si="61"/>
        <v>21:08:29</v>
      </c>
      <c r="I704" s="8" t="str">
        <f t="shared" si="62"/>
        <v>Evening</v>
      </c>
      <c r="J704" t="s">
        <v>4165</v>
      </c>
      <c r="K704" t="s">
        <v>2370</v>
      </c>
      <c r="L704" s="3">
        <v>0</v>
      </c>
      <c r="M704" s="3">
        <v>0</v>
      </c>
      <c r="N704">
        <v>1</v>
      </c>
      <c r="O704" s="4">
        <f t="shared" si="63"/>
        <v>1</v>
      </c>
      <c r="P704" s="5" t="str">
        <f t="shared" si="64"/>
        <v>Low engagement</v>
      </c>
      <c r="Q704" t="b">
        <v>0</v>
      </c>
      <c r="R704" t="b">
        <v>0</v>
      </c>
      <c r="S704" t="b">
        <v>0</v>
      </c>
      <c r="T704" s="24" t="str">
        <f t="shared" si="65"/>
        <v>Text only</v>
      </c>
    </row>
    <row r="705" spans="1:20" hidden="1" x14ac:dyDescent="0.2">
      <c r="A705" t="s">
        <v>4159</v>
      </c>
      <c r="B705" t="s">
        <v>2365</v>
      </c>
      <c r="C705" t="s">
        <v>2366</v>
      </c>
      <c r="D705" t="s">
        <v>4160</v>
      </c>
      <c r="E705" t="s">
        <v>4161</v>
      </c>
      <c r="F705" t="str">
        <f>IF(Table2[[#This Row],[Date posted]]&lt; DATE(2015,9,18),"Before Crisis","During Crisis")</f>
        <v>During Crisis</v>
      </c>
      <c r="G705" s="27">
        <f t="shared" si="60"/>
        <v>42284</v>
      </c>
      <c r="H705" s="7" t="str">
        <f t="shared" si="61"/>
        <v>14:54:41</v>
      </c>
      <c r="I705" s="8" t="str">
        <f t="shared" si="62"/>
        <v>Afternoon</v>
      </c>
      <c r="J705" t="s">
        <v>4158</v>
      </c>
      <c r="K705" t="s">
        <v>2370</v>
      </c>
      <c r="L705" s="3">
        <v>0</v>
      </c>
      <c r="M705">
        <v>1</v>
      </c>
      <c r="N705">
        <v>1</v>
      </c>
      <c r="O705" s="4">
        <f t="shared" si="63"/>
        <v>2</v>
      </c>
      <c r="P705" s="5" t="str">
        <f t="shared" si="64"/>
        <v>Low engagement</v>
      </c>
      <c r="Q705" t="b">
        <v>0</v>
      </c>
      <c r="R705" t="b">
        <v>0</v>
      </c>
      <c r="S705" t="b">
        <v>0</v>
      </c>
      <c r="T705" s="24" t="str">
        <f t="shared" si="65"/>
        <v>Text only</v>
      </c>
    </row>
    <row r="706" spans="1:20" hidden="1" x14ac:dyDescent="0.2">
      <c r="A706" t="s">
        <v>4137</v>
      </c>
      <c r="B706" t="s">
        <v>2365</v>
      </c>
      <c r="C706" t="s">
        <v>2366</v>
      </c>
      <c r="D706" t="s">
        <v>4138</v>
      </c>
      <c r="E706" t="s">
        <v>4139</v>
      </c>
      <c r="F706" t="str">
        <f>IF(Table2[[#This Row],[Date posted]]&lt; DATE(2015,9,18),"Before Crisis","During Crisis")</f>
        <v>During Crisis</v>
      </c>
      <c r="G706" s="27">
        <f t="shared" ref="G706:G769" si="66">DATEVALUE(LEFT(E706,10))</f>
        <v>42284</v>
      </c>
      <c r="H706" s="7" t="str">
        <f t="shared" ref="H706:H769" si="67">MID(E706,12,8)</f>
        <v>16:56:18</v>
      </c>
      <c r="I706" s="8" t="str">
        <f t="shared" ref="I706:I769" si="68">IF(HOUR(H706)&lt;7,"Early morning",
IF(HOUR(H706)&lt;11,"Morning",
IF(HOUR(H706)&lt;14,"Mid-day",
IF(HOUR(H706)&lt;18,"Afternoon","Evening"))))</f>
        <v>Afternoon</v>
      </c>
      <c r="J706" t="s">
        <v>4140</v>
      </c>
      <c r="K706" t="s">
        <v>2370</v>
      </c>
      <c r="L706" s="3">
        <v>0</v>
      </c>
      <c r="M706">
        <v>2</v>
      </c>
      <c r="N706">
        <v>1</v>
      </c>
      <c r="O706" s="4">
        <f t="shared" ref="O706:O769" si="69">L706+M706+N706</f>
        <v>3</v>
      </c>
      <c r="P706" s="5" t="str">
        <f t="shared" ref="P706:P769" si="70">IF(O706&lt;1,"No engagement", IF(O706&lt;5,"Low engagement", IF(O706&lt;10,"Moderate engagement", "High engagement")))</f>
        <v>Low engagement</v>
      </c>
      <c r="Q706" t="b">
        <v>0</v>
      </c>
      <c r="R706" t="b">
        <v>0</v>
      </c>
      <c r="S706" t="b">
        <v>0</v>
      </c>
      <c r="T706" s="24" t="str">
        <f t="shared" ref="T706:T769" si="71">IF(Q706=TRUE,"Photo",
    IF(R706=TRUE,"Video",
        IF(S706=TRUE,"Link","Text only")))</f>
        <v>Text only</v>
      </c>
    </row>
    <row r="707" spans="1:20" hidden="1" x14ac:dyDescent="0.2">
      <c r="A707" t="s">
        <v>4134</v>
      </c>
      <c r="B707" t="s">
        <v>2365</v>
      </c>
      <c r="C707" t="s">
        <v>2366</v>
      </c>
      <c r="D707" t="s">
        <v>4135</v>
      </c>
      <c r="E707" t="s">
        <v>4136</v>
      </c>
      <c r="F707" t="str">
        <f>IF(Table2[[#This Row],[Date posted]]&lt; DATE(2015,9,18),"Before Crisis","During Crisis")</f>
        <v>During Crisis</v>
      </c>
      <c r="G707" s="27">
        <f t="shared" si="66"/>
        <v>42285</v>
      </c>
      <c r="H707" s="7" t="str">
        <f t="shared" si="67"/>
        <v>15:18:18</v>
      </c>
      <c r="I707" s="8" t="str">
        <f t="shared" si="68"/>
        <v>Afternoon</v>
      </c>
      <c r="J707" t="s">
        <v>2370</v>
      </c>
      <c r="K707" t="s">
        <v>2370</v>
      </c>
      <c r="L707" s="3">
        <v>0</v>
      </c>
      <c r="M707" s="3">
        <v>0</v>
      </c>
      <c r="N707">
        <v>1</v>
      </c>
      <c r="O707" s="4">
        <f t="shared" si="69"/>
        <v>1</v>
      </c>
      <c r="P707" s="5" t="str">
        <f t="shared" si="70"/>
        <v>Low engagement</v>
      </c>
      <c r="Q707" t="b">
        <v>0</v>
      </c>
      <c r="R707" t="b">
        <v>0</v>
      </c>
      <c r="S707" t="b">
        <v>0</v>
      </c>
      <c r="T707" s="24" t="str">
        <f t="shared" si="71"/>
        <v>Text only</v>
      </c>
    </row>
    <row r="708" spans="1:20" hidden="1" x14ac:dyDescent="0.2">
      <c r="A708" t="s">
        <v>4130</v>
      </c>
      <c r="B708" t="s">
        <v>2365</v>
      </c>
      <c r="C708" t="s">
        <v>2366</v>
      </c>
      <c r="D708" t="s">
        <v>4131</v>
      </c>
      <c r="E708" t="s">
        <v>4132</v>
      </c>
      <c r="F708" t="str">
        <f>IF(Table2[[#This Row],[Date posted]]&lt; DATE(2015,9,18),"Before Crisis","During Crisis")</f>
        <v>During Crisis</v>
      </c>
      <c r="G708" s="27">
        <f t="shared" si="66"/>
        <v>42285</v>
      </c>
      <c r="H708" s="7" t="str">
        <f t="shared" si="67"/>
        <v>16:03:14</v>
      </c>
      <c r="I708" s="8" t="str">
        <f t="shared" si="68"/>
        <v>Afternoon</v>
      </c>
      <c r="J708" t="s">
        <v>4133</v>
      </c>
      <c r="K708" t="s">
        <v>2370</v>
      </c>
      <c r="L708">
        <v>2</v>
      </c>
      <c r="M708" s="3">
        <v>0</v>
      </c>
      <c r="N708">
        <v>1</v>
      </c>
      <c r="O708" s="4">
        <f t="shared" si="69"/>
        <v>3</v>
      </c>
      <c r="P708" s="5" t="str">
        <f t="shared" si="70"/>
        <v>Low engagement</v>
      </c>
      <c r="Q708" t="b">
        <v>0</v>
      </c>
      <c r="R708" t="b">
        <v>0</v>
      </c>
      <c r="S708" t="b">
        <v>0</v>
      </c>
      <c r="T708" s="24" t="str">
        <f t="shared" si="71"/>
        <v>Text only</v>
      </c>
    </row>
    <row r="709" spans="1:20" hidden="1" x14ac:dyDescent="0.2">
      <c r="A709" t="s">
        <v>4127</v>
      </c>
      <c r="B709" t="s">
        <v>2365</v>
      </c>
      <c r="C709" t="s">
        <v>2366</v>
      </c>
      <c r="D709" t="s">
        <v>4128</v>
      </c>
      <c r="E709" t="s">
        <v>4129</v>
      </c>
      <c r="F709" t="str">
        <f>IF(Table2[[#This Row],[Date posted]]&lt; DATE(2015,9,18),"Before Crisis","During Crisis")</f>
        <v>During Crisis</v>
      </c>
      <c r="G709" s="27">
        <f t="shared" si="66"/>
        <v>42285</v>
      </c>
      <c r="H709" s="7" t="str">
        <f t="shared" si="67"/>
        <v>19:14:58</v>
      </c>
      <c r="I709" s="8" t="str">
        <f t="shared" si="68"/>
        <v>Evening</v>
      </c>
      <c r="J709" t="s">
        <v>2370</v>
      </c>
      <c r="K709" t="s">
        <v>2370</v>
      </c>
      <c r="L709" s="3">
        <v>0</v>
      </c>
      <c r="M709" s="3">
        <v>0</v>
      </c>
      <c r="N709">
        <v>1</v>
      </c>
      <c r="O709" s="4">
        <f t="shared" si="69"/>
        <v>1</v>
      </c>
      <c r="P709" s="5" t="str">
        <f t="shared" si="70"/>
        <v>Low engagement</v>
      </c>
      <c r="Q709" t="b">
        <v>0</v>
      </c>
      <c r="R709" t="b">
        <v>0</v>
      </c>
      <c r="S709" t="b">
        <v>1</v>
      </c>
      <c r="T709" s="24" t="str">
        <f t="shared" si="71"/>
        <v>Link</v>
      </c>
    </row>
    <row r="710" spans="1:20" hidden="1" x14ac:dyDescent="0.2">
      <c r="A710" t="s">
        <v>4123</v>
      </c>
      <c r="B710" t="s">
        <v>2365</v>
      </c>
      <c r="C710" t="s">
        <v>2366</v>
      </c>
      <c r="D710" t="s">
        <v>4124</v>
      </c>
      <c r="E710" t="s">
        <v>4125</v>
      </c>
      <c r="F710" t="str">
        <f>IF(Table2[[#This Row],[Date posted]]&lt; DATE(2015,9,18),"Before Crisis","During Crisis")</f>
        <v>During Crisis</v>
      </c>
      <c r="G710" s="27">
        <f t="shared" si="66"/>
        <v>42285</v>
      </c>
      <c r="H710" s="7" t="str">
        <f t="shared" si="67"/>
        <v>21:02:42</v>
      </c>
      <c r="I710" s="8" t="str">
        <f t="shared" si="68"/>
        <v>Evening</v>
      </c>
      <c r="J710" t="s">
        <v>4126</v>
      </c>
      <c r="K710" t="s">
        <v>2370</v>
      </c>
      <c r="L710" s="3">
        <v>0</v>
      </c>
      <c r="M710" s="3">
        <v>0</v>
      </c>
      <c r="N710">
        <v>1</v>
      </c>
      <c r="O710" s="4">
        <f t="shared" si="69"/>
        <v>1</v>
      </c>
      <c r="P710" s="5" t="str">
        <f t="shared" si="70"/>
        <v>Low engagement</v>
      </c>
      <c r="Q710" t="b">
        <v>0</v>
      </c>
      <c r="R710" t="b">
        <v>0</v>
      </c>
      <c r="S710" t="b">
        <v>0</v>
      </c>
      <c r="T710" s="24" t="str">
        <f t="shared" si="71"/>
        <v>Text only</v>
      </c>
    </row>
    <row r="711" spans="1:20" x14ac:dyDescent="0.2">
      <c r="A711" t="s">
        <v>4115</v>
      </c>
      <c r="B711" t="s">
        <v>2365</v>
      </c>
      <c r="C711" t="s">
        <v>2366</v>
      </c>
      <c r="D711" t="s">
        <v>4116</v>
      </c>
      <c r="E711" t="s">
        <v>4117</v>
      </c>
      <c r="F711" t="str">
        <f>IF(Table2[[#This Row],[Date posted]]&lt; DATE(2015,9,18),"Before Crisis","During Crisis")</f>
        <v>During Crisis</v>
      </c>
      <c r="G711" s="27">
        <f t="shared" si="66"/>
        <v>42286</v>
      </c>
      <c r="H711" s="7" t="str">
        <f t="shared" si="67"/>
        <v>00:44:39</v>
      </c>
      <c r="I711" s="8" t="str">
        <f t="shared" si="68"/>
        <v>Early morning</v>
      </c>
      <c r="J711" t="s">
        <v>4118</v>
      </c>
      <c r="K711" t="s">
        <v>2370</v>
      </c>
      <c r="L711" s="3">
        <v>0</v>
      </c>
      <c r="M711">
        <v>1</v>
      </c>
      <c r="N711">
        <v>1</v>
      </c>
      <c r="O711" s="4">
        <f t="shared" si="69"/>
        <v>2</v>
      </c>
      <c r="P711" s="5" t="str">
        <f t="shared" si="70"/>
        <v>Low engagement</v>
      </c>
      <c r="Q711" t="b">
        <v>0</v>
      </c>
      <c r="R711" t="b">
        <v>0</v>
      </c>
      <c r="S711" t="b">
        <v>0</v>
      </c>
      <c r="T711" s="24" t="str">
        <f t="shared" si="71"/>
        <v>Text only</v>
      </c>
    </row>
    <row r="712" spans="1:20" x14ac:dyDescent="0.2">
      <c r="A712" t="s">
        <v>4111</v>
      </c>
      <c r="B712" t="s">
        <v>2365</v>
      </c>
      <c r="C712" t="s">
        <v>2366</v>
      </c>
      <c r="D712" t="s">
        <v>4112</v>
      </c>
      <c r="E712" t="s">
        <v>4113</v>
      </c>
      <c r="F712" t="str">
        <f>IF(Table2[[#This Row],[Date posted]]&lt; DATE(2015,9,18),"Before Crisis","During Crisis")</f>
        <v>During Crisis</v>
      </c>
      <c r="G712" s="27">
        <f t="shared" si="66"/>
        <v>42286</v>
      </c>
      <c r="H712" s="7" t="str">
        <f t="shared" si="67"/>
        <v>00:48:05</v>
      </c>
      <c r="I712" s="8" t="str">
        <f t="shared" si="68"/>
        <v>Early morning</v>
      </c>
      <c r="J712" t="s">
        <v>4114</v>
      </c>
      <c r="K712" t="s">
        <v>2370</v>
      </c>
      <c r="L712" s="3">
        <v>0</v>
      </c>
      <c r="M712">
        <v>1</v>
      </c>
      <c r="N712">
        <v>1</v>
      </c>
      <c r="O712" s="4">
        <f t="shared" si="69"/>
        <v>2</v>
      </c>
      <c r="P712" s="5" t="str">
        <f t="shared" si="70"/>
        <v>Low engagement</v>
      </c>
      <c r="Q712" t="b">
        <v>0</v>
      </c>
      <c r="R712" t="b">
        <v>0</v>
      </c>
      <c r="S712" t="b">
        <v>1</v>
      </c>
      <c r="T712" s="24" t="str">
        <f t="shared" si="71"/>
        <v>Link</v>
      </c>
    </row>
    <row r="713" spans="1:20" hidden="1" x14ac:dyDescent="0.2">
      <c r="A713" t="s">
        <v>4107</v>
      </c>
      <c r="B713" t="s">
        <v>2365</v>
      </c>
      <c r="C713" t="s">
        <v>2366</v>
      </c>
      <c r="D713" t="s">
        <v>4108</v>
      </c>
      <c r="E713" t="s">
        <v>4109</v>
      </c>
      <c r="F713" t="str">
        <f>IF(Table2[[#This Row],[Date posted]]&lt; DATE(2015,9,18),"Before Crisis","During Crisis")</f>
        <v>During Crisis</v>
      </c>
      <c r="G713" s="27">
        <f t="shared" si="66"/>
        <v>42286</v>
      </c>
      <c r="H713" s="7" t="str">
        <f t="shared" si="67"/>
        <v>15:31:32</v>
      </c>
      <c r="I713" s="8" t="str">
        <f t="shared" si="68"/>
        <v>Afternoon</v>
      </c>
      <c r="J713" t="s">
        <v>4110</v>
      </c>
      <c r="K713" t="s">
        <v>2370</v>
      </c>
      <c r="L713" s="3">
        <v>0</v>
      </c>
      <c r="M713">
        <v>2</v>
      </c>
      <c r="N713">
        <v>1</v>
      </c>
      <c r="O713" s="4">
        <f t="shared" si="69"/>
        <v>3</v>
      </c>
      <c r="P713" s="5" t="str">
        <f t="shared" si="70"/>
        <v>Low engagement</v>
      </c>
      <c r="Q713" t="b">
        <v>0</v>
      </c>
      <c r="R713" t="b">
        <v>0</v>
      </c>
      <c r="S713" t="b">
        <v>0</v>
      </c>
      <c r="T713" s="24" t="str">
        <f t="shared" si="71"/>
        <v>Text only</v>
      </c>
    </row>
    <row r="714" spans="1:20" hidden="1" x14ac:dyDescent="0.2">
      <c r="A714" t="s">
        <v>4103</v>
      </c>
      <c r="B714" t="s">
        <v>2365</v>
      </c>
      <c r="C714" t="s">
        <v>2366</v>
      </c>
      <c r="D714" t="s">
        <v>4104</v>
      </c>
      <c r="E714" t="s">
        <v>4105</v>
      </c>
      <c r="F714" t="str">
        <f>IF(Table2[[#This Row],[Date posted]]&lt; DATE(2015,9,18),"Before Crisis","During Crisis")</f>
        <v>During Crisis</v>
      </c>
      <c r="G714" s="27">
        <f t="shared" si="66"/>
        <v>42286</v>
      </c>
      <c r="H714" s="7" t="str">
        <f t="shared" si="67"/>
        <v>16:57:22</v>
      </c>
      <c r="I714" s="8" t="str">
        <f t="shared" si="68"/>
        <v>Afternoon</v>
      </c>
      <c r="J714" t="s">
        <v>4106</v>
      </c>
      <c r="K714" t="s">
        <v>2370</v>
      </c>
      <c r="L714" s="3">
        <v>0</v>
      </c>
      <c r="M714" s="3">
        <v>0</v>
      </c>
      <c r="N714">
        <v>1</v>
      </c>
      <c r="O714" s="4">
        <f t="shared" si="69"/>
        <v>1</v>
      </c>
      <c r="P714" s="5" t="str">
        <f t="shared" si="70"/>
        <v>Low engagement</v>
      </c>
      <c r="Q714" t="b">
        <v>0</v>
      </c>
      <c r="R714" t="b">
        <v>0</v>
      </c>
      <c r="S714" t="b">
        <v>0</v>
      </c>
      <c r="T714" s="24" t="str">
        <f t="shared" si="71"/>
        <v>Text only</v>
      </c>
    </row>
    <row r="715" spans="1:20" hidden="1" x14ac:dyDescent="0.2">
      <c r="A715" t="s">
        <v>4099</v>
      </c>
      <c r="B715" t="s">
        <v>2365</v>
      </c>
      <c r="C715" t="s">
        <v>2366</v>
      </c>
      <c r="D715" t="s">
        <v>4100</v>
      </c>
      <c r="E715" t="s">
        <v>4101</v>
      </c>
      <c r="F715" t="str">
        <f>IF(Table2[[#This Row],[Date posted]]&lt; DATE(2015,9,18),"Before Crisis","During Crisis")</f>
        <v>During Crisis</v>
      </c>
      <c r="G715" s="27">
        <f t="shared" si="66"/>
        <v>42286</v>
      </c>
      <c r="H715" s="7" t="str">
        <f t="shared" si="67"/>
        <v>16:57:23</v>
      </c>
      <c r="I715" s="8" t="str">
        <f t="shared" si="68"/>
        <v>Afternoon</v>
      </c>
      <c r="J715" t="s">
        <v>4102</v>
      </c>
      <c r="K715" t="s">
        <v>2370</v>
      </c>
      <c r="L715" s="3">
        <v>0</v>
      </c>
      <c r="M715" s="3">
        <v>0</v>
      </c>
      <c r="N715">
        <v>1</v>
      </c>
      <c r="O715" s="4">
        <f t="shared" si="69"/>
        <v>1</v>
      </c>
      <c r="P715" s="5" t="str">
        <f t="shared" si="70"/>
        <v>Low engagement</v>
      </c>
      <c r="Q715" t="b">
        <v>0</v>
      </c>
      <c r="R715" t="b">
        <v>0</v>
      </c>
      <c r="S715" t="b">
        <v>1</v>
      </c>
      <c r="T715" s="24" t="str">
        <f t="shared" si="71"/>
        <v>Link</v>
      </c>
    </row>
    <row r="716" spans="1:20" hidden="1" x14ac:dyDescent="0.2">
      <c r="A716" t="s">
        <v>4096</v>
      </c>
      <c r="B716" t="s">
        <v>2365</v>
      </c>
      <c r="C716" t="s">
        <v>2366</v>
      </c>
      <c r="D716" t="s">
        <v>4097</v>
      </c>
      <c r="E716" t="s">
        <v>4098</v>
      </c>
      <c r="F716" t="str">
        <f>IF(Table2[[#This Row],[Date posted]]&lt; DATE(2015,9,18),"Before Crisis","During Crisis")</f>
        <v>During Crisis</v>
      </c>
      <c r="G716" s="27">
        <f t="shared" si="66"/>
        <v>42286</v>
      </c>
      <c r="H716" s="7" t="str">
        <f t="shared" si="67"/>
        <v>19:05:54</v>
      </c>
      <c r="I716" s="8" t="str">
        <f t="shared" si="68"/>
        <v>Evening</v>
      </c>
      <c r="J716" t="s">
        <v>2370</v>
      </c>
      <c r="K716" t="s">
        <v>2370</v>
      </c>
      <c r="L716" s="3">
        <v>0</v>
      </c>
      <c r="M716">
        <v>1</v>
      </c>
      <c r="N716">
        <v>1</v>
      </c>
      <c r="O716" s="4">
        <f t="shared" si="69"/>
        <v>2</v>
      </c>
      <c r="P716" s="5" t="str">
        <f t="shared" si="70"/>
        <v>Low engagement</v>
      </c>
      <c r="Q716" t="b">
        <v>0</v>
      </c>
      <c r="R716" t="b">
        <v>0</v>
      </c>
      <c r="S716" t="b">
        <v>0</v>
      </c>
      <c r="T716" s="24" t="str">
        <f t="shared" si="71"/>
        <v>Text only</v>
      </c>
    </row>
    <row r="717" spans="1:20" hidden="1" x14ac:dyDescent="0.2">
      <c r="A717" t="s">
        <v>4091</v>
      </c>
      <c r="B717" t="s">
        <v>2365</v>
      </c>
      <c r="C717" t="s">
        <v>2366</v>
      </c>
      <c r="D717" t="s">
        <v>4092</v>
      </c>
      <c r="E717" t="s">
        <v>4093</v>
      </c>
      <c r="F717" t="str">
        <f>IF(Table2[[#This Row],[Date posted]]&lt; DATE(2015,9,18),"Before Crisis","During Crisis")</f>
        <v>During Crisis</v>
      </c>
      <c r="G717" s="27">
        <f t="shared" si="66"/>
        <v>42286</v>
      </c>
      <c r="H717" s="7" t="str">
        <f t="shared" si="67"/>
        <v>21:24:55</v>
      </c>
      <c r="I717" s="8" t="str">
        <f t="shared" si="68"/>
        <v>Evening</v>
      </c>
      <c r="J717" t="s">
        <v>2370</v>
      </c>
      <c r="K717" t="s">
        <v>2370</v>
      </c>
      <c r="L717" s="3">
        <v>0</v>
      </c>
      <c r="M717" s="3">
        <v>0</v>
      </c>
      <c r="N717">
        <v>1</v>
      </c>
      <c r="O717" s="4">
        <f t="shared" si="69"/>
        <v>1</v>
      </c>
      <c r="P717" s="5" t="str">
        <f t="shared" si="70"/>
        <v>Low engagement</v>
      </c>
      <c r="Q717" t="b">
        <v>0</v>
      </c>
      <c r="R717" t="b">
        <v>0</v>
      </c>
      <c r="S717" t="b">
        <v>0</v>
      </c>
      <c r="T717" s="24" t="str">
        <f t="shared" si="71"/>
        <v>Text only</v>
      </c>
    </row>
    <row r="718" spans="1:20" hidden="1" x14ac:dyDescent="0.2">
      <c r="A718" t="s">
        <v>4043</v>
      </c>
      <c r="B718" t="s">
        <v>2365</v>
      </c>
      <c r="C718" t="s">
        <v>2366</v>
      </c>
      <c r="D718" t="s">
        <v>4044</v>
      </c>
      <c r="E718" t="s">
        <v>4041</v>
      </c>
      <c r="F718" t="str">
        <f>IF(Table2[[#This Row],[Date posted]]&lt; DATE(2015,9,18),"Before Crisis","During Crisis")</f>
        <v>During Crisis</v>
      </c>
      <c r="G718" s="27">
        <f t="shared" si="66"/>
        <v>42289</v>
      </c>
      <c r="H718" s="7" t="str">
        <f t="shared" si="67"/>
        <v>17:48:40</v>
      </c>
      <c r="I718" s="8" t="str">
        <f t="shared" si="68"/>
        <v>Afternoon</v>
      </c>
      <c r="J718" t="s">
        <v>4045</v>
      </c>
      <c r="K718" t="s">
        <v>2370</v>
      </c>
      <c r="L718" s="3">
        <v>0</v>
      </c>
      <c r="M718">
        <v>1</v>
      </c>
      <c r="N718">
        <v>1</v>
      </c>
      <c r="O718" s="4">
        <f t="shared" si="69"/>
        <v>2</v>
      </c>
      <c r="P718" s="5" t="str">
        <f t="shared" si="70"/>
        <v>Low engagement</v>
      </c>
      <c r="Q718" t="b">
        <v>0</v>
      </c>
      <c r="R718" t="b">
        <v>0</v>
      </c>
      <c r="S718" t="b">
        <v>0</v>
      </c>
      <c r="T718" s="24" t="str">
        <f t="shared" si="71"/>
        <v>Text only</v>
      </c>
    </row>
    <row r="719" spans="1:20" hidden="1" x14ac:dyDescent="0.2">
      <c r="A719" t="s">
        <v>4046</v>
      </c>
      <c r="B719" t="s">
        <v>2365</v>
      </c>
      <c r="C719" t="s">
        <v>2366</v>
      </c>
      <c r="D719" t="s">
        <v>4047</v>
      </c>
      <c r="E719" t="s">
        <v>4041</v>
      </c>
      <c r="F719" t="str">
        <f>IF(Table2[[#This Row],[Date posted]]&lt; DATE(2015,9,18),"Before Crisis","During Crisis")</f>
        <v>During Crisis</v>
      </c>
      <c r="G719" s="27">
        <f t="shared" si="66"/>
        <v>42289</v>
      </c>
      <c r="H719" s="7" t="str">
        <f t="shared" si="67"/>
        <v>17:48:40</v>
      </c>
      <c r="I719" s="8" t="str">
        <f t="shared" si="68"/>
        <v>Afternoon</v>
      </c>
      <c r="J719" t="s">
        <v>4045</v>
      </c>
      <c r="K719" t="s">
        <v>2370</v>
      </c>
      <c r="L719" s="3">
        <v>0</v>
      </c>
      <c r="M719">
        <v>1</v>
      </c>
      <c r="N719">
        <v>1</v>
      </c>
      <c r="O719" s="4">
        <f t="shared" si="69"/>
        <v>2</v>
      </c>
      <c r="P719" s="5" t="str">
        <f t="shared" si="70"/>
        <v>Low engagement</v>
      </c>
      <c r="Q719" t="b">
        <v>0</v>
      </c>
      <c r="R719" t="b">
        <v>0</v>
      </c>
      <c r="S719" t="b">
        <v>0</v>
      </c>
      <c r="T719" s="24" t="str">
        <f t="shared" si="71"/>
        <v>Text only</v>
      </c>
    </row>
    <row r="720" spans="1:20" hidden="1" x14ac:dyDescent="0.2">
      <c r="A720" t="s">
        <v>4035</v>
      </c>
      <c r="B720" t="s">
        <v>2365</v>
      </c>
      <c r="C720" t="s">
        <v>2366</v>
      </c>
      <c r="D720" t="s">
        <v>4036</v>
      </c>
      <c r="E720" t="s">
        <v>4037</v>
      </c>
      <c r="F720" t="str">
        <f>IF(Table2[[#This Row],[Date posted]]&lt; DATE(2015,9,18),"Before Crisis","During Crisis")</f>
        <v>During Crisis</v>
      </c>
      <c r="G720" s="27">
        <f t="shared" si="66"/>
        <v>42289</v>
      </c>
      <c r="H720" s="7" t="str">
        <f t="shared" si="67"/>
        <v>19:40:53</v>
      </c>
      <c r="I720" s="8" t="str">
        <f t="shared" si="68"/>
        <v>Evening</v>
      </c>
      <c r="J720" t="s">
        <v>4038</v>
      </c>
      <c r="K720" t="s">
        <v>2370</v>
      </c>
      <c r="L720" s="3">
        <v>0</v>
      </c>
      <c r="M720">
        <v>1</v>
      </c>
      <c r="N720">
        <v>1</v>
      </c>
      <c r="O720" s="4">
        <f t="shared" si="69"/>
        <v>2</v>
      </c>
      <c r="P720" s="5" t="str">
        <f t="shared" si="70"/>
        <v>Low engagement</v>
      </c>
      <c r="Q720" t="b">
        <v>0</v>
      </c>
      <c r="R720" t="b">
        <v>0</v>
      </c>
      <c r="S720" t="b">
        <v>0</v>
      </c>
      <c r="T720" s="24" t="str">
        <f t="shared" si="71"/>
        <v>Text only</v>
      </c>
    </row>
    <row r="721" spans="1:20" hidden="1" x14ac:dyDescent="0.2">
      <c r="A721" t="s">
        <v>4022</v>
      </c>
      <c r="B721" t="s">
        <v>2365</v>
      </c>
      <c r="C721" t="s">
        <v>2366</v>
      </c>
      <c r="D721" t="s">
        <v>4023</v>
      </c>
      <c r="E721" t="s">
        <v>4024</v>
      </c>
      <c r="F721" t="str">
        <f>IF(Table2[[#This Row],[Date posted]]&lt; DATE(2015,9,18),"Before Crisis","During Crisis")</f>
        <v>During Crisis</v>
      </c>
      <c r="G721" s="27">
        <f t="shared" si="66"/>
        <v>42290</v>
      </c>
      <c r="H721" s="7" t="str">
        <f t="shared" si="67"/>
        <v>15:47:03</v>
      </c>
      <c r="I721" s="8" t="str">
        <f t="shared" si="68"/>
        <v>Afternoon</v>
      </c>
      <c r="J721" t="s">
        <v>4025</v>
      </c>
      <c r="K721" t="s">
        <v>2370</v>
      </c>
      <c r="L721">
        <v>2</v>
      </c>
      <c r="M721" s="3">
        <v>0</v>
      </c>
      <c r="N721">
        <v>1</v>
      </c>
      <c r="O721" s="4">
        <f t="shared" si="69"/>
        <v>3</v>
      </c>
      <c r="P721" s="5" t="str">
        <f t="shared" si="70"/>
        <v>Low engagement</v>
      </c>
      <c r="Q721" t="b">
        <v>0</v>
      </c>
      <c r="R721" t="b">
        <v>0</v>
      </c>
      <c r="S721" t="b">
        <v>0</v>
      </c>
      <c r="T721" s="24" t="str">
        <f t="shared" si="71"/>
        <v>Text only</v>
      </c>
    </row>
    <row r="722" spans="1:20" hidden="1" x14ac:dyDescent="0.2">
      <c r="A722" t="s">
        <v>4001</v>
      </c>
      <c r="B722" t="s">
        <v>2365</v>
      </c>
      <c r="C722" t="s">
        <v>2366</v>
      </c>
      <c r="D722" t="s">
        <v>4002</v>
      </c>
      <c r="E722" t="s">
        <v>4003</v>
      </c>
      <c r="F722" t="str">
        <f>IF(Table2[[#This Row],[Date posted]]&lt; DATE(2015,9,18),"Before Crisis","During Crisis")</f>
        <v>During Crisis</v>
      </c>
      <c r="G722" s="27">
        <f t="shared" si="66"/>
        <v>42290</v>
      </c>
      <c r="H722" s="7" t="str">
        <f t="shared" si="67"/>
        <v>19:51:56</v>
      </c>
      <c r="I722" s="8" t="str">
        <f t="shared" si="68"/>
        <v>Evening</v>
      </c>
      <c r="J722" t="s">
        <v>4004</v>
      </c>
      <c r="K722" t="s">
        <v>2370</v>
      </c>
      <c r="L722" s="3">
        <v>0</v>
      </c>
      <c r="M722" s="3">
        <v>0</v>
      </c>
      <c r="N722">
        <v>1</v>
      </c>
      <c r="O722" s="4">
        <f t="shared" si="69"/>
        <v>1</v>
      </c>
      <c r="P722" s="5" t="str">
        <f t="shared" si="70"/>
        <v>Low engagement</v>
      </c>
      <c r="Q722" t="b">
        <v>0</v>
      </c>
      <c r="R722" t="b">
        <v>0</v>
      </c>
      <c r="S722" t="b">
        <v>0</v>
      </c>
      <c r="T722" s="24" t="str">
        <f t="shared" si="71"/>
        <v>Text only</v>
      </c>
    </row>
    <row r="723" spans="1:20" hidden="1" x14ac:dyDescent="0.2">
      <c r="A723" t="s">
        <v>3998</v>
      </c>
      <c r="B723" t="s">
        <v>2365</v>
      </c>
      <c r="C723" t="s">
        <v>2366</v>
      </c>
      <c r="D723" t="s">
        <v>3999</v>
      </c>
      <c r="E723" t="s">
        <v>4000</v>
      </c>
      <c r="F723" t="str">
        <f>IF(Table2[[#This Row],[Date posted]]&lt; DATE(2015,9,18),"Before Crisis","During Crisis")</f>
        <v>During Crisis</v>
      </c>
      <c r="G723" s="27">
        <f t="shared" si="66"/>
        <v>42290</v>
      </c>
      <c r="H723" s="7" t="str">
        <f t="shared" si="67"/>
        <v>19:51:57</v>
      </c>
      <c r="I723" s="8" t="str">
        <f t="shared" si="68"/>
        <v>Evening</v>
      </c>
      <c r="J723" t="s">
        <v>2370</v>
      </c>
      <c r="K723" t="s">
        <v>2370</v>
      </c>
      <c r="L723" s="3">
        <v>0</v>
      </c>
      <c r="M723" s="3">
        <v>0</v>
      </c>
      <c r="N723">
        <v>1</v>
      </c>
      <c r="O723" s="4">
        <f t="shared" si="69"/>
        <v>1</v>
      </c>
      <c r="P723" s="5" t="str">
        <f t="shared" si="70"/>
        <v>Low engagement</v>
      </c>
      <c r="Q723" t="b">
        <v>0</v>
      </c>
      <c r="R723" t="b">
        <v>0</v>
      </c>
      <c r="S723" t="b">
        <v>0</v>
      </c>
      <c r="T723" s="24" t="str">
        <f t="shared" si="71"/>
        <v>Text only</v>
      </c>
    </row>
    <row r="724" spans="1:20" hidden="1" x14ac:dyDescent="0.2">
      <c r="A724" t="s">
        <v>3994</v>
      </c>
      <c r="B724" t="s">
        <v>2365</v>
      </c>
      <c r="C724" t="s">
        <v>2366</v>
      </c>
      <c r="D724" t="s">
        <v>3995</v>
      </c>
      <c r="E724" t="s">
        <v>3996</v>
      </c>
      <c r="F724" t="str">
        <f>IF(Table2[[#This Row],[Date posted]]&lt; DATE(2015,9,18),"Before Crisis","During Crisis")</f>
        <v>During Crisis</v>
      </c>
      <c r="G724" s="27">
        <f t="shared" si="66"/>
        <v>42290</v>
      </c>
      <c r="H724" s="7" t="str">
        <f t="shared" si="67"/>
        <v>21:04:07</v>
      </c>
      <c r="I724" s="8" t="str">
        <f t="shared" si="68"/>
        <v>Evening</v>
      </c>
      <c r="J724" t="s">
        <v>3997</v>
      </c>
      <c r="K724" t="s">
        <v>2370</v>
      </c>
      <c r="L724" s="3">
        <v>0</v>
      </c>
      <c r="M724">
        <v>1</v>
      </c>
      <c r="N724">
        <v>1</v>
      </c>
      <c r="O724" s="4">
        <f t="shared" si="69"/>
        <v>2</v>
      </c>
      <c r="P724" s="5" t="str">
        <f t="shared" si="70"/>
        <v>Low engagement</v>
      </c>
      <c r="Q724" t="b">
        <v>0</v>
      </c>
      <c r="R724" t="b">
        <v>0</v>
      </c>
      <c r="S724" t="b">
        <v>0</v>
      </c>
      <c r="T724" s="24" t="str">
        <f t="shared" si="71"/>
        <v>Text only</v>
      </c>
    </row>
    <row r="725" spans="1:20" hidden="1" x14ac:dyDescent="0.2">
      <c r="A725" t="s">
        <v>3990</v>
      </c>
      <c r="B725" t="s">
        <v>2365</v>
      </c>
      <c r="C725" t="s">
        <v>2366</v>
      </c>
      <c r="D725" t="s">
        <v>3991</v>
      </c>
      <c r="E725" t="s">
        <v>3992</v>
      </c>
      <c r="F725" t="str">
        <f>IF(Table2[[#This Row],[Date posted]]&lt; DATE(2015,9,18),"Before Crisis","During Crisis")</f>
        <v>During Crisis</v>
      </c>
      <c r="G725" s="27">
        <f t="shared" si="66"/>
        <v>42290</v>
      </c>
      <c r="H725" s="7" t="str">
        <f t="shared" si="67"/>
        <v>21:52:21</v>
      </c>
      <c r="I725" s="8" t="str">
        <f t="shared" si="68"/>
        <v>Evening</v>
      </c>
      <c r="J725" t="s">
        <v>3993</v>
      </c>
      <c r="K725" t="s">
        <v>2370</v>
      </c>
      <c r="L725" s="3">
        <v>0</v>
      </c>
      <c r="M725" s="3">
        <v>0</v>
      </c>
      <c r="N725">
        <v>1</v>
      </c>
      <c r="O725" s="4">
        <f t="shared" si="69"/>
        <v>1</v>
      </c>
      <c r="P725" s="5" t="str">
        <f t="shared" si="70"/>
        <v>Low engagement</v>
      </c>
      <c r="Q725" t="b">
        <v>0</v>
      </c>
      <c r="R725" t="b">
        <v>0</v>
      </c>
      <c r="S725" t="b">
        <v>1</v>
      </c>
      <c r="T725" s="24" t="str">
        <f t="shared" si="71"/>
        <v>Link</v>
      </c>
    </row>
    <row r="726" spans="1:20" hidden="1" x14ac:dyDescent="0.2">
      <c r="A726" t="s">
        <v>3987</v>
      </c>
      <c r="B726" t="s">
        <v>2365</v>
      </c>
      <c r="C726" t="s">
        <v>2366</v>
      </c>
      <c r="D726" t="s">
        <v>3988</v>
      </c>
      <c r="E726" t="s">
        <v>3989</v>
      </c>
      <c r="F726" t="str">
        <f>IF(Table2[[#This Row],[Date posted]]&lt; DATE(2015,9,18),"Before Crisis","During Crisis")</f>
        <v>During Crisis</v>
      </c>
      <c r="G726" s="27">
        <f t="shared" si="66"/>
        <v>42291</v>
      </c>
      <c r="H726" s="7" t="str">
        <f t="shared" si="67"/>
        <v>20:35:14</v>
      </c>
      <c r="I726" s="8" t="str">
        <f t="shared" si="68"/>
        <v>Evening</v>
      </c>
      <c r="J726" t="s">
        <v>2370</v>
      </c>
      <c r="K726" t="s">
        <v>2370</v>
      </c>
      <c r="L726" s="3">
        <v>0</v>
      </c>
      <c r="M726" s="3">
        <v>0</v>
      </c>
      <c r="N726">
        <v>1</v>
      </c>
      <c r="O726" s="4">
        <f t="shared" si="69"/>
        <v>1</v>
      </c>
      <c r="P726" s="5" t="str">
        <f t="shared" si="70"/>
        <v>Low engagement</v>
      </c>
      <c r="Q726" t="b">
        <v>0</v>
      </c>
      <c r="R726" t="b">
        <v>0</v>
      </c>
      <c r="S726" t="b">
        <v>0</v>
      </c>
      <c r="T726" s="24" t="str">
        <f t="shared" si="71"/>
        <v>Text only</v>
      </c>
    </row>
    <row r="727" spans="1:20" hidden="1" x14ac:dyDescent="0.2">
      <c r="A727" t="s">
        <v>3984</v>
      </c>
      <c r="B727" t="s">
        <v>2365</v>
      </c>
      <c r="C727" t="s">
        <v>2366</v>
      </c>
      <c r="D727" t="s">
        <v>3985</v>
      </c>
      <c r="E727" t="s">
        <v>3986</v>
      </c>
      <c r="F727" t="str">
        <f>IF(Table2[[#This Row],[Date posted]]&lt; DATE(2015,9,18),"Before Crisis","During Crisis")</f>
        <v>During Crisis</v>
      </c>
      <c r="G727" s="27">
        <f t="shared" si="66"/>
        <v>42291</v>
      </c>
      <c r="H727" s="7" t="str">
        <f t="shared" si="67"/>
        <v>20:35:15</v>
      </c>
      <c r="I727" s="8" t="str">
        <f t="shared" si="68"/>
        <v>Evening</v>
      </c>
      <c r="J727" t="s">
        <v>2370</v>
      </c>
      <c r="K727" t="s">
        <v>2370</v>
      </c>
      <c r="L727" s="3">
        <v>0</v>
      </c>
      <c r="M727" s="3">
        <v>0</v>
      </c>
      <c r="N727">
        <v>1</v>
      </c>
      <c r="O727" s="4">
        <f t="shared" si="69"/>
        <v>1</v>
      </c>
      <c r="P727" s="5" t="str">
        <f t="shared" si="70"/>
        <v>Low engagement</v>
      </c>
      <c r="Q727" t="b">
        <v>0</v>
      </c>
      <c r="R727" t="b">
        <v>0</v>
      </c>
      <c r="S727" t="b">
        <v>0</v>
      </c>
      <c r="T727" s="24" t="str">
        <f t="shared" si="71"/>
        <v>Text only</v>
      </c>
    </row>
    <row r="728" spans="1:20" hidden="1" x14ac:dyDescent="0.2">
      <c r="A728" t="s">
        <v>3980</v>
      </c>
      <c r="B728" t="s">
        <v>2365</v>
      </c>
      <c r="C728" t="s">
        <v>2366</v>
      </c>
      <c r="D728" t="s">
        <v>3981</v>
      </c>
      <c r="E728" t="s">
        <v>3982</v>
      </c>
      <c r="F728" t="str">
        <f>IF(Table2[[#This Row],[Date posted]]&lt; DATE(2015,9,18),"Before Crisis","During Crisis")</f>
        <v>During Crisis</v>
      </c>
      <c r="G728" s="27">
        <f t="shared" si="66"/>
        <v>42291</v>
      </c>
      <c r="H728" s="7" t="str">
        <f t="shared" si="67"/>
        <v>21:41:16</v>
      </c>
      <c r="I728" s="8" t="str">
        <f t="shared" si="68"/>
        <v>Evening</v>
      </c>
      <c r="J728" t="s">
        <v>3983</v>
      </c>
      <c r="K728" t="s">
        <v>2370</v>
      </c>
      <c r="L728">
        <v>1</v>
      </c>
      <c r="M728">
        <v>1</v>
      </c>
      <c r="N728">
        <v>1</v>
      </c>
      <c r="O728" s="4">
        <f t="shared" si="69"/>
        <v>3</v>
      </c>
      <c r="P728" s="5" t="str">
        <f t="shared" si="70"/>
        <v>Low engagement</v>
      </c>
      <c r="Q728" t="b">
        <v>0</v>
      </c>
      <c r="R728" t="b">
        <v>0</v>
      </c>
      <c r="S728" t="b">
        <v>0</v>
      </c>
      <c r="T728" s="24" t="str">
        <f t="shared" si="71"/>
        <v>Text only</v>
      </c>
    </row>
    <row r="729" spans="1:20" hidden="1" x14ac:dyDescent="0.2">
      <c r="A729" t="s">
        <v>3976</v>
      </c>
      <c r="B729" t="s">
        <v>2365</v>
      </c>
      <c r="C729" t="s">
        <v>2366</v>
      </c>
      <c r="D729" t="s">
        <v>3977</v>
      </c>
      <c r="E729" t="s">
        <v>3978</v>
      </c>
      <c r="F729" t="str">
        <f>IF(Table2[[#This Row],[Date posted]]&lt; DATE(2015,9,18),"Before Crisis","During Crisis")</f>
        <v>During Crisis</v>
      </c>
      <c r="G729" s="27">
        <f t="shared" si="66"/>
        <v>42291</v>
      </c>
      <c r="H729" s="7" t="str">
        <f t="shared" si="67"/>
        <v>21:48:28</v>
      </c>
      <c r="I729" s="8" t="str">
        <f t="shared" si="68"/>
        <v>Evening</v>
      </c>
      <c r="J729" t="s">
        <v>3979</v>
      </c>
      <c r="K729" t="s">
        <v>2370</v>
      </c>
      <c r="L729" s="3">
        <v>0</v>
      </c>
      <c r="M729" s="3">
        <v>0</v>
      </c>
      <c r="N729">
        <v>1</v>
      </c>
      <c r="O729" s="4">
        <f t="shared" si="69"/>
        <v>1</v>
      </c>
      <c r="P729" s="5" t="str">
        <f t="shared" si="70"/>
        <v>Low engagement</v>
      </c>
      <c r="Q729" t="b">
        <v>0</v>
      </c>
      <c r="R729" t="b">
        <v>0</v>
      </c>
      <c r="S729" t="b">
        <v>0</v>
      </c>
      <c r="T729" s="24" t="str">
        <f t="shared" si="71"/>
        <v>Text only</v>
      </c>
    </row>
    <row r="730" spans="1:20" hidden="1" x14ac:dyDescent="0.2">
      <c r="A730" t="s">
        <v>3947</v>
      </c>
      <c r="B730" t="s">
        <v>2365</v>
      </c>
      <c r="C730" t="s">
        <v>2366</v>
      </c>
      <c r="D730" t="s">
        <v>3948</v>
      </c>
      <c r="E730" t="s">
        <v>3949</v>
      </c>
      <c r="F730" t="str">
        <f>IF(Table2[[#This Row],[Date posted]]&lt; DATE(2015,9,18),"Before Crisis","During Crisis")</f>
        <v>During Crisis</v>
      </c>
      <c r="G730" s="27">
        <f t="shared" si="66"/>
        <v>42292</v>
      </c>
      <c r="H730" s="7" t="str">
        <f t="shared" si="67"/>
        <v>22:29:10</v>
      </c>
      <c r="I730" s="8" t="str">
        <f t="shared" si="68"/>
        <v>Evening</v>
      </c>
      <c r="J730" t="s">
        <v>3946</v>
      </c>
      <c r="K730" t="s">
        <v>2370</v>
      </c>
      <c r="L730" s="3">
        <v>0</v>
      </c>
      <c r="M730" s="3">
        <v>0</v>
      </c>
      <c r="N730">
        <v>1</v>
      </c>
      <c r="O730" s="4">
        <f t="shared" si="69"/>
        <v>1</v>
      </c>
      <c r="P730" s="5" t="str">
        <f t="shared" si="70"/>
        <v>Low engagement</v>
      </c>
      <c r="Q730" t="b">
        <v>0</v>
      </c>
      <c r="R730" t="b">
        <v>0</v>
      </c>
      <c r="S730" t="b">
        <v>0</v>
      </c>
      <c r="T730" s="24" t="str">
        <f t="shared" si="71"/>
        <v>Text only</v>
      </c>
    </row>
    <row r="731" spans="1:20" hidden="1" x14ac:dyDescent="0.2">
      <c r="A731" t="s">
        <v>3950</v>
      </c>
      <c r="B731" t="s">
        <v>2365</v>
      </c>
      <c r="C731" t="s">
        <v>2366</v>
      </c>
      <c r="D731" t="s">
        <v>3951</v>
      </c>
      <c r="E731" t="s">
        <v>3949</v>
      </c>
      <c r="F731" t="str">
        <f>IF(Table2[[#This Row],[Date posted]]&lt; DATE(2015,9,18),"Before Crisis","During Crisis")</f>
        <v>During Crisis</v>
      </c>
      <c r="G731" s="27">
        <f t="shared" si="66"/>
        <v>42292</v>
      </c>
      <c r="H731" s="7" t="str">
        <f t="shared" si="67"/>
        <v>22:29:10</v>
      </c>
      <c r="I731" s="8" t="str">
        <f t="shared" si="68"/>
        <v>Evening</v>
      </c>
      <c r="J731" t="s">
        <v>2370</v>
      </c>
      <c r="K731" t="s">
        <v>2370</v>
      </c>
      <c r="L731" s="3">
        <v>0</v>
      </c>
      <c r="M731" s="3">
        <v>0</v>
      </c>
      <c r="N731">
        <v>1</v>
      </c>
      <c r="O731" s="4">
        <f t="shared" si="69"/>
        <v>1</v>
      </c>
      <c r="P731" s="5" t="str">
        <f t="shared" si="70"/>
        <v>Low engagement</v>
      </c>
      <c r="Q731" t="b">
        <v>0</v>
      </c>
      <c r="R731" t="b">
        <v>0</v>
      </c>
      <c r="S731" t="b">
        <v>1</v>
      </c>
      <c r="T731" s="24" t="str">
        <f t="shared" si="71"/>
        <v>Link</v>
      </c>
    </row>
    <row r="732" spans="1:20" hidden="1" x14ac:dyDescent="0.2">
      <c r="A732" t="s">
        <v>3941</v>
      </c>
      <c r="B732" t="s">
        <v>2365</v>
      </c>
      <c r="C732" t="s">
        <v>2366</v>
      </c>
      <c r="D732" t="s">
        <v>3942</v>
      </c>
      <c r="E732" t="s">
        <v>3943</v>
      </c>
      <c r="F732" t="str">
        <f>IF(Table2[[#This Row],[Date posted]]&lt; DATE(2015,9,18),"Before Crisis","During Crisis")</f>
        <v>During Crisis</v>
      </c>
      <c r="G732" s="27">
        <f t="shared" si="66"/>
        <v>42292</v>
      </c>
      <c r="H732" s="7" t="str">
        <f t="shared" si="67"/>
        <v>22:32:35</v>
      </c>
      <c r="I732" s="8" t="str">
        <f t="shared" si="68"/>
        <v>Evening</v>
      </c>
      <c r="J732" t="s">
        <v>3940</v>
      </c>
      <c r="K732" t="s">
        <v>2370</v>
      </c>
      <c r="L732" s="3">
        <v>0</v>
      </c>
      <c r="M732" s="3">
        <v>0</v>
      </c>
      <c r="N732">
        <v>1</v>
      </c>
      <c r="O732" s="4">
        <f t="shared" si="69"/>
        <v>1</v>
      </c>
      <c r="P732" s="5" t="str">
        <f t="shared" si="70"/>
        <v>Low engagement</v>
      </c>
      <c r="Q732" t="b">
        <v>0</v>
      </c>
      <c r="R732" t="b">
        <v>0</v>
      </c>
      <c r="S732" t="b">
        <v>0</v>
      </c>
      <c r="T732" s="24" t="str">
        <f t="shared" si="71"/>
        <v>Text only</v>
      </c>
    </row>
    <row r="733" spans="1:20" hidden="1" x14ac:dyDescent="0.2">
      <c r="A733" t="s">
        <v>3944</v>
      </c>
      <c r="B733" t="s">
        <v>2365</v>
      </c>
      <c r="C733" t="s">
        <v>2366</v>
      </c>
      <c r="D733" t="s">
        <v>3945</v>
      </c>
      <c r="E733" t="s">
        <v>3943</v>
      </c>
      <c r="F733" t="str">
        <f>IF(Table2[[#This Row],[Date posted]]&lt; DATE(2015,9,18),"Before Crisis","During Crisis")</f>
        <v>During Crisis</v>
      </c>
      <c r="G733" s="27">
        <f t="shared" si="66"/>
        <v>42292</v>
      </c>
      <c r="H733" s="7" t="str">
        <f t="shared" si="67"/>
        <v>22:32:35</v>
      </c>
      <c r="I733" s="8" t="str">
        <f t="shared" si="68"/>
        <v>Evening</v>
      </c>
      <c r="J733" t="s">
        <v>3946</v>
      </c>
      <c r="K733" t="s">
        <v>2370</v>
      </c>
      <c r="L733" s="3">
        <v>0</v>
      </c>
      <c r="M733">
        <v>1</v>
      </c>
      <c r="N733">
        <v>1</v>
      </c>
      <c r="O733" s="4">
        <f t="shared" si="69"/>
        <v>2</v>
      </c>
      <c r="P733" s="5" t="str">
        <f t="shared" si="70"/>
        <v>Low engagement</v>
      </c>
      <c r="Q733" t="b">
        <v>0</v>
      </c>
      <c r="R733" t="b">
        <v>0</v>
      </c>
      <c r="S733" t="b">
        <v>0</v>
      </c>
      <c r="T733" s="24" t="str">
        <f t="shared" si="71"/>
        <v>Text only</v>
      </c>
    </row>
    <row r="734" spans="1:20" hidden="1" x14ac:dyDescent="0.2">
      <c r="A734" t="s">
        <v>3932</v>
      </c>
      <c r="B734" t="s">
        <v>2365</v>
      </c>
      <c r="C734" t="s">
        <v>2366</v>
      </c>
      <c r="D734" t="s">
        <v>3933</v>
      </c>
      <c r="E734" t="s">
        <v>3934</v>
      </c>
      <c r="F734" t="str">
        <f>IF(Table2[[#This Row],[Date posted]]&lt; DATE(2015,9,18),"Before Crisis","During Crisis")</f>
        <v>During Crisis</v>
      </c>
      <c r="G734" s="27">
        <f t="shared" si="66"/>
        <v>42292</v>
      </c>
      <c r="H734" s="7" t="str">
        <f t="shared" si="67"/>
        <v>22:32:37</v>
      </c>
      <c r="I734" s="8" t="str">
        <f t="shared" si="68"/>
        <v>Evening</v>
      </c>
      <c r="J734" t="s">
        <v>3928</v>
      </c>
      <c r="K734" t="s">
        <v>2370</v>
      </c>
      <c r="L734" s="3">
        <v>0</v>
      </c>
      <c r="M734">
        <v>1</v>
      </c>
      <c r="N734">
        <v>1</v>
      </c>
      <c r="O734" s="4">
        <f t="shared" si="69"/>
        <v>2</v>
      </c>
      <c r="P734" s="5" t="str">
        <f t="shared" si="70"/>
        <v>Low engagement</v>
      </c>
      <c r="Q734" t="b">
        <v>0</v>
      </c>
      <c r="R734" t="b">
        <v>0</v>
      </c>
      <c r="S734" t="b">
        <v>0</v>
      </c>
      <c r="T734" s="24" t="str">
        <f t="shared" si="71"/>
        <v>Text only</v>
      </c>
    </row>
    <row r="735" spans="1:20" hidden="1" x14ac:dyDescent="0.2">
      <c r="A735" t="s">
        <v>3935</v>
      </c>
      <c r="B735" t="s">
        <v>2365</v>
      </c>
      <c r="C735" t="s">
        <v>2366</v>
      </c>
      <c r="D735" t="s">
        <v>3936</v>
      </c>
      <c r="E735" t="s">
        <v>3934</v>
      </c>
      <c r="F735" t="str">
        <f>IF(Table2[[#This Row],[Date posted]]&lt; DATE(2015,9,18),"Before Crisis","During Crisis")</f>
        <v>During Crisis</v>
      </c>
      <c r="G735" s="27">
        <f t="shared" si="66"/>
        <v>42292</v>
      </c>
      <c r="H735" s="7" t="str">
        <f t="shared" si="67"/>
        <v>22:32:37</v>
      </c>
      <c r="I735" s="8" t="str">
        <f t="shared" si="68"/>
        <v>Evening</v>
      </c>
      <c r="J735" t="s">
        <v>3928</v>
      </c>
      <c r="K735" t="s">
        <v>2370</v>
      </c>
      <c r="L735" s="3">
        <v>0</v>
      </c>
      <c r="M735">
        <v>1</v>
      </c>
      <c r="N735">
        <v>1</v>
      </c>
      <c r="O735" s="4">
        <f t="shared" si="69"/>
        <v>2</v>
      </c>
      <c r="P735" s="5" t="str">
        <f t="shared" si="70"/>
        <v>Low engagement</v>
      </c>
      <c r="Q735" t="b">
        <v>0</v>
      </c>
      <c r="R735" t="b">
        <v>0</v>
      </c>
      <c r="S735" t="b">
        <v>0</v>
      </c>
      <c r="T735" s="24" t="str">
        <f t="shared" si="71"/>
        <v>Text only</v>
      </c>
    </row>
    <row r="736" spans="1:20" hidden="1" x14ac:dyDescent="0.2">
      <c r="A736" t="s">
        <v>3925</v>
      </c>
      <c r="B736" t="s">
        <v>2365</v>
      </c>
      <c r="C736" t="s">
        <v>2366</v>
      </c>
      <c r="D736" t="s">
        <v>3926</v>
      </c>
      <c r="E736" t="s">
        <v>3927</v>
      </c>
      <c r="F736" t="str">
        <f>IF(Table2[[#This Row],[Date posted]]&lt; DATE(2015,9,18),"Before Crisis","During Crisis")</f>
        <v>During Crisis</v>
      </c>
      <c r="G736" s="27">
        <f t="shared" si="66"/>
        <v>42293</v>
      </c>
      <c r="H736" s="7" t="str">
        <f t="shared" si="67"/>
        <v>15:34:43</v>
      </c>
      <c r="I736" s="8" t="str">
        <f t="shared" si="68"/>
        <v>Afternoon</v>
      </c>
      <c r="J736" t="s">
        <v>3928</v>
      </c>
      <c r="K736" t="s">
        <v>2370</v>
      </c>
      <c r="L736" s="3">
        <v>0</v>
      </c>
      <c r="M736" s="3">
        <v>0</v>
      </c>
      <c r="N736">
        <v>1</v>
      </c>
      <c r="O736" s="4">
        <f t="shared" si="69"/>
        <v>1</v>
      </c>
      <c r="P736" s="5" t="str">
        <f t="shared" si="70"/>
        <v>Low engagement</v>
      </c>
      <c r="Q736" t="b">
        <v>0</v>
      </c>
      <c r="R736" t="b">
        <v>0</v>
      </c>
      <c r="S736" t="b">
        <v>0</v>
      </c>
      <c r="T736" s="24" t="str">
        <f t="shared" si="71"/>
        <v>Text only</v>
      </c>
    </row>
    <row r="737" spans="1:20" hidden="1" x14ac:dyDescent="0.2">
      <c r="A737" t="s">
        <v>3921</v>
      </c>
      <c r="B737" t="s">
        <v>2365</v>
      </c>
      <c r="C737" t="s">
        <v>2366</v>
      </c>
      <c r="D737" t="s">
        <v>3922</v>
      </c>
      <c r="E737" t="s">
        <v>3923</v>
      </c>
      <c r="F737" t="str">
        <f>IF(Table2[[#This Row],[Date posted]]&lt; DATE(2015,9,18),"Before Crisis","During Crisis")</f>
        <v>During Crisis</v>
      </c>
      <c r="G737" s="27">
        <f t="shared" si="66"/>
        <v>42293</v>
      </c>
      <c r="H737" s="7" t="str">
        <f t="shared" si="67"/>
        <v>15:52:16</v>
      </c>
      <c r="I737" s="8" t="str">
        <f t="shared" si="68"/>
        <v>Afternoon</v>
      </c>
      <c r="J737" t="s">
        <v>3924</v>
      </c>
      <c r="K737" t="s">
        <v>2370</v>
      </c>
      <c r="L737">
        <v>1</v>
      </c>
      <c r="M737" s="3">
        <v>0</v>
      </c>
      <c r="N737">
        <v>1</v>
      </c>
      <c r="O737" s="4">
        <f t="shared" si="69"/>
        <v>2</v>
      </c>
      <c r="P737" s="5" t="str">
        <f t="shared" si="70"/>
        <v>Low engagement</v>
      </c>
      <c r="Q737" t="b">
        <v>0</v>
      </c>
      <c r="R737" t="b">
        <v>0</v>
      </c>
      <c r="S737" t="b">
        <v>0</v>
      </c>
      <c r="T737" s="24" t="str">
        <f t="shared" si="71"/>
        <v>Text only</v>
      </c>
    </row>
    <row r="738" spans="1:20" hidden="1" x14ac:dyDescent="0.2">
      <c r="A738" t="s">
        <v>3916</v>
      </c>
      <c r="B738" t="s">
        <v>2365</v>
      </c>
      <c r="C738" t="s">
        <v>2366</v>
      </c>
      <c r="D738" t="s">
        <v>3917</v>
      </c>
      <c r="E738" t="s">
        <v>3918</v>
      </c>
      <c r="F738" t="str">
        <f>IF(Table2[[#This Row],[Date posted]]&lt; DATE(2015,9,18),"Before Crisis","During Crisis")</f>
        <v>During Crisis</v>
      </c>
      <c r="G738" s="27">
        <f t="shared" si="66"/>
        <v>42293</v>
      </c>
      <c r="H738" s="7" t="str">
        <f t="shared" si="67"/>
        <v>15:52:17</v>
      </c>
      <c r="I738" s="8" t="str">
        <f t="shared" si="68"/>
        <v>Afternoon</v>
      </c>
      <c r="J738" t="s">
        <v>3915</v>
      </c>
      <c r="K738" t="s">
        <v>2370</v>
      </c>
      <c r="L738" s="3">
        <v>0</v>
      </c>
      <c r="M738" s="3">
        <v>0</v>
      </c>
      <c r="N738">
        <v>1</v>
      </c>
      <c r="O738" s="4">
        <f t="shared" si="69"/>
        <v>1</v>
      </c>
      <c r="P738" s="5" t="str">
        <f t="shared" si="70"/>
        <v>Low engagement</v>
      </c>
      <c r="Q738" t="b">
        <v>0</v>
      </c>
      <c r="R738" t="b">
        <v>0</v>
      </c>
      <c r="S738" t="b">
        <v>0</v>
      </c>
      <c r="T738" s="24" t="str">
        <f t="shared" si="71"/>
        <v>Text only</v>
      </c>
    </row>
    <row r="739" spans="1:20" hidden="1" x14ac:dyDescent="0.2">
      <c r="A739" t="s">
        <v>3919</v>
      </c>
      <c r="B739" t="s">
        <v>2365</v>
      </c>
      <c r="C739" t="s">
        <v>2366</v>
      </c>
      <c r="D739" t="s">
        <v>3920</v>
      </c>
      <c r="E739" t="s">
        <v>3918</v>
      </c>
      <c r="F739" t="str">
        <f>IF(Table2[[#This Row],[Date posted]]&lt; DATE(2015,9,18),"Before Crisis","During Crisis")</f>
        <v>During Crisis</v>
      </c>
      <c r="G739" s="27">
        <f t="shared" si="66"/>
        <v>42293</v>
      </c>
      <c r="H739" s="7" t="str">
        <f t="shared" si="67"/>
        <v>15:52:17</v>
      </c>
      <c r="I739" s="8" t="str">
        <f t="shared" si="68"/>
        <v>Afternoon</v>
      </c>
      <c r="J739" t="s">
        <v>2370</v>
      </c>
      <c r="K739" t="s">
        <v>2370</v>
      </c>
      <c r="L739" s="3">
        <v>0</v>
      </c>
      <c r="M739" s="3">
        <v>0</v>
      </c>
      <c r="N739">
        <v>1</v>
      </c>
      <c r="O739" s="4">
        <f t="shared" si="69"/>
        <v>1</v>
      </c>
      <c r="P739" s="5" t="str">
        <f t="shared" si="70"/>
        <v>Low engagement</v>
      </c>
      <c r="Q739" t="b">
        <v>0</v>
      </c>
      <c r="R739" t="b">
        <v>0</v>
      </c>
      <c r="S739" t="b">
        <v>1</v>
      </c>
      <c r="T739" s="24" t="str">
        <f t="shared" si="71"/>
        <v>Link</v>
      </c>
    </row>
    <row r="740" spans="1:20" hidden="1" x14ac:dyDescent="0.2">
      <c r="A740" t="s">
        <v>3909</v>
      </c>
      <c r="B740" t="s">
        <v>2365</v>
      </c>
      <c r="C740" t="s">
        <v>2366</v>
      </c>
      <c r="D740" t="s">
        <v>3910</v>
      </c>
      <c r="E740" t="s">
        <v>3911</v>
      </c>
      <c r="F740" t="str">
        <f>IF(Table2[[#This Row],[Date posted]]&lt; DATE(2015,9,18),"Before Crisis","During Crisis")</f>
        <v>During Crisis</v>
      </c>
      <c r="G740" s="27">
        <f t="shared" si="66"/>
        <v>42293</v>
      </c>
      <c r="H740" s="7" t="str">
        <f t="shared" si="67"/>
        <v>15:52:18</v>
      </c>
      <c r="I740" s="8" t="str">
        <f t="shared" si="68"/>
        <v>Afternoon</v>
      </c>
      <c r="J740" t="s">
        <v>3912</v>
      </c>
      <c r="K740" t="s">
        <v>2370</v>
      </c>
      <c r="L740" s="3">
        <v>0</v>
      </c>
      <c r="M740" s="3">
        <v>0</v>
      </c>
      <c r="N740">
        <v>1</v>
      </c>
      <c r="O740" s="4">
        <f t="shared" si="69"/>
        <v>1</v>
      </c>
      <c r="P740" s="5" t="str">
        <f t="shared" si="70"/>
        <v>Low engagement</v>
      </c>
      <c r="Q740" t="b">
        <v>0</v>
      </c>
      <c r="R740" t="b">
        <v>0</v>
      </c>
      <c r="S740" t="b">
        <v>0</v>
      </c>
      <c r="T740" s="24" t="str">
        <f t="shared" si="71"/>
        <v>Text only</v>
      </c>
    </row>
    <row r="741" spans="1:20" hidden="1" x14ac:dyDescent="0.2">
      <c r="A741" t="s">
        <v>3901</v>
      </c>
      <c r="B741" t="s">
        <v>2365</v>
      </c>
      <c r="C741" t="s">
        <v>2366</v>
      </c>
      <c r="D741" t="s">
        <v>3902</v>
      </c>
      <c r="E741" t="s">
        <v>3903</v>
      </c>
      <c r="F741" t="str">
        <f>IF(Table2[[#This Row],[Date posted]]&lt; DATE(2015,9,18),"Before Crisis","During Crisis")</f>
        <v>During Crisis</v>
      </c>
      <c r="G741" s="27">
        <f t="shared" si="66"/>
        <v>42293</v>
      </c>
      <c r="H741" s="7" t="str">
        <f t="shared" si="67"/>
        <v>17:22:46</v>
      </c>
      <c r="I741" s="8" t="str">
        <f t="shared" si="68"/>
        <v>Afternoon</v>
      </c>
      <c r="J741" t="s">
        <v>3904</v>
      </c>
      <c r="K741" t="s">
        <v>2370</v>
      </c>
      <c r="L741" s="3">
        <v>0</v>
      </c>
      <c r="M741" s="3">
        <v>0</v>
      </c>
      <c r="N741">
        <v>1</v>
      </c>
      <c r="O741" s="4">
        <f t="shared" si="69"/>
        <v>1</v>
      </c>
      <c r="P741" s="5" t="str">
        <f t="shared" si="70"/>
        <v>Low engagement</v>
      </c>
      <c r="Q741" t="b">
        <v>0</v>
      </c>
      <c r="R741" t="b">
        <v>0</v>
      </c>
      <c r="S741" t="b">
        <v>0</v>
      </c>
      <c r="T741" s="24" t="str">
        <f t="shared" si="71"/>
        <v>Text only</v>
      </c>
    </row>
    <row r="742" spans="1:20" hidden="1" x14ac:dyDescent="0.2">
      <c r="A742" t="s">
        <v>3895</v>
      </c>
      <c r="B742" t="s">
        <v>2365</v>
      </c>
      <c r="C742" t="s">
        <v>2366</v>
      </c>
      <c r="D742" t="s">
        <v>3896</v>
      </c>
      <c r="E742" t="s">
        <v>3897</v>
      </c>
      <c r="F742" t="str">
        <f>IF(Table2[[#This Row],[Date posted]]&lt; DATE(2015,9,18),"Before Crisis","During Crisis")</f>
        <v>During Crisis</v>
      </c>
      <c r="G742" s="27">
        <f t="shared" si="66"/>
        <v>42293</v>
      </c>
      <c r="H742" s="7" t="str">
        <f t="shared" si="67"/>
        <v>19:07:55</v>
      </c>
      <c r="I742" s="8" t="str">
        <f t="shared" si="68"/>
        <v>Evening</v>
      </c>
      <c r="J742" t="s">
        <v>3898</v>
      </c>
      <c r="K742" t="s">
        <v>2370</v>
      </c>
      <c r="L742" s="3">
        <v>0</v>
      </c>
      <c r="M742">
        <v>2</v>
      </c>
      <c r="N742">
        <v>1</v>
      </c>
      <c r="O742" s="4">
        <f t="shared" si="69"/>
        <v>3</v>
      </c>
      <c r="P742" s="5" t="str">
        <f t="shared" si="70"/>
        <v>Low engagement</v>
      </c>
      <c r="Q742" t="b">
        <v>0</v>
      </c>
      <c r="R742" t="b">
        <v>0</v>
      </c>
      <c r="S742" t="b">
        <v>0</v>
      </c>
      <c r="T742" s="24" t="str">
        <f t="shared" si="71"/>
        <v>Text only</v>
      </c>
    </row>
    <row r="743" spans="1:20" hidden="1" x14ac:dyDescent="0.2">
      <c r="A743" t="s">
        <v>3889</v>
      </c>
      <c r="B743" t="s">
        <v>2365</v>
      </c>
      <c r="C743" t="s">
        <v>2366</v>
      </c>
      <c r="D743" t="s">
        <v>3890</v>
      </c>
      <c r="E743" t="s">
        <v>3891</v>
      </c>
      <c r="F743" t="str">
        <f>IF(Table2[[#This Row],[Date posted]]&lt; DATE(2015,9,18),"Before Crisis","During Crisis")</f>
        <v>During Crisis</v>
      </c>
      <c r="G743" s="27">
        <f t="shared" si="66"/>
        <v>42293</v>
      </c>
      <c r="H743" s="7" t="str">
        <f t="shared" si="67"/>
        <v>19:11:19</v>
      </c>
      <c r="I743" s="8" t="str">
        <f t="shared" si="68"/>
        <v>Evening</v>
      </c>
      <c r="J743" t="s">
        <v>3892</v>
      </c>
      <c r="K743" t="s">
        <v>2370</v>
      </c>
      <c r="L743">
        <v>1</v>
      </c>
      <c r="M743" s="3">
        <v>0</v>
      </c>
      <c r="N743">
        <v>1</v>
      </c>
      <c r="O743" s="4">
        <f t="shared" si="69"/>
        <v>2</v>
      </c>
      <c r="P743" s="5" t="str">
        <f t="shared" si="70"/>
        <v>Low engagement</v>
      </c>
      <c r="Q743" t="b">
        <v>0</v>
      </c>
      <c r="R743" t="b">
        <v>0</v>
      </c>
      <c r="S743" t="b">
        <v>0</v>
      </c>
      <c r="T743" s="24" t="str">
        <f t="shared" si="71"/>
        <v>Text only</v>
      </c>
    </row>
    <row r="744" spans="1:20" hidden="1" x14ac:dyDescent="0.2">
      <c r="A744" t="s">
        <v>3893</v>
      </c>
      <c r="B744" t="s">
        <v>2365</v>
      </c>
      <c r="C744" t="s">
        <v>2366</v>
      </c>
      <c r="D744" t="s">
        <v>3894</v>
      </c>
      <c r="E744" t="s">
        <v>3891</v>
      </c>
      <c r="F744" t="str">
        <f>IF(Table2[[#This Row],[Date posted]]&lt; DATE(2015,9,18),"Before Crisis","During Crisis")</f>
        <v>During Crisis</v>
      </c>
      <c r="G744" s="27">
        <f t="shared" si="66"/>
        <v>42293</v>
      </c>
      <c r="H744" s="7" t="str">
        <f t="shared" si="67"/>
        <v>19:11:19</v>
      </c>
      <c r="I744" s="8" t="str">
        <f t="shared" si="68"/>
        <v>Evening</v>
      </c>
      <c r="J744" t="s">
        <v>2370</v>
      </c>
      <c r="K744" t="s">
        <v>2370</v>
      </c>
      <c r="L744" s="3">
        <v>0</v>
      </c>
      <c r="M744" s="3">
        <v>0</v>
      </c>
      <c r="N744">
        <v>1</v>
      </c>
      <c r="O744" s="4">
        <f t="shared" si="69"/>
        <v>1</v>
      </c>
      <c r="P744" s="5" t="str">
        <f t="shared" si="70"/>
        <v>Low engagement</v>
      </c>
      <c r="Q744" t="b">
        <v>0</v>
      </c>
      <c r="R744" t="b">
        <v>0</v>
      </c>
      <c r="S744" t="b">
        <v>0</v>
      </c>
      <c r="T744" s="24" t="str">
        <f t="shared" si="71"/>
        <v>Text only</v>
      </c>
    </row>
    <row r="745" spans="1:20" hidden="1" x14ac:dyDescent="0.2">
      <c r="A745" t="s">
        <v>3885</v>
      </c>
      <c r="B745" t="s">
        <v>2365</v>
      </c>
      <c r="C745" t="s">
        <v>2366</v>
      </c>
      <c r="D745" t="s">
        <v>3886</v>
      </c>
      <c r="E745" t="s">
        <v>3887</v>
      </c>
      <c r="F745" t="str">
        <f>IF(Table2[[#This Row],[Date posted]]&lt; DATE(2015,9,18),"Before Crisis","During Crisis")</f>
        <v>During Crisis</v>
      </c>
      <c r="G745" s="27">
        <f t="shared" si="66"/>
        <v>42293</v>
      </c>
      <c r="H745" s="7" t="str">
        <f t="shared" si="67"/>
        <v>20:09:38</v>
      </c>
      <c r="I745" s="8" t="str">
        <f t="shared" si="68"/>
        <v>Evening</v>
      </c>
      <c r="J745" t="s">
        <v>3888</v>
      </c>
      <c r="K745" t="s">
        <v>2370</v>
      </c>
      <c r="L745" s="3">
        <v>0</v>
      </c>
      <c r="M745" s="3">
        <v>0</v>
      </c>
      <c r="N745">
        <v>1</v>
      </c>
      <c r="O745" s="4">
        <f t="shared" si="69"/>
        <v>1</v>
      </c>
      <c r="P745" s="5" t="str">
        <f t="shared" si="70"/>
        <v>Low engagement</v>
      </c>
      <c r="Q745" t="b">
        <v>0</v>
      </c>
      <c r="R745" t="b">
        <v>0</v>
      </c>
      <c r="S745" t="b">
        <v>0</v>
      </c>
      <c r="T745" s="24" t="str">
        <f t="shared" si="71"/>
        <v>Text only</v>
      </c>
    </row>
    <row r="746" spans="1:20" hidden="1" x14ac:dyDescent="0.2">
      <c r="A746" t="s">
        <v>3881</v>
      </c>
      <c r="B746" t="s">
        <v>2365</v>
      </c>
      <c r="C746" t="s">
        <v>2366</v>
      </c>
      <c r="D746" t="s">
        <v>3882</v>
      </c>
      <c r="E746" t="s">
        <v>3883</v>
      </c>
      <c r="F746" t="str">
        <f>IF(Table2[[#This Row],[Date posted]]&lt; DATE(2015,9,18),"Before Crisis","During Crisis")</f>
        <v>During Crisis</v>
      </c>
      <c r="G746" s="27">
        <f t="shared" si="66"/>
        <v>42293</v>
      </c>
      <c r="H746" s="7" t="str">
        <f t="shared" si="67"/>
        <v>20:27:10</v>
      </c>
      <c r="I746" s="8" t="str">
        <f t="shared" si="68"/>
        <v>Evening</v>
      </c>
      <c r="J746" t="s">
        <v>3884</v>
      </c>
      <c r="K746" t="s">
        <v>2370</v>
      </c>
      <c r="L746" s="3">
        <v>0</v>
      </c>
      <c r="M746" s="3">
        <v>0</v>
      </c>
      <c r="N746">
        <v>1</v>
      </c>
      <c r="O746" s="4">
        <f t="shared" si="69"/>
        <v>1</v>
      </c>
      <c r="P746" s="5" t="str">
        <f t="shared" si="70"/>
        <v>Low engagement</v>
      </c>
      <c r="Q746" t="b">
        <v>0</v>
      </c>
      <c r="R746" t="b">
        <v>0</v>
      </c>
      <c r="S746" t="b">
        <v>0</v>
      </c>
      <c r="T746" s="24" t="str">
        <f t="shared" si="71"/>
        <v>Text only</v>
      </c>
    </row>
    <row r="747" spans="1:20" hidden="1" x14ac:dyDescent="0.2">
      <c r="A747" t="s">
        <v>3874</v>
      </c>
      <c r="B747" t="s">
        <v>2365</v>
      </c>
      <c r="C747" t="s">
        <v>2366</v>
      </c>
      <c r="D747" t="s">
        <v>3875</v>
      </c>
      <c r="E747" t="s">
        <v>3876</v>
      </c>
      <c r="F747" t="str">
        <f>IF(Table2[[#This Row],[Date posted]]&lt; DATE(2015,9,18),"Before Crisis","During Crisis")</f>
        <v>During Crisis</v>
      </c>
      <c r="G747" s="27">
        <f t="shared" si="66"/>
        <v>42296</v>
      </c>
      <c r="H747" s="7" t="str">
        <f t="shared" si="67"/>
        <v>13:38:32</v>
      </c>
      <c r="I747" s="8" t="str">
        <f t="shared" si="68"/>
        <v>Mid-day</v>
      </c>
      <c r="J747" t="s">
        <v>3877</v>
      </c>
      <c r="K747" t="s">
        <v>2370</v>
      </c>
      <c r="L747" s="3">
        <v>0</v>
      </c>
      <c r="M747" s="3">
        <v>0</v>
      </c>
      <c r="N747">
        <v>1</v>
      </c>
      <c r="O747" s="4">
        <f t="shared" si="69"/>
        <v>1</v>
      </c>
      <c r="P747" s="5" t="str">
        <f t="shared" si="70"/>
        <v>Low engagement</v>
      </c>
      <c r="Q747" t="b">
        <v>0</v>
      </c>
      <c r="R747" t="b">
        <v>0</v>
      </c>
      <c r="S747" t="b">
        <v>0</v>
      </c>
      <c r="T747" s="24" t="str">
        <f t="shared" si="71"/>
        <v>Text only</v>
      </c>
    </row>
    <row r="748" spans="1:20" hidden="1" x14ac:dyDescent="0.2">
      <c r="A748" t="s">
        <v>3870</v>
      </c>
      <c r="B748" t="s">
        <v>2365</v>
      </c>
      <c r="C748" t="s">
        <v>2366</v>
      </c>
      <c r="D748" t="s">
        <v>3871</v>
      </c>
      <c r="E748" t="s">
        <v>3872</v>
      </c>
      <c r="F748" t="str">
        <f>IF(Table2[[#This Row],[Date posted]]&lt; DATE(2015,9,18),"Before Crisis","During Crisis")</f>
        <v>During Crisis</v>
      </c>
      <c r="G748" s="27">
        <f t="shared" si="66"/>
        <v>42296</v>
      </c>
      <c r="H748" s="7" t="str">
        <f t="shared" si="67"/>
        <v>15:19:03</v>
      </c>
      <c r="I748" s="8" t="str">
        <f t="shared" si="68"/>
        <v>Afternoon</v>
      </c>
      <c r="J748" t="s">
        <v>3873</v>
      </c>
      <c r="K748" t="s">
        <v>2370</v>
      </c>
      <c r="L748" s="3">
        <v>0</v>
      </c>
      <c r="M748" s="3">
        <v>0</v>
      </c>
      <c r="N748">
        <v>1</v>
      </c>
      <c r="O748" s="4">
        <f t="shared" si="69"/>
        <v>1</v>
      </c>
      <c r="P748" s="5" t="str">
        <f t="shared" si="70"/>
        <v>Low engagement</v>
      </c>
      <c r="Q748" t="b">
        <v>0</v>
      </c>
      <c r="R748" t="b">
        <v>0</v>
      </c>
      <c r="S748" t="b">
        <v>0</v>
      </c>
      <c r="T748" s="24" t="str">
        <f t="shared" si="71"/>
        <v>Text only</v>
      </c>
    </row>
    <row r="749" spans="1:20" hidden="1" x14ac:dyDescent="0.2">
      <c r="A749" t="s">
        <v>3824</v>
      </c>
      <c r="B749" t="s">
        <v>2365</v>
      </c>
      <c r="C749" t="s">
        <v>2366</v>
      </c>
      <c r="D749" t="s">
        <v>3825</v>
      </c>
      <c r="E749" t="s">
        <v>3826</v>
      </c>
      <c r="F749" t="str">
        <f>IF(Table2[[#This Row],[Date posted]]&lt; DATE(2015,9,18),"Before Crisis","During Crisis")</f>
        <v>During Crisis</v>
      </c>
      <c r="G749" s="27">
        <f t="shared" si="66"/>
        <v>42296</v>
      </c>
      <c r="H749" s="7" t="str">
        <f t="shared" si="67"/>
        <v>20:16:30</v>
      </c>
      <c r="I749" s="8" t="str">
        <f t="shared" si="68"/>
        <v>Evening</v>
      </c>
      <c r="J749" t="s">
        <v>3827</v>
      </c>
      <c r="K749" t="s">
        <v>2370</v>
      </c>
      <c r="L749" s="3">
        <v>0</v>
      </c>
      <c r="M749" s="3">
        <v>0</v>
      </c>
      <c r="N749">
        <v>1</v>
      </c>
      <c r="O749" s="4">
        <f t="shared" si="69"/>
        <v>1</v>
      </c>
      <c r="P749" s="5" t="str">
        <f t="shared" si="70"/>
        <v>Low engagement</v>
      </c>
      <c r="Q749" t="b">
        <v>0</v>
      </c>
      <c r="R749" t="b">
        <v>0</v>
      </c>
      <c r="S749" t="b">
        <v>0</v>
      </c>
      <c r="T749" s="24" t="str">
        <f t="shared" si="71"/>
        <v>Text only</v>
      </c>
    </row>
    <row r="750" spans="1:20" hidden="1" x14ac:dyDescent="0.2">
      <c r="A750" t="s">
        <v>3828</v>
      </c>
      <c r="B750" t="s">
        <v>2365</v>
      </c>
      <c r="C750" t="s">
        <v>2366</v>
      </c>
      <c r="D750" t="s">
        <v>3829</v>
      </c>
      <c r="E750" t="s">
        <v>3826</v>
      </c>
      <c r="F750" t="str">
        <f>IF(Table2[[#This Row],[Date posted]]&lt; DATE(2015,9,18),"Before Crisis","During Crisis")</f>
        <v>During Crisis</v>
      </c>
      <c r="G750" s="27">
        <f t="shared" si="66"/>
        <v>42296</v>
      </c>
      <c r="H750" s="7" t="str">
        <f t="shared" si="67"/>
        <v>20:16:30</v>
      </c>
      <c r="I750" s="8" t="str">
        <f t="shared" si="68"/>
        <v>Evening</v>
      </c>
      <c r="J750" t="s">
        <v>3827</v>
      </c>
      <c r="K750" t="s">
        <v>2370</v>
      </c>
      <c r="L750" s="3">
        <v>0</v>
      </c>
      <c r="M750" s="3">
        <v>0</v>
      </c>
      <c r="N750">
        <v>1</v>
      </c>
      <c r="O750" s="4">
        <f t="shared" si="69"/>
        <v>1</v>
      </c>
      <c r="P750" s="5" t="str">
        <f t="shared" si="70"/>
        <v>Low engagement</v>
      </c>
      <c r="Q750" t="b">
        <v>0</v>
      </c>
      <c r="R750" t="b">
        <v>0</v>
      </c>
      <c r="S750" t="b">
        <v>0</v>
      </c>
      <c r="T750" s="24" t="str">
        <f t="shared" si="71"/>
        <v>Text only</v>
      </c>
    </row>
    <row r="751" spans="1:20" hidden="1" x14ac:dyDescent="0.2">
      <c r="A751" t="s">
        <v>3794</v>
      </c>
      <c r="B751" t="s">
        <v>2365</v>
      </c>
      <c r="C751" t="s">
        <v>2366</v>
      </c>
      <c r="D751" t="s">
        <v>3795</v>
      </c>
      <c r="E751" t="s">
        <v>3796</v>
      </c>
      <c r="F751" t="str">
        <f>IF(Table2[[#This Row],[Date posted]]&lt; DATE(2015,9,18),"Before Crisis","During Crisis")</f>
        <v>During Crisis</v>
      </c>
      <c r="G751" s="27">
        <f t="shared" si="66"/>
        <v>42297</v>
      </c>
      <c r="H751" s="7" t="str">
        <f t="shared" si="67"/>
        <v>14:29:39</v>
      </c>
      <c r="I751" s="8" t="str">
        <f t="shared" si="68"/>
        <v>Afternoon</v>
      </c>
      <c r="J751" t="s">
        <v>2370</v>
      </c>
      <c r="K751" t="s">
        <v>2370</v>
      </c>
      <c r="L751" s="3">
        <v>0</v>
      </c>
      <c r="M751">
        <v>1</v>
      </c>
      <c r="N751">
        <v>1</v>
      </c>
      <c r="O751" s="4">
        <f t="shared" si="69"/>
        <v>2</v>
      </c>
      <c r="P751" s="5" t="str">
        <f t="shared" si="70"/>
        <v>Low engagement</v>
      </c>
      <c r="Q751" t="b">
        <v>0</v>
      </c>
      <c r="R751" t="b">
        <v>0</v>
      </c>
      <c r="S751" t="b">
        <v>0</v>
      </c>
      <c r="T751" s="24" t="str">
        <f t="shared" si="71"/>
        <v>Text only</v>
      </c>
    </row>
    <row r="752" spans="1:20" hidden="1" x14ac:dyDescent="0.2">
      <c r="A752" t="s">
        <v>3791</v>
      </c>
      <c r="B752" t="s">
        <v>2365</v>
      </c>
      <c r="C752" t="s">
        <v>2366</v>
      </c>
      <c r="D752" t="s">
        <v>3792</v>
      </c>
      <c r="E752" t="s">
        <v>3793</v>
      </c>
      <c r="F752" t="str">
        <f>IF(Table2[[#This Row],[Date posted]]&lt; DATE(2015,9,18),"Before Crisis","During Crisis")</f>
        <v>During Crisis</v>
      </c>
      <c r="G752" s="27">
        <f t="shared" si="66"/>
        <v>42297</v>
      </c>
      <c r="H752" s="7" t="str">
        <f t="shared" si="67"/>
        <v>16:26:44</v>
      </c>
      <c r="I752" s="8" t="str">
        <f t="shared" si="68"/>
        <v>Afternoon</v>
      </c>
      <c r="J752" t="s">
        <v>2370</v>
      </c>
      <c r="K752" t="s">
        <v>2370</v>
      </c>
      <c r="L752" s="3">
        <v>0</v>
      </c>
      <c r="M752" s="3">
        <v>0</v>
      </c>
      <c r="N752">
        <v>1</v>
      </c>
      <c r="O752" s="4">
        <f t="shared" si="69"/>
        <v>1</v>
      </c>
      <c r="P752" s="5" t="str">
        <f t="shared" si="70"/>
        <v>Low engagement</v>
      </c>
      <c r="Q752" t="b">
        <v>0</v>
      </c>
      <c r="R752" t="b">
        <v>0</v>
      </c>
      <c r="S752" t="b">
        <v>1</v>
      </c>
      <c r="T752" s="24" t="str">
        <f t="shared" si="71"/>
        <v>Link</v>
      </c>
    </row>
    <row r="753" spans="1:20" hidden="1" x14ac:dyDescent="0.2">
      <c r="A753" t="s">
        <v>3788</v>
      </c>
      <c r="B753" t="s">
        <v>2365</v>
      </c>
      <c r="C753" t="s">
        <v>2366</v>
      </c>
      <c r="D753" t="s">
        <v>3789</v>
      </c>
      <c r="E753" t="s">
        <v>3790</v>
      </c>
      <c r="F753" t="str">
        <f>IF(Table2[[#This Row],[Date posted]]&lt; DATE(2015,9,18),"Before Crisis","During Crisis")</f>
        <v>During Crisis</v>
      </c>
      <c r="G753" s="27">
        <f t="shared" si="66"/>
        <v>42297</v>
      </c>
      <c r="H753" s="7" t="str">
        <f t="shared" si="67"/>
        <v>19:50:02</v>
      </c>
      <c r="I753" s="8" t="str">
        <f t="shared" si="68"/>
        <v>Evening</v>
      </c>
      <c r="J753" t="s">
        <v>2370</v>
      </c>
      <c r="K753" t="s">
        <v>2370</v>
      </c>
      <c r="L753" s="3">
        <v>0</v>
      </c>
      <c r="M753" s="3">
        <v>0</v>
      </c>
      <c r="N753">
        <v>1</v>
      </c>
      <c r="O753" s="4">
        <f t="shared" si="69"/>
        <v>1</v>
      </c>
      <c r="P753" s="5" t="str">
        <f t="shared" si="70"/>
        <v>Low engagement</v>
      </c>
      <c r="Q753" t="b">
        <v>0</v>
      </c>
      <c r="R753" t="b">
        <v>0</v>
      </c>
      <c r="S753" t="b">
        <v>0</v>
      </c>
      <c r="T753" s="24" t="str">
        <f t="shared" si="71"/>
        <v>Text only</v>
      </c>
    </row>
    <row r="754" spans="1:20" hidden="1" x14ac:dyDescent="0.2">
      <c r="A754" t="s">
        <v>3785</v>
      </c>
      <c r="B754" t="s">
        <v>2365</v>
      </c>
      <c r="C754" t="s">
        <v>2366</v>
      </c>
      <c r="D754" t="s">
        <v>3786</v>
      </c>
      <c r="E754" t="s">
        <v>3784</v>
      </c>
      <c r="F754" t="str">
        <f>IF(Table2[[#This Row],[Date posted]]&lt; DATE(2015,9,18),"Before Crisis","During Crisis")</f>
        <v>During Crisis</v>
      </c>
      <c r="G754" s="27">
        <f t="shared" si="66"/>
        <v>42297</v>
      </c>
      <c r="H754" s="7" t="str">
        <f t="shared" si="67"/>
        <v>19:50:03</v>
      </c>
      <c r="I754" s="8" t="str">
        <f t="shared" si="68"/>
        <v>Evening</v>
      </c>
      <c r="J754" t="s">
        <v>3787</v>
      </c>
      <c r="K754" t="s">
        <v>2370</v>
      </c>
      <c r="L754" s="3">
        <v>0</v>
      </c>
      <c r="M754" s="3">
        <v>0</v>
      </c>
      <c r="N754">
        <v>1</v>
      </c>
      <c r="O754" s="4">
        <f t="shared" si="69"/>
        <v>1</v>
      </c>
      <c r="P754" s="5" t="str">
        <f t="shared" si="70"/>
        <v>Low engagement</v>
      </c>
      <c r="Q754" t="b">
        <v>0</v>
      </c>
      <c r="R754" t="b">
        <v>0</v>
      </c>
      <c r="S754" t="b">
        <v>1</v>
      </c>
      <c r="T754" s="24" t="str">
        <f t="shared" si="71"/>
        <v>Link</v>
      </c>
    </row>
    <row r="755" spans="1:20" hidden="1" x14ac:dyDescent="0.2">
      <c r="A755" t="s">
        <v>3776</v>
      </c>
      <c r="B755" t="s">
        <v>2365</v>
      </c>
      <c r="C755" t="s">
        <v>2366</v>
      </c>
      <c r="D755" t="s">
        <v>3777</v>
      </c>
      <c r="E755" t="s">
        <v>3778</v>
      </c>
      <c r="F755" t="str">
        <f>IF(Table2[[#This Row],[Date posted]]&lt; DATE(2015,9,18),"Before Crisis","During Crisis")</f>
        <v>During Crisis</v>
      </c>
      <c r="G755" s="27">
        <f t="shared" si="66"/>
        <v>42297</v>
      </c>
      <c r="H755" s="7" t="str">
        <f t="shared" si="67"/>
        <v>20:10:23</v>
      </c>
      <c r="I755" s="8" t="str">
        <f t="shared" si="68"/>
        <v>Evening</v>
      </c>
      <c r="J755" t="s">
        <v>3779</v>
      </c>
      <c r="K755" t="s">
        <v>2370</v>
      </c>
      <c r="L755" s="3">
        <v>0</v>
      </c>
      <c r="M755" s="3">
        <v>0</v>
      </c>
      <c r="N755">
        <v>1</v>
      </c>
      <c r="O755" s="4">
        <f t="shared" si="69"/>
        <v>1</v>
      </c>
      <c r="P755" s="5" t="str">
        <f t="shared" si="70"/>
        <v>Low engagement</v>
      </c>
      <c r="Q755" t="b">
        <v>0</v>
      </c>
      <c r="R755" t="b">
        <v>0</v>
      </c>
      <c r="S755" t="b">
        <v>0</v>
      </c>
      <c r="T755" s="24" t="str">
        <f t="shared" si="71"/>
        <v>Text only</v>
      </c>
    </row>
    <row r="756" spans="1:20" hidden="1" x14ac:dyDescent="0.2">
      <c r="A756" t="s">
        <v>3780</v>
      </c>
      <c r="B756" t="s">
        <v>2365</v>
      </c>
      <c r="C756" t="s">
        <v>2366</v>
      </c>
      <c r="D756" t="s">
        <v>3781</v>
      </c>
      <c r="E756" t="s">
        <v>3778</v>
      </c>
      <c r="F756" t="str">
        <f>IF(Table2[[#This Row],[Date posted]]&lt; DATE(2015,9,18),"Before Crisis","During Crisis")</f>
        <v>During Crisis</v>
      </c>
      <c r="G756" s="27">
        <f t="shared" si="66"/>
        <v>42297</v>
      </c>
      <c r="H756" s="7" t="str">
        <f t="shared" si="67"/>
        <v>20:10:23</v>
      </c>
      <c r="I756" s="8" t="str">
        <f t="shared" si="68"/>
        <v>Evening</v>
      </c>
      <c r="J756" t="s">
        <v>3779</v>
      </c>
      <c r="K756" t="s">
        <v>2370</v>
      </c>
      <c r="L756" s="3">
        <v>0</v>
      </c>
      <c r="M756" s="3">
        <v>0</v>
      </c>
      <c r="N756">
        <v>1</v>
      </c>
      <c r="O756" s="4">
        <f t="shared" si="69"/>
        <v>1</v>
      </c>
      <c r="P756" s="5" t="str">
        <f t="shared" si="70"/>
        <v>Low engagement</v>
      </c>
      <c r="Q756" t="b">
        <v>0</v>
      </c>
      <c r="R756" t="b">
        <v>0</v>
      </c>
      <c r="S756" t="b">
        <v>0</v>
      </c>
      <c r="T756" s="24" t="str">
        <f t="shared" si="71"/>
        <v>Text only</v>
      </c>
    </row>
    <row r="757" spans="1:20" hidden="1" x14ac:dyDescent="0.2">
      <c r="A757" t="s">
        <v>3741</v>
      </c>
      <c r="B757" t="s">
        <v>2365</v>
      </c>
      <c r="C757" t="s">
        <v>2366</v>
      </c>
      <c r="D757" t="s">
        <v>3742</v>
      </c>
      <c r="E757" t="s">
        <v>3743</v>
      </c>
      <c r="F757" t="str">
        <f>IF(Table2[[#This Row],[Date posted]]&lt; DATE(2015,9,18),"Before Crisis","During Crisis")</f>
        <v>During Crisis</v>
      </c>
      <c r="G757" s="27">
        <f t="shared" si="66"/>
        <v>42298</v>
      </c>
      <c r="H757" s="7" t="str">
        <f t="shared" si="67"/>
        <v>17:49:02</v>
      </c>
      <c r="I757" s="8" t="str">
        <f t="shared" si="68"/>
        <v>Afternoon</v>
      </c>
      <c r="J757" t="s">
        <v>3704</v>
      </c>
      <c r="K757" t="s">
        <v>2370</v>
      </c>
      <c r="L757">
        <v>1</v>
      </c>
      <c r="M757" s="3">
        <v>0</v>
      </c>
      <c r="N757">
        <v>1</v>
      </c>
      <c r="O757" s="4">
        <f t="shared" si="69"/>
        <v>2</v>
      </c>
      <c r="P757" s="5" t="str">
        <f t="shared" si="70"/>
        <v>Low engagement</v>
      </c>
      <c r="Q757" t="b">
        <v>0</v>
      </c>
      <c r="R757" t="b">
        <v>0</v>
      </c>
      <c r="S757" t="b">
        <v>0</v>
      </c>
      <c r="T757" s="24" t="str">
        <f t="shared" si="71"/>
        <v>Text only</v>
      </c>
    </row>
    <row r="758" spans="1:20" hidden="1" x14ac:dyDescent="0.2">
      <c r="A758" t="s">
        <v>3738</v>
      </c>
      <c r="B758" t="s">
        <v>2365</v>
      </c>
      <c r="C758" t="s">
        <v>2366</v>
      </c>
      <c r="D758" t="s">
        <v>3739</v>
      </c>
      <c r="E758" t="s">
        <v>3740</v>
      </c>
      <c r="F758" t="str">
        <f>IF(Table2[[#This Row],[Date posted]]&lt; DATE(2015,9,18),"Before Crisis","During Crisis")</f>
        <v>During Crisis</v>
      </c>
      <c r="G758" s="27">
        <f t="shared" si="66"/>
        <v>42298</v>
      </c>
      <c r="H758" s="7" t="str">
        <f t="shared" si="67"/>
        <v>17:52:32</v>
      </c>
      <c r="I758" s="8" t="str">
        <f t="shared" si="68"/>
        <v>Afternoon</v>
      </c>
      <c r="J758" t="s">
        <v>2846</v>
      </c>
      <c r="K758" t="s">
        <v>2370</v>
      </c>
      <c r="L758" s="3">
        <v>0</v>
      </c>
      <c r="M758" s="3">
        <v>0</v>
      </c>
      <c r="N758">
        <v>1</v>
      </c>
      <c r="O758" s="4">
        <f t="shared" si="69"/>
        <v>1</v>
      </c>
      <c r="P758" s="5" t="str">
        <f t="shared" si="70"/>
        <v>Low engagement</v>
      </c>
      <c r="Q758" t="b">
        <v>0</v>
      </c>
      <c r="R758" t="b">
        <v>0</v>
      </c>
      <c r="S758" t="b">
        <v>0</v>
      </c>
      <c r="T758" s="24" t="str">
        <f t="shared" si="71"/>
        <v>Text only</v>
      </c>
    </row>
    <row r="759" spans="1:20" hidden="1" x14ac:dyDescent="0.2">
      <c r="A759" t="s">
        <v>3735</v>
      </c>
      <c r="B759" t="s">
        <v>2365</v>
      </c>
      <c r="C759" t="s">
        <v>2366</v>
      </c>
      <c r="D759" t="s">
        <v>3736</v>
      </c>
      <c r="E759" t="s">
        <v>3737</v>
      </c>
      <c r="F759" t="str">
        <f>IF(Table2[[#This Row],[Date posted]]&lt; DATE(2015,9,18),"Before Crisis","During Crisis")</f>
        <v>During Crisis</v>
      </c>
      <c r="G759" s="27">
        <f t="shared" si="66"/>
        <v>42298</v>
      </c>
      <c r="H759" s="7" t="str">
        <f t="shared" si="67"/>
        <v>17:52:33</v>
      </c>
      <c r="I759" s="8" t="str">
        <f t="shared" si="68"/>
        <v>Afternoon</v>
      </c>
      <c r="J759" t="s">
        <v>2370</v>
      </c>
      <c r="K759" t="s">
        <v>2370</v>
      </c>
      <c r="L759" s="3">
        <v>0</v>
      </c>
      <c r="M759" s="3">
        <v>0</v>
      </c>
      <c r="N759">
        <v>1</v>
      </c>
      <c r="O759" s="4">
        <f t="shared" si="69"/>
        <v>1</v>
      </c>
      <c r="P759" s="5" t="str">
        <f t="shared" si="70"/>
        <v>Low engagement</v>
      </c>
      <c r="Q759" t="b">
        <v>0</v>
      </c>
      <c r="R759" t="b">
        <v>0</v>
      </c>
      <c r="S759" t="b">
        <v>0</v>
      </c>
      <c r="T759" s="24" t="str">
        <f t="shared" si="71"/>
        <v>Text only</v>
      </c>
    </row>
    <row r="760" spans="1:20" hidden="1" x14ac:dyDescent="0.2">
      <c r="A760" t="s">
        <v>3731</v>
      </c>
      <c r="B760" t="s">
        <v>2365</v>
      </c>
      <c r="C760" t="s">
        <v>2366</v>
      </c>
      <c r="D760" t="s">
        <v>3732</v>
      </c>
      <c r="E760" t="s">
        <v>3733</v>
      </c>
      <c r="F760" t="str">
        <f>IF(Table2[[#This Row],[Date posted]]&lt; DATE(2015,9,18),"Before Crisis","During Crisis")</f>
        <v>During Crisis</v>
      </c>
      <c r="G760" s="27">
        <f t="shared" si="66"/>
        <v>42298</v>
      </c>
      <c r="H760" s="7" t="str">
        <f t="shared" si="67"/>
        <v>17:55:59</v>
      </c>
      <c r="I760" s="8" t="str">
        <f t="shared" si="68"/>
        <v>Afternoon</v>
      </c>
      <c r="J760" t="s">
        <v>3734</v>
      </c>
      <c r="K760" t="s">
        <v>2370</v>
      </c>
      <c r="L760" s="3">
        <v>0</v>
      </c>
      <c r="M760" s="3">
        <v>0</v>
      </c>
      <c r="N760">
        <v>1</v>
      </c>
      <c r="O760" s="4">
        <f t="shared" si="69"/>
        <v>1</v>
      </c>
      <c r="P760" s="5" t="str">
        <f t="shared" si="70"/>
        <v>Low engagement</v>
      </c>
      <c r="Q760" t="b">
        <v>0</v>
      </c>
      <c r="R760" t="b">
        <v>0</v>
      </c>
      <c r="S760" t="b">
        <v>0</v>
      </c>
      <c r="T760" s="24" t="str">
        <f t="shared" si="71"/>
        <v>Text only</v>
      </c>
    </row>
    <row r="761" spans="1:20" hidden="1" x14ac:dyDescent="0.2">
      <c r="A761" t="s">
        <v>3727</v>
      </c>
      <c r="B761" t="s">
        <v>2365</v>
      </c>
      <c r="C761" t="s">
        <v>2366</v>
      </c>
      <c r="D761" t="s">
        <v>3728</v>
      </c>
      <c r="E761" t="s">
        <v>3729</v>
      </c>
      <c r="F761" t="str">
        <f>IF(Table2[[#This Row],[Date posted]]&lt; DATE(2015,9,18),"Before Crisis","During Crisis")</f>
        <v>During Crisis</v>
      </c>
      <c r="G761" s="27">
        <f t="shared" si="66"/>
        <v>42298</v>
      </c>
      <c r="H761" s="7" t="str">
        <f t="shared" si="67"/>
        <v>18:09:45</v>
      </c>
      <c r="I761" s="8" t="str">
        <f t="shared" si="68"/>
        <v>Evening</v>
      </c>
      <c r="J761" t="s">
        <v>3730</v>
      </c>
      <c r="K761" t="s">
        <v>2370</v>
      </c>
      <c r="L761" s="3">
        <v>0</v>
      </c>
      <c r="M761">
        <v>2</v>
      </c>
      <c r="N761">
        <v>1</v>
      </c>
      <c r="O761" s="4">
        <f t="shared" si="69"/>
        <v>3</v>
      </c>
      <c r="P761" s="5" t="str">
        <f t="shared" si="70"/>
        <v>Low engagement</v>
      </c>
      <c r="Q761" t="b">
        <v>0</v>
      </c>
      <c r="R761" t="b">
        <v>0</v>
      </c>
      <c r="S761" t="b">
        <v>0</v>
      </c>
      <c r="T761" s="24" t="str">
        <f t="shared" si="71"/>
        <v>Text only</v>
      </c>
    </row>
    <row r="762" spans="1:20" hidden="1" x14ac:dyDescent="0.2">
      <c r="A762" t="s">
        <v>3724</v>
      </c>
      <c r="B762" t="s">
        <v>2365</v>
      </c>
      <c r="C762" t="s">
        <v>2366</v>
      </c>
      <c r="D762" t="s">
        <v>3725</v>
      </c>
      <c r="E762" t="s">
        <v>3726</v>
      </c>
      <c r="F762" t="str">
        <f>IF(Table2[[#This Row],[Date posted]]&lt; DATE(2015,9,18),"Before Crisis","During Crisis")</f>
        <v>During Crisis</v>
      </c>
      <c r="G762" s="27">
        <f t="shared" si="66"/>
        <v>42298</v>
      </c>
      <c r="H762" s="7" t="str">
        <f t="shared" si="67"/>
        <v>19:00:45</v>
      </c>
      <c r="I762" s="8" t="str">
        <f t="shared" si="68"/>
        <v>Evening</v>
      </c>
      <c r="J762" t="s">
        <v>2370</v>
      </c>
      <c r="K762" t="s">
        <v>2370</v>
      </c>
      <c r="L762" s="3">
        <v>0</v>
      </c>
      <c r="M762" s="3">
        <v>0</v>
      </c>
      <c r="N762">
        <v>1</v>
      </c>
      <c r="O762" s="4">
        <f t="shared" si="69"/>
        <v>1</v>
      </c>
      <c r="P762" s="5" t="str">
        <f t="shared" si="70"/>
        <v>Low engagement</v>
      </c>
      <c r="Q762" t="b">
        <v>0</v>
      </c>
      <c r="R762" t="b">
        <v>0</v>
      </c>
      <c r="S762" t="b">
        <v>0</v>
      </c>
      <c r="T762" s="24" t="str">
        <f t="shared" si="71"/>
        <v>Text only</v>
      </c>
    </row>
    <row r="763" spans="1:20" hidden="1" x14ac:dyDescent="0.2">
      <c r="A763" t="s">
        <v>3721</v>
      </c>
      <c r="B763" t="s">
        <v>2365</v>
      </c>
      <c r="C763" t="s">
        <v>2366</v>
      </c>
      <c r="D763" t="s">
        <v>3722</v>
      </c>
      <c r="E763" t="s">
        <v>3723</v>
      </c>
      <c r="F763" t="str">
        <f>IF(Table2[[#This Row],[Date posted]]&lt; DATE(2015,9,18),"Before Crisis","During Crisis")</f>
        <v>During Crisis</v>
      </c>
      <c r="G763" s="27">
        <f t="shared" si="66"/>
        <v>42298</v>
      </c>
      <c r="H763" s="7" t="str">
        <f t="shared" si="67"/>
        <v>19:07:44</v>
      </c>
      <c r="I763" s="8" t="str">
        <f t="shared" si="68"/>
        <v>Evening</v>
      </c>
      <c r="J763" t="s">
        <v>2370</v>
      </c>
      <c r="K763" t="s">
        <v>2370</v>
      </c>
      <c r="L763" s="3">
        <v>0</v>
      </c>
      <c r="M763" s="3">
        <v>0</v>
      </c>
      <c r="N763">
        <v>1</v>
      </c>
      <c r="O763" s="4">
        <f t="shared" si="69"/>
        <v>1</v>
      </c>
      <c r="P763" s="5" t="str">
        <f t="shared" si="70"/>
        <v>Low engagement</v>
      </c>
      <c r="Q763" t="b">
        <v>0</v>
      </c>
      <c r="R763" t="b">
        <v>0</v>
      </c>
      <c r="S763" t="b">
        <v>0</v>
      </c>
      <c r="T763" s="24" t="str">
        <f t="shared" si="71"/>
        <v>Text only</v>
      </c>
    </row>
    <row r="764" spans="1:20" hidden="1" x14ac:dyDescent="0.2">
      <c r="A764" t="s">
        <v>3714</v>
      </c>
      <c r="B764" t="s">
        <v>2365</v>
      </c>
      <c r="C764" t="s">
        <v>2366</v>
      </c>
      <c r="D764" t="s">
        <v>3715</v>
      </c>
      <c r="E764" t="s">
        <v>3716</v>
      </c>
      <c r="F764" t="str">
        <f>IF(Table2[[#This Row],[Date posted]]&lt; DATE(2015,9,18),"Before Crisis","During Crisis")</f>
        <v>During Crisis</v>
      </c>
      <c r="G764" s="27">
        <f t="shared" si="66"/>
        <v>42298</v>
      </c>
      <c r="H764" s="7" t="str">
        <f t="shared" si="67"/>
        <v>20:43:52</v>
      </c>
      <c r="I764" s="8" t="str">
        <f t="shared" si="68"/>
        <v>Evening</v>
      </c>
      <c r="J764" t="s">
        <v>3717</v>
      </c>
      <c r="K764" t="s">
        <v>2370</v>
      </c>
      <c r="L764" s="3">
        <v>0</v>
      </c>
      <c r="M764" s="3">
        <v>0</v>
      </c>
      <c r="N764">
        <v>1</v>
      </c>
      <c r="O764" s="4">
        <f t="shared" si="69"/>
        <v>1</v>
      </c>
      <c r="P764" s="5" t="str">
        <f t="shared" si="70"/>
        <v>Low engagement</v>
      </c>
      <c r="Q764" t="b">
        <v>0</v>
      </c>
      <c r="R764" t="b">
        <v>0</v>
      </c>
      <c r="S764" t="b">
        <v>0</v>
      </c>
      <c r="T764" s="24" t="str">
        <f t="shared" si="71"/>
        <v>Text only</v>
      </c>
    </row>
    <row r="765" spans="1:20" hidden="1" x14ac:dyDescent="0.2">
      <c r="A765" t="s">
        <v>3712</v>
      </c>
      <c r="B765" t="s">
        <v>2365</v>
      </c>
      <c r="C765" t="s">
        <v>2366</v>
      </c>
      <c r="D765" t="s">
        <v>3713</v>
      </c>
      <c r="E765" t="s">
        <v>3711</v>
      </c>
      <c r="F765" t="str">
        <f>IF(Table2[[#This Row],[Date posted]]&lt; DATE(2015,9,18),"Before Crisis","During Crisis")</f>
        <v>During Crisis</v>
      </c>
      <c r="G765" s="27">
        <f t="shared" si="66"/>
        <v>42298</v>
      </c>
      <c r="H765" s="7" t="str">
        <f t="shared" si="67"/>
        <v>21:40:17</v>
      </c>
      <c r="I765" s="8" t="str">
        <f t="shared" si="68"/>
        <v>Evening</v>
      </c>
      <c r="J765" t="s">
        <v>2370</v>
      </c>
      <c r="K765" t="s">
        <v>2370</v>
      </c>
      <c r="L765" s="3">
        <v>0</v>
      </c>
      <c r="M765" s="3">
        <v>0</v>
      </c>
      <c r="N765">
        <v>1</v>
      </c>
      <c r="O765" s="4">
        <f t="shared" si="69"/>
        <v>1</v>
      </c>
      <c r="P765" s="5" t="str">
        <f t="shared" si="70"/>
        <v>Low engagement</v>
      </c>
      <c r="Q765" t="b">
        <v>0</v>
      </c>
      <c r="R765" t="b">
        <v>0</v>
      </c>
      <c r="S765" t="b">
        <v>0</v>
      </c>
      <c r="T765" s="24" t="str">
        <f t="shared" si="71"/>
        <v>Text only</v>
      </c>
    </row>
    <row r="766" spans="1:20" hidden="1" x14ac:dyDescent="0.2">
      <c r="A766" t="s">
        <v>3701</v>
      </c>
      <c r="B766" t="s">
        <v>2365</v>
      </c>
      <c r="C766" t="s">
        <v>2366</v>
      </c>
      <c r="D766" t="s">
        <v>3702</v>
      </c>
      <c r="E766" t="s">
        <v>3703</v>
      </c>
      <c r="F766" t="str">
        <f>IF(Table2[[#This Row],[Date posted]]&lt; DATE(2015,9,18),"Before Crisis","During Crisis")</f>
        <v>During Crisis</v>
      </c>
      <c r="G766" s="27">
        <f t="shared" si="66"/>
        <v>42299</v>
      </c>
      <c r="H766" s="7" t="str">
        <f t="shared" si="67"/>
        <v>14:04:24</v>
      </c>
      <c r="I766" s="8" t="str">
        <f t="shared" si="68"/>
        <v>Afternoon</v>
      </c>
      <c r="J766" t="s">
        <v>3704</v>
      </c>
      <c r="K766" t="s">
        <v>2370</v>
      </c>
      <c r="L766">
        <v>1</v>
      </c>
      <c r="M766" s="3">
        <v>0</v>
      </c>
      <c r="N766">
        <v>1</v>
      </c>
      <c r="O766" s="4">
        <f t="shared" si="69"/>
        <v>2</v>
      </c>
      <c r="P766" s="5" t="str">
        <f t="shared" si="70"/>
        <v>Low engagement</v>
      </c>
      <c r="Q766" t="b">
        <v>0</v>
      </c>
      <c r="R766" t="b">
        <v>0</v>
      </c>
      <c r="S766" t="b">
        <v>0</v>
      </c>
      <c r="T766" s="24" t="str">
        <f t="shared" si="71"/>
        <v>Text only</v>
      </c>
    </row>
    <row r="767" spans="1:20" hidden="1" x14ac:dyDescent="0.2">
      <c r="A767" t="s">
        <v>3697</v>
      </c>
      <c r="B767" t="s">
        <v>2365</v>
      </c>
      <c r="C767" t="s">
        <v>2366</v>
      </c>
      <c r="D767" t="s">
        <v>3698</v>
      </c>
      <c r="E767" t="s">
        <v>3699</v>
      </c>
      <c r="F767" t="str">
        <f>IF(Table2[[#This Row],[Date posted]]&lt; DATE(2015,9,18),"Before Crisis","During Crisis")</f>
        <v>During Crisis</v>
      </c>
      <c r="G767" s="27">
        <f t="shared" si="66"/>
        <v>42299</v>
      </c>
      <c r="H767" s="7" t="str">
        <f t="shared" si="67"/>
        <v>14:39:19</v>
      </c>
      <c r="I767" s="8" t="str">
        <f t="shared" si="68"/>
        <v>Afternoon</v>
      </c>
      <c r="J767" t="s">
        <v>3700</v>
      </c>
      <c r="K767" t="s">
        <v>2370</v>
      </c>
      <c r="L767" s="3">
        <v>0</v>
      </c>
      <c r="M767" s="3">
        <v>0</v>
      </c>
      <c r="N767">
        <v>1</v>
      </c>
      <c r="O767" s="4">
        <f t="shared" si="69"/>
        <v>1</v>
      </c>
      <c r="P767" s="5" t="str">
        <f t="shared" si="70"/>
        <v>Low engagement</v>
      </c>
      <c r="Q767" t="b">
        <v>0</v>
      </c>
      <c r="R767" t="b">
        <v>0</v>
      </c>
      <c r="S767" t="b">
        <v>0</v>
      </c>
      <c r="T767" s="24" t="str">
        <f t="shared" si="71"/>
        <v>Text only</v>
      </c>
    </row>
    <row r="768" spans="1:20" hidden="1" x14ac:dyDescent="0.2">
      <c r="A768" t="s">
        <v>3693</v>
      </c>
      <c r="B768" t="s">
        <v>2365</v>
      </c>
      <c r="C768" t="s">
        <v>2366</v>
      </c>
      <c r="D768" t="s">
        <v>3694</v>
      </c>
      <c r="E768" t="s">
        <v>3695</v>
      </c>
      <c r="F768" t="str">
        <f>IF(Table2[[#This Row],[Date posted]]&lt; DATE(2015,9,18),"Before Crisis","During Crisis")</f>
        <v>During Crisis</v>
      </c>
      <c r="G768" s="27">
        <f t="shared" si="66"/>
        <v>42299</v>
      </c>
      <c r="H768" s="7" t="str">
        <f t="shared" si="67"/>
        <v>14:52:55</v>
      </c>
      <c r="I768" s="8" t="str">
        <f t="shared" si="68"/>
        <v>Afternoon</v>
      </c>
      <c r="J768" t="s">
        <v>3696</v>
      </c>
      <c r="K768" t="s">
        <v>2370</v>
      </c>
      <c r="L768">
        <v>1</v>
      </c>
      <c r="M768">
        <v>1</v>
      </c>
      <c r="N768">
        <v>1</v>
      </c>
      <c r="O768" s="4">
        <f t="shared" si="69"/>
        <v>3</v>
      </c>
      <c r="P768" s="5" t="str">
        <f t="shared" si="70"/>
        <v>Low engagement</v>
      </c>
      <c r="Q768" t="b">
        <v>0</v>
      </c>
      <c r="R768" t="b">
        <v>0</v>
      </c>
      <c r="S768" t="b">
        <v>0</v>
      </c>
      <c r="T768" s="24" t="str">
        <f t="shared" si="71"/>
        <v>Text only</v>
      </c>
    </row>
    <row r="769" spans="1:20" hidden="1" x14ac:dyDescent="0.2">
      <c r="A769" t="s">
        <v>3689</v>
      </c>
      <c r="B769" t="s">
        <v>2365</v>
      </c>
      <c r="C769" t="s">
        <v>2366</v>
      </c>
      <c r="D769" t="s">
        <v>3690</v>
      </c>
      <c r="E769" t="s">
        <v>3691</v>
      </c>
      <c r="F769" t="str">
        <f>IF(Table2[[#This Row],[Date posted]]&lt; DATE(2015,9,18),"Before Crisis","During Crisis")</f>
        <v>During Crisis</v>
      </c>
      <c r="G769" s="27">
        <f t="shared" si="66"/>
        <v>42299</v>
      </c>
      <c r="H769" s="7" t="str">
        <f t="shared" si="67"/>
        <v>14:59:44</v>
      </c>
      <c r="I769" s="8" t="str">
        <f t="shared" si="68"/>
        <v>Afternoon</v>
      </c>
      <c r="J769" t="s">
        <v>3692</v>
      </c>
      <c r="K769" t="s">
        <v>2370</v>
      </c>
      <c r="L769" s="3">
        <v>0</v>
      </c>
      <c r="M769" s="3">
        <v>0</v>
      </c>
      <c r="N769">
        <v>1</v>
      </c>
      <c r="O769" s="4">
        <f t="shared" si="69"/>
        <v>1</v>
      </c>
      <c r="P769" s="5" t="str">
        <f t="shared" si="70"/>
        <v>Low engagement</v>
      </c>
      <c r="Q769" t="b">
        <v>0</v>
      </c>
      <c r="R769" t="b">
        <v>0</v>
      </c>
      <c r="S769" t="b">
        <v>0</v>
      </c>
      <c r="T769" s="24" t="str">
        <f t="shared" si="71"/>
        <v>Text only</v>
      </c>
    </row>
    <row r="770" spans="1:20" hidden="1" x14ac:dyDescent="0.2">
      <c r="A770" t="s">
        <v>3686</v>
      </c>
      <c r="B770" t="s">
        <v>2365</v>
      </c>
      <c r="C770" t="s">
        <v>2366</v>
      </c>
      <c r="D770" t="s">
        <v>3687</v>
      </c>
      <c r="E770" t="s">
        <v>3688</v>
      </c>
      <c r="F770" t="str">
        <f>IF(Table2[[#This Row],[Date posted]]&lt; DATE(2015,9,18),"Before Crisis","During Crisis")</f>
        <v>During Crisis</v>
      </c>
      <c r="G770" s="27">
        <f t="shared" ref="G770:G833" si="72">DATEVALUE(LEFT(E770,10))</f>
        <v>42299</v>
      </c>
      <c r="H770" s="7" t="str">
        <f t="shared" ref="H770:H833" si="73">MID(E770,12,8)</f>
        <v>15:37:24</v>
      </c>
      <c r="I770" s="8" t="str">
        <f t="shared" ref="I770:I833" si="74">IF(HOUR(H770)&lt;7,"Early morning",
IF(HOUR(H770)&lt;11,"Morning",
IF(HOUR(H770)&lt;14,"Mid-day",
IF(HOUR(H770)&lt;18,"Afternoon","Evening"))))</f>
        <v>Afternoon</v>
      </c>
      <c r="J770" t="s">
        <v>2370</v>
      </c>
      <c r="K770" t="s">
        <v>2370</v>
      </c>
      <c r="L770" s="3">
        <v>0</v>
      </c>
      <c r="M770" s="3">
        <v>0</v>
      </c>
      <c r="N770">
        <v>1</v>
      </c>
      <c r="O770" s="4">
        <f t="shared" ref="O770:O833" si="75">L770+M770+N770</f>
        <v>1</v>
      </c>
      <c r="P770" s="5" t="str">
        <f t="shared" ref="P770:P833" si="76">IF(O770&lt;1,"No engagement", IF(O770&lt;5,"Low engagement", IF(O770&lt;10,"Moderate engagement", "High engagement")))</f>
        <v>Low engagement</v>
      </c>
      <c r="Q770" t="b">
        <v>0</v>
      </c>
      <c r="R770" t="b">
        <v>0</v>
      </c>
      <c r="S770" t="b">
        <v>1</v>
      </c>
      <c r="T770" s="24" t="str">
        <f t="shared" ref="T770:T833" si="77">IF(Q770=TRUE,"Photo",
    IF(R770=TRUE,"Video",
        IF(S770=TRUE,"Link","Text only")))</f>
        <v>Link</v>
      </c>
    </row>
    <row r="771" spans="1:20" hidden="1" x14ac:dyDescent="0.2">
      <c r="A771" t="s">
        <v>3682</v>
      </c>
      <c r="B771" t="s">
        <v>2365</v>
      </c>
      <c r="C771" t="s">
        <v>2366</v>
      </c>
      <c r="D771" t="s">
        <v>3683</v>
      </c>
      <c r="E771" t="s">
        <v>3684</v>
      </c>
      <c r="F771" t="str">
        <f>IF(Table2[[#This Row],[Date posted]]&lt; DATE(2015,9,18),"Before Crisis","During Crisis")</f>
        <v>During Crisis</v>
      </c>
      <c r="G771" s="27">
        <f t="shared" si="72"/>
        <v>42299</v>
      </c>
      <c r="H771" s="7" t="str">
        <f t="shared" si="73"/>
        <v>15:51:24</v>
      </c>
      <c r="I771" s="8" t="str">
        <f t="shared" si="74"/>
        <v>Afternoon</v>
      </c>
      <c r="J771" t="s">
        <v>3685</v>
      </c>
      <c r="K771" t="s">
        <v>2370</v>
      </c>
      <c r="L771" s="3">
        <v>0</v>
      </c>
      <c r="M771" s="3">
        <v>0</v>
      </c>
      <c r="N771">
        <v>1</v>
      </c>
      <c r="O771" s="4">
        <f t="shared" si="75"/>
        <v>1</v>
      </c>
      <c r="P771" s="5" t="str">
        <f t="shared" si="76"/>
        <v>Low engagement</v>
      </c>
      <c r="Q771" t="b">
        <v>0</v>
      </c>
      <c r="R771" t="b">
        <v>0</v>
      </c>
      <c r="S771" t="b">
        <v>0</v>
      </c>
      <c r="T771" s="24" t="str">
        <f t="shared" si="77"/>
        <v>Text only</v>
      </c>
    </row>
    <row r="772" spans="1:20" hidden="1" x14ac:dyDescent="0.2">
      <c r="A772" t="s">
        <v>3678</v>
      </c>
      <c r="B772" t="s">
        <v>2365</v>
      </c>
      <c r="C772" t="s">
        <v>2366</v>
      </c>
      <c r="D772" t="s">
        <v>3679</v>
      </c>
      <c r="E772" t="s">
        <v>3680</v>
      </c>
      <c r="F772" t="str">
        <f>IF(Table2[[#This Row],[Date posted]]&lt; DATE(2015,9,18),"Before Crisis","During Crisis")</f>
        <v>During Crisis</v>
      </c>
      <c r="G772" s="27">
        <f t="shared" si="72"/>
        <v>42299</v>
      </c>
      <c r="H772" s="7" t="str">
        <f t="shared" si="73"/>
        <v>17:28:44</v>
      </c>
      <c r="I772" s="8" t="str">
        <f t="shared" si="74"/>
        <v>Afternoon</v>
      </c>
      <c r="J772" t="s">
        <v>3681</v>
      </c>
      <c r="K772" t="s">
        <v>2370</v>
      </c>
      <c r="L772" s="3">
        <v>0</v>
      </c>
      <c r="M772" s="3">
        <v>0</v>
      </c>
      <c r="N772">
        <v>1</v>
      </c>
      <c r="O772" s="4">
        <f t="shared" si="75"/>
        <v>1</v>
      </c>
      <c r="P772" s="5" t="str">
        <f t="shared" si="76"/>
        <v>Low engagement</v>
      </c>
      <c r="Q772" t="b">
        <v>0</v>
      </c>
      <c r="R772" t="b">
        <v>0</v>
      </c>
      <c r="S772" t="b">
        <v>0</v>
      </c>
      <c r="T772" s="24" t="str">
        <f t="shared" si="77"/>
        <v>Text only</v>
      </c>
    </row>
    <row r="773" spans="1:20" hidden="1" x14ac:dyDescent="0.2">
      <c r="A773" t="s">
        <v>3675</v>
      </c>
      <c r="B773" t="s">
        <v>2365</v>
      </c>
      <c r="C773" t="s">
        <v>2366</v>
      </c>
      <c r="D773" t="s">
        <v>3676</v>
      </c>
      <c r="E773" t="s">
        <v>3677</v>
      </c>
      <c r="F773" t="str">
        <f>IF(Table2[[#This Row],[Date posted]]&lt; DATE(2015,9,18),"Before Crisis","During Crisis")</f>
        <v>During Crisis</v>
      </c>
      <c r="G773" s="27">
        <f t="shared" si="72"/>
        <v>42299</v>
      </c>
      <c r="H773" s="7" t="str">
        <f t="shared" si="73"/>
        <v>18:08:09</v>
      </c>
      <c r="I773" s="8" t="str">
        <f t="shared" si="74"/>
        <v>Evening</v>
      </c>
      <c r="J773" t="s">
        <v>3674</v>
      </c>
      <c r="K773" t="s">
        <v>2370</v>
      </c>
      <c r="L773">
        <v>1</v>
      </c>
      <c r="M773" s="3">
        <v>0</v>
      </c>
      <c r="N773">
        <v>1</v>
      </c>
      <c r="O773" s="4">
        <f t="shared" si="75"/>
        <v>2</v>
      </c>
      <c r="P773" s="5" t="str">
        <f t="shared" si="76"/>
        <v>Low engagement</v>
      </c>
      <c r="Q773" t="b">
        <v>0</v>
      </c>
      <c r="R773" t="b">
        <v>0</v>
      </c>
      <c r="S773" t="b">
        <v>0</v>
      </c>
      <c r="T773" s="24" t="str">
        <f t="shared" si="77"/>
        <v>Text only</v>
      </c>
    </row>
    <row r="774" spans="1:20" hidden="1" x14ac:dyDescent="0.2">
      <c r="A774" t="s">
        <v>3664</v>
      </c>
      <c r="B774" t="s">
        <v>2365</v>
      </c>
      <c r="C774" t="s">
        <v>2366</v>
      </c>
      <c r="D774" t="s">
        <v>3665</v>
      </c>
      <c r="E774" t="s">
        <v>3666</v>
      </c>
      <c r="F774" t="str">
        <f>IF(Table2[[#This Row],[Date posted]]&lt; DATE(2015,9,18),"Before Crisis","During Crisis")</f>
        <v>During Crisis</v>
      </c>
      <c r="G774" s="27">
        <f t="shared" si="72"/>
        <v>42299</v>
      </c>
      <c r="H774" s="7" t="str">
        <f t="shared" si="73"/>
        <v>18:45:36</v>
      </c>
      <c r="I774" s="8" t="str">
        <f t="shared" si="74"/>
        <v>Evening</v>
      </c>
      <c r="J774" t="s">
        <v>3667</v>
      </c>
      <c r="K774" t="s">
        <v>2370</v>
      </c>
      <c r="L774">
        <v>2</v>
      </c>
      <c r="M774" s="3">
        <v>0</v>
      </c>
      <c r="N774">
        <v>1</v>
      </c>
      <c r="O774" s="4">
        <f t="shared" si="75"/>
        <v>3</v>
      </c>
      <c r="P774" s="5" t="str">
        <f t="shared" si="76"/>
        <v>Low engagement</v>
      </c>
      <c r="Q774" t="b">
        <v>0</v>
      </c>
      <c r="R774" t="b">
        <v>0</v>
      </c>
      <c r="S774" t="b">
        <v>0</v>
      </c>
      <c r="T774" s="24" t="str">
        <f t="shared" si="77"/>
        <v>Text only</v>
      </c>
    </row>
    <row r="775" spans="1:20" hidden="1" x14ac:dyDescent="0.2">
      <c r="A775" t="s">
        <v>3668</v>
      </c>
      <c r="B775" t="s">
        <v>2365</v>
      </c>
      <c r="C775" t="s">
        <v>2366</v>
      </c>
      <c r="D775" t="s">
        <v>3669</v>
      </c>
      <c r="E775" t="s">
        <v>3666</v>
      </c>
      <c r="F775" t="str">
        <f>IF(Table2[[#This Row],[Date posted]]&lt; DATE(2015,9,18),"Before Crisis","During Crisis")</f>
        <v>During Crisis</v>
      </c>
      <c r="G775" s="27">
        <f t="shared" si="72"/>
        <v>42299</v>
      </c>
      <c r="H775" s="7" t="str">
        <f t="shared" si="73"/>
        <v>18:45:36</v>
      </c>
      <c r="I775" s="8" t="str">
        <f t="shared" si="74"/>
        <v>Evening</v>
      </c>
      <c r="J775" t="s">
        <v>3670</v>
      </c>
      <c r="K775" t="s">
        <v>2370</v>
      </c>
      <c r="L775" s="3">
        <v>0</v>
      </c>
      <c r="M775">
        <v>1</v>
      </c>
      <c r="N775">
        <v>1</v>
      </c>
      <c r="O775" s="4">
        <f t="shared" si="75"/>
        <v>2</v>
      </c>
      <c r="P775" s="5" t="str">
        <f t="shared" si="76"/>
        <v>Low engagement</v>
      </c>
      <c r="Q775" t="b">
        <v>0</v>
      </c>
      <c r="R775" t="b">
        <v>0</v>
      </c>
      <c r="S775" t="b">
        <v>0</v>
      </c>
      <c r="T775" s="24" t="str">
        <f t="shared" si="77"/>
        <v>Text only</v>
      </c>
    </row>
    <row r="776" spans="1:20" hidden="1" x14ac:dyDescent="0.2">
      <c r="A776" t="s">
        <v>3660</v>
      </c>
      <c r="B776" t="s">
        <v>2365</v>
      </c>
      <c r="C776" t="s">
        <v>2366</v>
      </c>
      <c r="D776" t="s">
        <v>3661</v>
      </c>
      <c r="E776" t="s">
        <v>3662</v>
      </c>
      <c r="F776" t="str">
        <f>IF(Table2[[#This Row],[Date posted]]&lt; DATE(2015,9,18),"Before Crisis","During Crisis")</f>
        <v>During Crisis</v>
      </c>
      <c r="G776" s="27">
        <f t="shared" si="72"/>
        <v>42299</v>
      </c>
      <c r="H776" s="7" t="str">
        <f t="shared" si="73"/>
        <v>21:06:42</v>
      </c>
      <c r="I776" s="8" t="str">
        <f t="shared" si="74"/>
        <v>Evening</v>
      </c>
      <c r="J776" t="s">
        <v>3663</v>
      </c>
      <c r="K776" t="s">
        <v>2370</v>
      </c>
      <c r="L776" s="3">
        <v>0</v>
      </c>
      <c r="M776" s="3">
        <v>0</v>
      </c>
      <c r="N776">
        <v>1</v>
      </c>
      <c r="O776" s="4">
        <f t="shared" si="75"/>
        <v>1</v>
      </c>
      <c r="P776" s="5" t="str">
        <f t="shared" si="76"/>
        <v>Low engagement</v>
      </c>
      <c r="Q776" t="b">
        <v>0</v>
      </c>
      <c r="R776" t="b">
        <v>0</v>
      </c>
      <c r="S776" t="b">
        <v>0</v>
      </c>
      <c r="T776" s="24" t="str">
        <f t="shared" si="77"/>
        <v>Text only</v>
      </c>
    </row>
    <row r="777" spans="1:20" hidden="1" x14ac:dyDescent="0.2">
      <c r="A777" t="s">
        <v>3657</v>
      </c>
      <c r="B777" t="s">
        <v>2365</v>
      </c>
      <c r="C777" t="s">
        <v>2366</v>
      </c>
      <c r="D777" t="s">
        <v>3658</v>
      </c>
      <c r="E777" t="s">
        <v>3659</v>
      </c>
      <c r="F777" t="str">
        <f>IF(Table2[[#This Row],[Date posted]]&lt; DATE(2015,9,18),"Before Crisis","During Crisis")</f>
        <v>During Crisis</v>
      </c>
      <c r="G777" s="27">
        <f t="shared" si="72"/>
        <v>42300</v>
      </c>
      <c r="H777" s="7" t="str">
        <f t="shared" si="73"/>
        <v>14:16:17</v>
      </c>
      <c r="I777" s="8" t="str">
        <f t="shared" si="74"/>
        <v>Afternoon</v>
      </c>
      <c r="J777" t="s">
        <v>3656</v>
      </c>
      <c r="K777" t="s">
        <v>2370</v>
      </c>
      <c r="L777" s="3">
        <v>0</v>
      </c>
      <c r="M777" s="3">
        <v>0</v>
      </c>
      <c r="N777">
        <v>1</v>
      </c>
      <c r="O777" s="4">
        <f t="shared" si="75"/>
        <v>1</v>
      </c>
      <c r="P777" s="5" t="str">
        <f t="shared" si="76"/>
        <v>Low engagement</v>
      </c>
      <c r="Q777" t="b">
        <v>0</v>
      </c>
      <c r="R777" t="b">
        <v>0</v>
      </c>
      <c r="S777" t="b">
        <v>0</v>
      </c>
      <c r="T777" s="24" t="str">
        <f t="shared" si="77"/>
        <v>Text only</v>
      </c>
    </row>
    <row r="778" spans="1:20" hidden="1" x14ac:dyDescent="0.2">
      <c r="A778" t="s">
        <v>3653</v>
      </c>
      <c r="B778" t="s">
        <v>2365</v>
      </c>
      <c r="C778" t="s">
        <v>2366</v>
      </c>
      <c r="D778" t="s">
        <v>3654</v>
      </c>
      <c r="E778" t="s">
        <v>3655</v>
      </c>
      <c r="F778" t="str">
        <f>IF(Table2[[#This Row],[Date posted]]&lt; DATE(2015,9,18),"Before Crisis","During Crisis")</f>
        <v>During Crisis</v>
      </c>
      <c r="G778" s="27">
        <f t="shared" si="72"/>
        <v>42300</v>
      </c>
      <c r="H778" s="7" t="str">
        <f t="shared" si="73"/>
        <v>14:16:18</v>
      </c>
      <c r="I778" s="8" t="str">
        <f t="shared" si="74"/>
        <v>Afternoon</v>
      </c>
      <c r="J778" t="s">
        <v>3656</v>
      </c>
      <c r="K778" t="s">
        <v>2370</v>
      </c>
      <c r="L778" s="3">
        <v>0</v>
      </c>
      <c r="M778">
        <v>1</v>
      </c>
      <c r="N778">
        <v>1</v>
      </c>
      <c r="O778" s="4">
        <f t="shared" si="75"/>
        <v>2</v>
      </c>
      <c r="P778" s="5" t="str">
        <f t="shared" si="76"/>
        <v>Low engagement</v>
      </c>
      <c r="Q778" t="b">
        <v>0</v>
      </c>
      <c r="R778" t="b">
        <v>0</v>
      </c>
      <c r="S778" t="b">
        <v>0</v>
      </c>
      <c r="T778" s="24" t="str">
        <f t="shared" si="77"/>
        <v>Text only</v>
      </c>
    </row>
    <row r="779" spans="1:20" hidden="1" x14ac:dyDescent="0.2">
      <c r="A779" t="s">
        <v>3645</v>
      </c>
      <c r="B779" t="s">
        <v>2365</v>
      </c>
      <c r="C779" t="s">
        <v>2366</v>
      </c>
      <c r="D779" t="s">
        <v>3646</v>
      </c>
      <c r="E779" t="s">
        <v>3647</v>
      </c>
      <c r="F779" t="str">
        <f>IF(Table2[[#This Row],[Date posted]]&lt; DATE(2015,9,18),"Before Crisis","During Crisis")</f>
        <v>During Crisis</v>
      </c>
      <c r="G779" s="27">
        <f t="shared" si="72"/>
        <v>42300</v>
      </c>
      <c r="H779" s="7" t="str">
        <f t="shared" si="73"/>
        <v>20:03:24</v>
      </c>
      <c r="I779" s="8" t="str">
        <f t="shared" si="74"/>
        <v>Evening</v>
      </c>
      <c r="J779" t="s">
        <v>3648</v>
      </c>
      <c r="K779" t="s">
        <v>2370</v>
      </c>
      <c r="L779">
        <v>1</v>
      </c>
      <c r="M779" s="3">
        <v>0</v>
      </c>
      <c r="N779">
        <v>1</v>
      </c>
      <c r="O779" s="4">
        <f t="shared" si="75"/>
        <v>2</v>
      </c>
      <c r="P779" s="5" t="str">
        <f t="shared" si="76"/>
        <v>Low engagement</v>
      </c>
      <c r="Q779" t="b">
        <v>0</v>
      </c>
      <c r="R779" t="b">
        <v>0</v>
      </c>
      <c r="S779" t="b">
        <v>0</v>
      </c>
      <c r="T779" s="24" t="str">
        <f t="shared" si="77"/>
        <v>Text only</v>
      </c>
    </row>
    <row r="780" spans="1:20" hidden="1" x14ac:dyDescent="0.2">
      <c r="A780" t="s">
        <v>3641</v>
      </c>
      <c r="B780" t="s">
        <v>2365</v>
      </c>
      <c r="C780" t="s">
        <v>2366</v>
      </c>
      <c r="D780" t="s">
        <v>3642</v>
      </c>
      <c r="E780" t="s">
        <v>3643</v>
      </c>
      <c r="F780" t="str">
        <f>IF(Table2[[#This Row],[Date posted]]&lt; DATE(2015,9,18),"Before Crisis","During Crisis")</f>
        <v>During Crisis</v>
      </c>
      <c r="G780" s="27">
        <f t="shared" si="72"/>
        <v>42303</v>
      </c>
      <c r="H780" s="7" t="str">
        <f t="shared" si="73"/>
        <v>16:50:10</v>
      </c>
      <c r="I780" s="8" t="str">
        <f t="shared" si="74"/>
        <v>Afternoon</v>
      </c>
      <c r="J780" t="s">
        <v>3644</v>
      </c>
      <c r="K780" t="s">
        <v>2370</v>
      </c>
      <c r="L780" s="3">
        <v>0</v>
      </c>
      <c r="M780" s="3">
        <v>0</v>
      </c>
      <c r="N780">
        <v>1</v>
      </c>
      <c r="O780" s="4">
        <f t="shared" si="75"/>
        <v>1</v>
      </c>
      <c r="P780" s="5" t="str">
        <f t="shared" si="76"/>
        <v>Low engagement</v>
      </c>
      <c r="Q780" t="b">
        <v>0</v>
      </c>
      <c r="R780" t="b">
        <v>0</v>
      </c>
      <c r="S780" t="b">
        <v>0</v>
      </c>
      <c r="T780" s="24" t="str">
        <f t="shared" si="77"/>
        <v>Text only</v>
      </c>
    </row>
    <row r="781" spans="1:20" hidden="1" x14ac:dyDescent="0.2">
      <c r="A781" t="s">
        <v>3629</v>
      </c>
      <c r="B781" t="s">
        <v>2365</v>
      </c>
      <c r="C781" t="s">
        <v>2366</v>
      </c>
      <c r="D781" t="s">
        <v>3630</v>
      </c>
      <c r="E781" t="s">
        <v>3631</v>
      </c>
      <c r="F781" t="str">
        <f>IF(Table2[[#This Row],[Date posted]]&lt; DATE(2015,9,18),"Before Crisis","During Crisis")</f>
        <v>During Crisis</v>
      </c>
      <c r="G781" s="27">
        <f t="shared" si="72"/>
        <v>42303</v>
      </c>
      <c r="H781" s="7" t="str">
        <f t="shared" si="73"/>
        <v>16:57:19</v>
      </c>
      <c r="I781" s="8" t="str">
        <f t="shared" si="74"/>
        <v>Afternoon</v>
      </c>
      <c r="J781" t="s">
        <v>3632</v>
      </c>
      <c r="K781" t="s">
        <v>2370</v>
      </c>
      <c r="L781" s="3">
        <v>0</v>
      </c>
      <c r="M781" s="3">
        <v>0</v>
      </c>
      <c r="N781">
        <v>1</v>
      </c>
      <c r="O781" s="4">
        <f t="shared" si="75"/>
        <v>1</v>
      </c>
      <c r="P781" s="5" t="str">
        <f t="shared" si="76"/>
        <v>Low engagement</v>
      </c>
      <c r="Q781" t="b">
        <v>0</v>
      </c>
      <c r="R781" t="b">
        <v>0</v>
      </c>
      <c r="S781" t="b">
        <v>0</v>
      </c>
      <c r="T781" s="24" t="str">
        <f t="shared" si="77"/>
        <v>Text only</v>
      </c>
    </row>
    <row r="782" spans="1:20" hidden="1" x14ac:dyDescent="0.2">
      <c r="A782" t="s">
        <v>3633</v>
      </c>
      <c r="B782" t="s">
        <v>2365</v>
      </c>
      <c r="C782" t="s">
        <v>2366</v>
      </c>
      <c r="D782" t="s">
        <v>3634</v>
      </c>
      <c r="E782" t="s">
        <v>3631</v>
      </c>
      <c r="F782" t="str">
        <f>IF(Table2[[#This Row],[Date posted]]&lt; DATE(2015,9,18),"Before Crisis","During Crisis")</f>
        <v>During Crisis</v>
      </c>
      <c r="G782" s="27">
        <f t="shared" si="72"/>
        <v>42303</v>
      </c>
      <c r="H782" s="7" t="str">
        <f t="shared" si="73"/>
        <v>16:57:19</v>
      </c>
      <c r="I782" s="8" t="str">
        <f t="shared" si="74"/>
        <v>Afternoon</v>
      </c>
      <c r="J782" t="s">
        <v>3632</v>
      </c>
      <c r="K782" t="s">
        <v>2370</v>
      </c>
      <c r="L782" s="3">
        <v>0</v>
      </c>
      <c r="M782" s="3">
        <v>0</v>
      </c>
      <c r="N782">
        <v>1</v>
      </c>
      <c r="O782" s="4">
        <f t="shared" si="75"/>
        <v>1</v>
      </c>
      <c r="P782" s="5" t="str">
        <f t="shared" si="76"/>
        <v>Low engagement</v>
      </c>
      <c r="Q782" t="b">
        <v>0</v>
      </c>
      <c r="R782" t="b">
        <v>0</v>
      </c>
      <c r="S782" t="b">
        <v>0</v>
      </c>
      <c r="T782" s="24" t="str">
        <f t="shared" si="77"/>
        <v>Text only</v>
      </c>
    </row>
    <row r="783" spans="1:20" hidden="1" x14ac:dyDescent="0.2">
      <c r="A783" t="s">
        <v>3626</v>
      </c>
      <c r="B783" t="s">
        <v>2365</v>
      </c>
      <c r="C783" t="s">
        <v>2366</v>
      </c>
      <c r="D783" t="s">
        <v>3627</v>
      </c>
      <c r="E783" t="s">
        <v>3628</v>
      </c>
      <c r="F783" t="str">
        <f>IF(Table2[[#This Row],[Date posted]]&lt; DATE(2015,9,18),"Before Crisis","During Crisis")</f>
        <v>During Crisis</v>
      </c>
      <c r="G783" s="27">
        <f t="shared" si="72"/>
        <v>42303</v>
      </c>
      <c r="H783" s="7" t="str">
        <f t="shared" si="73"/>
        <v>22:20:02</v>
      </c>
      <c r="I783" s="8" t="str">
        <f t="shared" si="74"/>
        <v>Evening</v>
      </c>
      <c r="J783" t="s">
        <v>2370</v>
      </c>
      <c r="K783" t="s">
        <v>2370</v>
      </c>
      <c r="L783" s="3">
        <v>0</v>
      </c>
      <c r="M783" s="3">
        <v>0</v>
      </c>
      <c r="N783">
        <v>1</v>
      </c>
      <c r="O783" s="4">
        <f t="shared" si="75"/>
        <v>1</v>
      </c>
      <c r="P783" s="5" t="str">
        <f t="shared" si="76"/>
        <v>Low engagement</v>
      </c>
      <c r="Q783" t="b">
        <v>0</v>
      </c>
      <c r="R783" t="b">
        <v>0</v>
      </c>
      <c r="S783" t="b">
        <v>0</v>
      </c>
      <c r="T783" s="24" t="str">
        <f t="shared" si="77"/>
        <v>Text only</v>
      </c>
    </row>
    <row r="784" spans="1:20" hidden="1" x14ac:dyDescent="0.2">
      <c r="A784" t="s">
        <v>3622</v>
      </c>
      <c r="B784" t="s">
        <v>2365</v>
      </c>
      <c r="C784" t="s">
        <v>2366</v>
      </c>
      <c r="D784" t="s">
        <v>3623</v>
      </c>
      <c r="E784" t="s">
        <v>3624</v>
      </c>
      <c r="F784" t="str">
        <f>IF(Table2[[#This Row],[Date posted]]&lt; DATE(2015,9,18),"Before Crisis","During Crisis")</f>
        <v>During Crisis</v>
      </c>
      <c r="G784" s="27">
        <f t="shared" si="72"/>
        <v>42303</v>
      </c>
      <c r="H784" s="7" t="str">
        <f t="shared" si="73"/>
        <v>22:26:27</v>
      </c>
      <c r="I784" s="8" t="str">
        <f t="shared" si="74"/>
        <v>Evening</v>
      </c>
      <c r="J784" t="s">
        <v>3625</v>
      </c>
      <c r="K784" t="s">
        <v>2370</v>
      </c>
      <c r="L784" s="3">
        <v>0</v>
      </c>
      <c r="M784" s="3">
        <v>0</v>
      </c>
      <c r="N784">
        <v>1</v>
      </c>
      <c r="O784" s="4">
        <f t="shared" si="75"/>
        <v>1</v>
      </c>
      <c r="P784" s="5" t="str">
        <f t="shared" si="76"/>
        <v>Low engagement</v>
      </c>
      <c r="Q784" t="b">
        <v>0</v>
      </c>
      <c r="R784" t="b">
        <v>0</v>
      </c>
      <c r="S784" t="b">
        <v>0</v>
      </c>
      <c r="T784" s="24" t="str">
        <f t="shared" si="77"/>
        <v>Text only</v>
      </c>
    </row>
    <row r="785" spans="1:20" hidden="1" x14ac:dyDescent="0.2">
      <c r="A785" t="s">
        <v>3619</v>
      </c>
      <c r="B785" t="s">
        <v>2365</v>
      </c>
      <c r="C785" t="s">
        <v>2366</v>
      </c>
      <c r="D785" t="s">
        <v>3620</v>
      </c>
      <c r="E785" t="s">
        <v>3621</v>
      </c>
      <c r="F785" t="str">
        <f>IF(Table2[[#This Row],[Date posted]]&lt; DATE(2015,9,18),"Before Crisis","During Crisis")</f>
        <v>During Crisis</v>
      </c>
      <c r="G785" s="27">
        <f t="shared" si="72"/>
        <v>42303</v>
      </c>
      <c r="H785" s="7" t="str">
        <f t="shared" si="73"/>
        <v>22:26:28</v>
      </c>
      <c r="I785" s="8" t="str">
        <f t="shared" si="74"/>
        <v>Evening</v>
      </c>
      <c r="J785" t="s">
        <v>3557</v>
      </c>
      <c r="K785" t="s">
        <v>2370</v>
      </c>
      <c r="L785" s="3">
        <v>0</v>
      </c>
      <c r="M785" s="3">
        <v>0</v>
      </c>
      <c r="N785">
        <v>1</v>
      </c>
      <c r="O785" s="4">
        <f t="shared" si="75"/>
        <v>1</v>
      </c>
      <c r="P785" s="5" t="str">
        <f t="shared" si="76"/>
        <v>Low engagement</v>
      </c>
      <c r="Q785" t="b">
        <v>0</v>
      </c>
      <c r="R785" t="b">
        <v>0</v>
      </c>
      <c r="S785" t="b">
        <v>0</v>
      </c>
      <c r="T785" s="24" t="str">
        <f t="shared" si="77"/>
        <v>Text only</v>
      </c>
    </row>
    <row r="786" spans="1:20" hidden="1" x14ac:dyDescent="0.2">
      <c r="A786" t="s">
        <v>3617</v>
      </c>
      <c r="B786" t="s">
        <v>2365</v>
      </c>
      <c r="C786" t="s">
        <v>2366</v>
      </c>
      <c r="D786" t="s">
        <v>3618</v>
      </c>
      <c r="E786" t="s">
        <v>3616</v>
      </c>
      <c r="F786" t="str">
        <f>IF(Table2[[#This Row],[Date posted]]&lt; DATE(2015,9,18),"Before Crisis","During Crisis")</f>
        <v>During Crisis</v>
      </c>
      <c r="G786" s="27">
        <f t="shared" si="72"/>
        <v>42303</v>
      </c>
      <c r="H786" s="7" t="str">
        <f t="shared" si="73"/>
        <v>22:26:29</v>
      </c>
      <c r="I786" s="8" t="str">
        <f t="shared" si="74"/>
        <v>Evening</v>
      </c>
      <c r="J786" t="s">
        <v>3549</v>
      </c>
      <c r="K786" t="s">
        <v>2370</v>
      </c>
      <c r="L786" s="3">
        <v>0</v>
      </c>
      <c r="M786">
        <v>1</v>
      </c>
      <c r="N786">
        <v>1</v>
      </c>
      <c r="O786" s="4">
        <f t="shared" si="75"/>
        <v>2</v>
      </c>
      <c r="P786" s="5" t="str">
        <f t="shared" si="76"/>
        <v>Low engagement</v>
      </c>
      <c r="Q786" t="b">
        <v>0</v>
      </c>
      <c r="R786" t="b">
        <v>0</v>
      </c>
      <c r="S786" t="b">
        <v>0</v>
      </c>
      <c r="T786" s="24" t="str">
        <f t="shared" si="77"/>
        <v>Text only</v>
      </c>
    </row>
    <row r="787" spans="1:20" hidden="1" x14ac:dyDescent="0.2">
      <c r="A787" t="s">
        <v>3611</v>
      </c>
      <c r="B787" t="s">
        <v>2365</v>
      </c>
      <c r="C787" t="s">
        <v>2366</v>
      </c>
      <c r="D787" t="s">
        <v>3612</v>
      </c>
      <c r="E787" t="s">
        <v>3613</v>
      </c>
      <c r="F787" t="str">
        <f>IF(Table2[[#This Row],[Date posted]]&lt; DATE(2015,9,18),"Before Crisis","During Crisis")</f>
        <v>During Crisis</v>
      </c>
      <c r="G787" s="27">
        <f t="shared" si="72"/>
        <v>42304</v>
      </c>
      <c r="H787" s="7" t="str">
        <f t="shared" si="73"/>
        <v>16:01:05</v>
      </c>
      <c r="I787" s="8" t="str">
        <f t="shared" si="74"/>
        <v>Afternoon</v>
      </c>
      <c r="J787" t="s">
        <v>3610</v>
      </c>
      <c r="K787" t="s">
        <v>2370</v>
      </c>
      <c r="L787">
        <v>1</v>
      </c>
      <c r="M787" s="3">
        <v>0</v>
      </c>
      <c r="N787">
        <v>1</v>
      </c>
      <c r="O787" s="4">
        <f t="shared" si="75"/>
        <v>2</v>
      </c>
      <c r="P787" s="5" t="str">
        <f t="shared" si="76"/>
        <v>Low engagement</v>
      </c>
      <c r="Q787" t="b">
        <v>0</v>
      </c>
      <c r="R787" t="b">
        <v>0</v>
      </c>
      <c r="S787" t="b">
        <v>0</v>
      </c>
      <c r="T787" s="24" t="str">
        <f t="shared" si="77"/>
        <v>Text only</v>
      </c>
    </row>
    <row r="788" spans="1:20" hidden="1" x14ac:dyDescent="0.2">
      <c r="A788" t="s">
        <v>3607</v>
      </c>
      <c r="B788" t="s">
        <v>2365</v>
      </c>
      <c r="C788" t="s">
        <v>2366</v>
      </c>
      <c r="D788" t="s">
        <v>3608</v>
      </c>
      <c r="E788" t="s">
        <v>3609</v>
      </c>
      <c r="F788" t="str">
        <f>IF(Table2[[#This Row],[Date posted]]&lt; DATE(2015,9,18),"Before Crisis","During Crisis")</f>
        <v>During Crisis</v>
      </c>
      <c r="G788" s="27">
        <f t="shared" si="72"/>
        <v>42304</v>
      </c>
      <c r="H788" s="7" t="str">
        <f t="shared" si="73"/>
        <v>16:01:06</v>
      </c>
      <c r="I788" s="8" t="str">
        <f t="shared" si="74"/>
        <v>Afternoon</v>
      </c>
      <c r="J788" t="s">
        <v>3610</v>
      </c>
      <c r="K788" t="s">
        <v>2370</v>
      </c>
      <c r="L788">
        <v>1</v>
      </c>
      <c r="M788" s="3">
        <v>0</v>
      </c>
      <c r="N788">
        <v>1</v>
      </c>
      <c r="O788" s="4">
        <f t="shared" si="75"/>
        <v>2</v>
      </c>
      <c r="P788" s="5" t="str">
        <f t="shared" si="76"/>
        <v>Low engagement</v>
      </c>
      <c r="Q788" t="b">
        <v>0</v>
      </c>
      <c r="R788" t="b">
        <v>0</v>
      </c>
      <c r="S788" t="b">
        <v>0</v>
      </c>
      <c r="T788" s="24" t="str">
        <f t="shared" si="77"/>
        <v>Text only</v>
      </c>
    </row>
    <row r="789" spans="1:20" hidden="1" x14ac:dyDescent="0.2">
      <c r="A789" t="s">
        <v>3572</v>
      </c>
      <c r="B789" t="s">
        <v>2365</v>
      </c>
      <c r="C789" t="s">
        <v>2366</v>
      </c>
      <c r="D789" t="s">
        <v>3573</v>
      </c>
      <c r="E789" t="s">
        <v>3574</v>
      </c>
      <c r="F789" t="str">
        <f>IF(Table2[[#This Row],[Date posted]]&lt; DATE(2015,9,18),"Before Crisis","During Crisis")</f>
        <v>During Crisis</v>
      </c>
      <c r="G789" s="27">
        <f t="shared" si="72"/>
        <v>42304</v>
      </c>
      <c r="H789" s="7" t="str">
        <f t="shared" si="73"/>
        <v>19:15:08</v>
      </c>
      <c r="I789" s="8" t="str">
        <f t="shared" si="74"/>
        <v>Evening</v>
      </c>
      <c r="J789" t="s">
        <v>3575</v>
      </c>
      <c r="K789" t="s">
        <v>2370</v>
      </c>
      <c r="L789" s="3">
        <v>0</v>
      </c>
      <c r="M789" s="3">
        <v>0</v>
      </c>
      <c r="N789">
        <v>1</v>
      </c>
      <c r="O789" s="4">
        <f t="shared" si="75"/>
        <v>1</v>
      </c>
      <c r="P789" s="5" t="str">
        <f t="shared" si="76"/>
        <v>Low engagement</v>
      </c>
      <c r="Q789" t="b">
        <v>0</v>
      </c>
      <c r="R789" t="b">
        <v>0</v>
      </c>
      <c r="S789" t="b">
        <v>0</v>
      </c>
      <c r="T789" s="24" t="str">
        <f t="shared" si="77"/>
        <v>Text only</v>
      </c>
    </row>
    <row r="790" spans="1:20" hidden="1" x14ac:dyDescent="0.2">
      <c r="A790" t="s">
        <v>3569</v>
      </c>
      <c r="B790" t="s">
        <v>2365</v>
      </c>
      <c r="C790" t="s">
        <v>2366</v>
      </c>
      <c r="D790" t="s">
        <v>3570</v>
      </c>
      <c r="E790" t="s">
        <v>3568</v>
      </c>
      <c r="F790" t="str">
        <f>IF(Table2[[#This Row],[Date posted]]&lt; DATE(2015,9,18),"Before Crisis","During Crisis")</f>
        <v>During Crisis</v>
      </c>
      <c r="G790" s="27">
        <f t="shared" si="72"/>
        <v>42304</v>
      </c>
      <c r="H790" s="7" t="str">
        <f t="shared" si="73"/>
        <v>19:22:23</v>
      </c>
      <c r="I790" s="8" t="str">
        <f t="shared" si="74"/>
        <v>Evening</v>
      </c>
      <c r="J790" t="s">
        <v>3571</v>
      </c>
      <c r="K790" t="s">
        <v>2370</v>
      </c>
      <c r="L790" s="3">
        <v>0</v>
      </c>
      <c r="M790" s="3">
        <v>0</v>
      </c>
      <c r="N790">
        <v>1</v>
      </c>
      <c r="O790" s="4">
        <f t="shared" si="75"/>
        <v>1</v>
      </c>
      <c r="P790" s="5" t="str">
        <f t="shared" si="76"/>
        <v>Low engagement</v>
      </c>
      <c r="Q790" t="b">
        <v>0</v>
      </c>
      <c r="R790" t="b">
        <v>0</v>
      </c>
      <c r="S790" t="b">
        <v>0</v>
      </c>
      <c r="T790" s="24" t="str">
        <f t="shared" si="77"/>
        <v>Text only</v>
      </c>
    </row>
    <row r="791" spans="1:20" hidden="1" x14ac:dyDescent="0.2">
      <c r="A791" t="s">
        <v>3562</v>
      </c>
      <c r="B791" t="s">
        <v>2365</v>
      </c>
      <c r="C791" t="s">
        <v>2366</v>
      </c>
      <c r="D791" t="s">
        <v>3563</v>
      </c>
      <c r="E791" t="s">
        <v>3564</v>
      </c>
      <c r="F791" t="str">
        <f>IF(Table2[[#This Row],[Date posted]]&lt; DATE(2015,9,18),"Before Crisis","During Crisis")</f>
        <v>During Crisis</v>
      </c>
      <c r="G791" s="27">
        <f t="shared" si="72"/>
        <v>42304</v>
      </c>
      <c r="H791" s="7" t="str">
        <f t="shared" si="73"/>
        <v>19:22:24</v>
      </c>
      <c r="I791" s="8" t="str">
        <f t="shared" si="74"/>
        <v>Evening</v>
      </c>
      <c r="J791" t="s">
        <v>3565</v>
      </c>
      <c r="K791" t="s">
        <v>2370</v>
      </c>
      <c r="L791" s="3">
        <v>0</v>
      </c>
      <c r="M791" s="3">
        <v>0</v>
      </c>
      <c r="N791">
        <v>1</v>
      </c>
      <c r="O791" s="4">
        <f t="shared" si="75"/>
        <v>1</v>
      </c>
      <c r="P791" s="5" t="str">
        <f t="shared" si="76"/>
        <v>Low engagement</v>
      </c>
      <c r="Q791" t="b">
        <v>0</v>
      </c>
      <c r="R791" t="b">
        <v>0</v>
      </c>
      <c r="S791" t="b">
        <v>0</v>
      </c>
      <c r="T791" s="24" t="str">
        <f t="shared" si="77"/>
        <v>Text only</v>
      </c>
    </row>
    <row r="792" spans="1:20" hidden="1" x14ac:dyDescent="0.2">
      <c r="A792" t="s">
        <v>3558</v>
      </c>
      <c r="B792" t="s">
        <v>2365</v>
      </c>
      <c r="C792" t="s">
        <v>2366</v>
      </c>
      <c r="D792" t="s">
        <v>3559</v>
      </c>
      <c r="E792" t="s">
        <v>3560</v>
      </c>
      <c r="F792" t="str">
        <f>IF(Table2[[#This Row],[Date posted]]&lt; DATE(2015,9,18),"Before Crisis","During Crisis")</f>
        <v>During Crisis</v>
      </c>
      <c r="G792" s="27">
        <f t="shared" si="72"/>
        <v>42304</v>
      </c>
      <c r="H792" s="7" t="str">
        <f t="shared" si="73"/>
        <v>19:25:43</v>
      </c>
      <c r="I792" s="8" t="str">
        <f t="shared" si="74"/>
        <v>Evening</v>
      </c>
      <c r="J792" t="s">
        <v>3561</v>
      </c>
      <c r="K792" t="s">
        <v>2370</v>
      </c>
      <c r="L792" s="3">
        <v>0</v>
      </c>
      <c r="M792">
        <v>1</v>
      </c>
      <c r="N792">
        <v>1</v>
      </c>
      <c r="O792" s="4">
        <f t="shared" si="75"/>
        <v>2</v>
      </c>
      <c r="P792" s="5" t="str">
        <f t="shared" si="76"/>
        <v>Low engagement</v>
      </c>
      <c r="Q792" t="b">
        <v>0</v>
      </c>
      <c r="R792" t="b">
        <v>0</v>
      </c>
      <c r="S792" t="b">
        <v>1</v>
      </c>
      <c r="T792" s="24" t="str">
        <f t="shared" si="77"/>
        <v>Link</v>
      </c>
    </row>
    <row r="793" spans="1:20" hidden="1" x14ac:dyDescent="0.2">
      <c r="A793" t="s">
        <v>3550</v>
      </c>
      <c r="B793" t="s">
        <v>2365</v>
      </c>
      <c r="C793" t="s">
        <v>2366</v>
      </c>
      <c r="D793" t="s">
        <v>3551</v>
      </c>
      <c r="E793" t="s">
        <v>3552</v>
      </c>
      <c r="F793" t="str">
        <f>IF(Table2[[#This Row],[Date posted]]&lt; DATE(2015,9,18),"Before Crisis","During Crisis")</f>
        <v>During Crisis</v>
      </c>
      <c r="G793" s="27">
        <f t="shared" si="72"/>
        <v>42305</v>
      </c>
      <c r="H793" s="7" t="str">
        <f t="shared" si="73"/>
        <v>14:48:16</v>
      </c>
      <c r="I793" s="8" t="str">
        <f t="shared" si="74"/>
        <v>Afternoon</v>
      </c>
      <c r="J793" t="s">
        <v>3553</v>
      </c>
      <c r="K793" t="s">
        <v>2370</v>
      </c>
      <c r="L793" s="3">
        <v>0</v>
      </c>
      <c r="M793" s="3">
        <v>0</v>
      </c>
      <c r="N793">
        <v>1</v>
      </c>
      <c r="O793" s="4">
        <f t="shared" si="75"/>
        <v>1</v>
      </c>
      <c r="P793" s="5" t="str">
        <f t="shared" si="76"/>
        <v>Low engagement</v>
      </c>
      <c r="Q793" t="b">
        <v>0</v>
      </c>
      <c r="R793" t="b">
        <v>0</v>
      </c>
      <c r="S793" t="b">
        <v>0</v>
      </c>
      <c r="T793" s="24" t="str">
        <f t="shared" si="77"/>
        <v>Text only</v>
      </c>
    </row>
    <row r="794" spans="1:20" hidden="1" x14ac:dyDescent="0.2">
      <c r="A794" t="s">
        <v>3540</v>
      </c>
      <c r="B794" t="s">
        <v>2365</v>
      </c>
      <c r="C794" t="s">
        <v>2366</v>
      </c>
      <c r="D794" t="s">
        <v>3541</v>
      </c>
      <c r="E794" t="s">
        <v>3542</v>
      </c>
      <c r="F794" t="str">
        <f>IF(Table2[[#This Row],[Date posted]]&lt; DATE(2015,9,18),"Before Crisis","During Crisis")</f>
        <v>During Crisis</v>
      </c>
      <c r="G794" s="27">
        <f t="shared" si="72"/>
        <v>42305</v>
      </c>
      <c r="H794" s="7" t="str">
        <f t="shared" si="73"/>
        <v>20:22:45</v>
      </c>
      <c r="I794" s="8" t="str">
        <f t="shared" si="74"/>
        <v>Evening</v>
      </c>
      <c r="J794" t="s">
        <v>3543</v>
      </c>
      <c r="K794" t="s">
        <v>2370</v>
      </c>
      <c r="L794" s="3">
        <v>0</v>
      </c>
      <c r="M794">
        <v>1</v>
      </c>
      <c r="N794">
        <v>1</v>
      </c>
      <c r="O794" s="4">
        <f t="shared" si="75"/>
        <v>2</v>
      </c>
      <c r="P794" s="5" t="str">
        <f t="shared" si="76"/>
        <v>Low engagement</v>
      </c>
      <c r="Q794" t="b">
        <v>0</v>
      </c>
      <c r="R794" t="b">
        <v>0</v>
      </c>
      <c r="S794" t="b">
        <v>0</v>
      </c>
      <c r="T794" s="24" t="str">
        <f t="shared" si="77"/>
        <v>Text only</v>
      </c>
    </row>
    <row r="795" spans="1:20" hidden="1" x14ac:dyDescent="0.2">
      <c r="A795" t="s">
        <v>3533</v>
      </c>
      <c r="B795" t="s">
        <v>2365</v>
      </c>
      <c r="C795" t="s">
        <v>2366</v>
      </c>
      <c r="D795" t="s">
        <v>3534</v>
      </c>
      <c r="E795" t="s">
        <v>3535</v>
      </c>
      <c r="F795" t="str">
        <f>IF(Table2[[#This Row],[Date posted]]&lt; DATE(2015,9,18),"Before Crisis","During Crisis")</f>
        <v>During Crisis</v>
      </c>
      <c r="G795" s="27">
        <f t="shared" si="72"/>
        <v>42306</v>
      </c>
      <c r="H795" s="7" t="str">
        <f t="shared" si="73"/>
        <v>14:09:42</v>
      </c>
      <c r="I795" s="8" t="str">
        <f t="shared" si="74"/>
        <v>Afternoon</v>
      </c>
      <c r="J795" t="s">
        <v>3536</v>
      </c>
      <c r="K795" t="s">
        <v>2370</v>
      </c>
      <c r="L795" s="3">
        <v>0</v>
      </c>
      <c r="M795">
        <v>1</v>
      </c>
      <c r="N795">
        <v>1</v>
      </c>
      <c r="O795" s="4">
        <f t="shared" si="75"/>
        <v>2</v>
      </c>
      <c r="P795" s="5" t="str">
        <f t="shared" si="76"/>
        <v>Low engagement</v>
      </c>
      <c r="Q795" t="b">
        <v>0</v>
      </c>
      <c r="R795" t="b">
        <v>0</v>
      </c>
      <c r="S795" t="b">
        <v>1</v>
      </c>
      <c r="T795" s="24" t="str">
        <f t="shared" si="77"/>
        <v>Link</v>
      </c>
    </row>
    <row r="796" spans="1:20" hidden="1" x14ac:dyDescent="0.2">
      <c r="A796" t="s">
        <v>3529</v>
      </c>
      <c r="B796" t="s">
        <v>2365</v>
      </c>
      <c r="C796" t="s">
        <v>2366</v>
      </c>
      <c r="D796" t="s">
        <v>3530</v>
      </c>
      <c r="E796" t="s">
        <v>3531</v>
      </c>
      <c r="F796" t="str">
        <f>IF(Table2[[#This Row],[Date posted]]&lt; DATE(2015,9,18),"Before Crisis","During Crisis")</f>
        <v>During Crisis</v>
      </c>
      <c r="G796" s="27">
        <f t="shared" si="72"/>
        <v>42306</v>
      </c>
      <c r="H796" s="7" t="str">
        <f t="shared" si="73"/>
        <v>14:09:43</v>
      </c>
      <c r="I796" s="8" t="str">
        <f t="shared" si="74"/>
        <v>Afternoon</v>
      </c>
      <c r="J796" t="s">
        <v>3532</v>
      </c>
      <c r="K796" t="s">
        <v>2370</v>
      </c>
      <c r="L796" s="3">
        <v>0</v>
      </c>
      <c r="M796" s="3">
        <v>0</v>
      </c>
      <c r="N796">
        <v>1</v>
      </c>
      <c r="O796" s="4">
        <f t="shared" si="75"/>
        <v>1</v>
      </c>
      <c r="P796" s="5" t="str">
        <f t="shared" si="76"/>
        <v>Low engagement</v>
      </c>
      <c r="Q796" t="b">
        <v>0</v>
      </c>
      <c r="R796" t="b">
        <v>0</v>
      </c>
      <c r="S796" t="b">
        <v>0</v>
      </c>
      <c r="T796" s="24" t="str">
        <f t="shared" si="77"/>
        <v>Text only</v>
      </c>
    </row>
    <row r="797" spans="1:20" hidden="1" x14ac:dyDescent="0.2">
      <c r="A797" t="s">
        <v>3526</v>
      </c>
      <c r="B797" t="s">
        <v>2365</v>
      </c>
      <c r="C797" t="s">
        <v>2366</v>
      </c>
      <c r="D797" t="s">
        <v>3527</v>
      </c>
      <c r="E797" t="s">
        <v>3528</v>
      </c>
      <c r="F797" t="str">
        <f>IF(Table2[[#This Row],[Date posted]]&lt; DATE(2015,9,18),"Before Crisis","During Crisis")</f>
        <v>During Crisis</v>
      </c>
      <c r="G797" s="27">
        <f t="shared" si="72"/>
        <v>42306</v>
      </c>
      <c r="H797" s="7" t="str">
        <f t="shared" si="73"/>
        <v>17:17:59</v>
      </c>
      <c r="I797" s="8" t="str">
        <f t="shared" si="74"/>
        <v>Afternoon</v>
      </c>
      <c r="J797" t="s">
        <v>3525</v>
      </c>
      <c r="K797" t="s">
        <v>2370</v>
      </c>
      <c r="L797" s="3">
        <v>0</v>
      </c>
      <c r="M797" s="3">
        <v>0</v>
      </c>
      <c r="N797">
        <v>1</v>
      </c>
      <c r="O797" s="4">
        <f t="shared" si="75"/>
        <v>1</v>
      </c>
      <c r="P797" s="5" t="str">
        <f t="shared" si="76"/>
        <v>Low engagement</v>
      </c>
      <c r="Q797" t="b">
        <v>0</v>
      </c>
      <c r="R797" t="b">
        <v>0</v>
      </c>
      <c r="S797" t="b">
        <v>0</v>
      </c>
      <c r="T797" s="24" t="str">
        <f t="shared" si="77"/>
        <v>Text only</v>
      </c>
    </row>
    <row r="798" spans="1:20" hidden="1" x14ac:dyDescent="0.2">
      <c r="A798" t="s">
        <v>3522</v>
      </c>
      <c r="B798" t="s">
        <v>2365</v>
      </c>
      <c r="C798" t="s">
        <v>2366</v>
      </c>
      <c r="D798" t="s">
        <v>3523</v>
      </c>
      <c r="E798" t="s">
        <v>3524</v>
      </c>
      <c r="F798" t="str">
        <f>IF(Table2[[#This Row],[Date posted]]&lt; DATE(2015,9,18),"Before Crisis","During Crisis")</f>
        <v>During Crisis</v>
      </c>
      <c r="G798" s="27">
        <f t="shared" si="72"/>
        <v>42306</v>
      </c>
      <c r="H798" s="7" t="str">
        <f t="shared" si="73"/>
        <v>17:18:00</v>
      </c>
      <c r="I798" s="8" t="str">
        <f t="shared" si="74"/>
        <v>Afternoon</v>
      </c>
      <c r="J798" t="s">
        <v>3525</v>
      </c>
      <c r="K798" t="s">
        <v>2370</v>
      </c>
      <c r="L798" s="3">
        <v>0</v>
      </c>
      <c r="M798" s="3">
        <v>0</v>
      </c>
      <c r="N798">
        <v>1</v>
      </c>
      <c r="O798" s="4">
        <f t="shared" si="75"/>
        <v>1</v>
      </c>
      <c r="P798" s="5" t="str">
        <f t="shared" si="76"/>
        <v>Low engagement</v>
      </c>
      <c r="Q798" t="b">
        <v>0</v>
      </c>
      <c r="R798" t="b">
        <v>0</v>
      </c>
      <c r="S798" t="b">
        <v>0</v>
      </c>
      <c r="T798" s="24" t="str">
        <f t="shared" si="77"/>
        <v>Text only</v>
      </c>
    </row>
    <row r="799" spans="1:20" hidden="1" x14ac:dyDescent="0.2">
      <c r="A799" t="s">
        <v>3519</v>
      </c>
      <c r="B799" t="s">
        <v>2365</v>
      </c>
      <c r="C799" t="s">
        <v>2366</v>
      </c>
      <c r="D799" t="s">
        <v>3520</v>
      </c>
      <c r="E799" t="s">
        <v>3521</v>
      </c>
      <c r="F799" t="str">
        <f>IF(Table2[[#This Row],[Date posted]]&lt; DATE(2015,9,18),"Before Crisis","During Crisis")</f>
        <v>During Crisis</v>
      </c>
      <c r="G799" s="27">
        <f t="shared" si="72"/>
        <v>42306</v>
      </c>
      <c r="H799" s="7" t="str">
        <f t="shared" si="73"/>
        <v>18:02:09</v>
      </c>
      <c r="I799" s="8" t="str">
        <f t="shared" si="74"/>
        <v>Evening</v>
      </c>
      <c r="J799" t="s">
        <v>3518</v>
      </c>
      <c r="K799" t="s">
        <v>2370</v>
      </c>
      <c r="L799" s="3">
        <v>0</v>
      </c>
      <c r="M799" s="3">
        <v>0</v>
      </c>
      <c r="N799">
        <v>1</v>
      </c>
      <c r="O799" s="4">
        <f t="shared" si="75"/>
        <v>1</v>
      </c>
      <c r="P799" s="5" t="str">
        <f t="shared" si="76"/>
        <v>Low engagement</v>
      </c>
      <c r="Q799" t="b">
        <v>0</v>
      </c>
      <c r="R799" t="b">
        <v>0</v>
      </c>
      <c r="S799" t="b">
        <v>0</v>
      </c>
      <c r="T799" s="24" t="str">
        <f t="shared" si="77"/>
        <v>Text only</v>
      </c>
    </row>
    <row r="800" spans="1:20" hidden="1" x14ac:dyDescent="0.2">
      <c r="A800" t="s">
        <v>3515</v>
      </c>
      <c r="B800" t="s">
        <v>2365</v>
      </c>
      <c r="C800" t="s">
        <v>2366</v>
      </c>
      <c r="D800" t="s">
        <v>3516</v>
      </c>
      <c r="E800" t="s">
        <v>3517</v>
      </c>
      <c r="F800" t="str">
        <f>IF(Table2[[#This Row],[Date posted]]&lt; DATE(2015,9,18),"Before Crisis","During Crisis")</f>
        <v>During Crisis</v>
      </c>
      <c r="G800" s="27">
        <f t="shared" si="72"/>
        <v>42306</v>
      </c>
      <c r="H800" s="7" t="str">
        <f t="shared" si="73"/>
        <v>18:02:10</v>
      </c>
      <c r="I800" s="8" t="str">
        <f t="shared" si="74"/>
        <v>Evening</v>
      </c>
      <c r="J800" t="s">
        <v>3518</v>
      </c>
      <c r="K800" t="s">
        <v>2370</v>
      </c>
      <c r="L800" s="3">
        <v>0</v>
      </c>
      <c r="M800" s="3">
        <v>0</v>
      </c>
      <c r="N800">
        <v>1</v>
      </c>
      <c r="O800" s="4">
        <f t="shared" si="75"/>
        <v>1</v>
      </c>
      <c r="P800" s="5" t="str">
        <f t="shared" si="76"/>
        <v>Low engagement</v>
      </c>
      <c r="Q800" t="b">
        <v>0</v>
      </c>
      <c r="R800" t="b">
        <v>0</v>
      </c>
      <c r="S800" t="b">
        <v>0</v>
      </c>
      <c r="T800" s="24" t="str">
        <f t="shared" si="77"/>
        <v>Text only</v>
      </c>
    </row>
    <row r="801" spans="1:20" hidden="1" x14ac:dyDescent="0.2">
      <c r="A801" t="s">
        <v>3512</v>
      </c>
      <c r="B801" t="s">
        <v>2365</v>
      </c>
      <c r="C801" t="s">
        <v>2366</v>
      </c>
      <c r="D801" t="s">
        <v>3513</v>
      </c>
      <c r="E801" t="s">
        <v>3514</v>
      </c>
      <c r="F801" t="str">
        <f>IF(Table2[[#This Row],[Date posted]]&lt; DATE(2015,9,18),"Before Crisis","During Crisis")</f>
        <v>During Crisis</v>
      </c>
      <c r="G801" s="27">
        <f t="shared" si="72"/>
        <v>42306</v>
      </c>
      <c r="H801" s="7" t="str">
        <f t="shared" si="73"/>
        <v>19:14:43</v>
      </c>
      <c r="I801" s="8" t="str">
        <f t="shared" si="74"/>
        <v>Evening</v>
      </c>
      <c r="J801" t="s">
        <v>2370</v>
      </c>
      <c r="K801" t="s">
        <v>2370</v>
      </c>
      <c r="L801" s="3">
        <v>0</v>
      </c>
      <c r="M801" s="3">
        <v>0</v>
      </c>
      <c r="N801">
        <v>1</v>
      </c>
      <c r="O801" s="4">
        <f t="shared" si="75"/>
        <v>1</v>
      </c>
      <c r="P801" s="5" t="str">
        <f t="shared" si="76"/>
        <v>Low engagement</v>
      </c>
      <c r="Q801" t="b">
        <v>0</v>
      </c>
      <c r="R801" t="b">
        <v>0</v>
      </c>
      <c r="S801" t="b">
        <v>0</v>
      </c>
      <c r="T801" s="24" t="str">
        <f t="shared" si="77"/>
        <v>Text only</v>
      </c>
    </row>
    <row r="802" spans="1:20" hidden="1" x14ac:dyDescent="0.2">
      <c r="A802" t="s">
        <v>3509</v>
      </c>
      <c r="B802" t="s">
        <v>2365</v>
      </c>
      <c r="C802" t="s">
        <v>2366</v>
      </c>
      <c r="D802" t="s">
        <v>3510</v>
      </c>
      <c r="E802" t="s">
        <v>3511</v>
      </c>
      <c r="F802" t="str">
        <f>IF(Table2[[#This Row],[Date posted]]&lt; DATE(2015,9,18),"Before Crisis","During Crisis")</f>
        <v>During Crisis</v>
      </c>
      <c r="G802" s="27">
        <f t="shared" si="72"/>
        <v>42307</v>
      </c>
      <c r="H802" s="7" t="str">
        <f t="shared" si="73"/>
        <v>16:18:20</v>
      </c>
      <c r="I802" s="8" t="str">
        <f t="shared" si="74"/>
        <v>Afternoon</v>
      </c>
      <c r="J802" t="s">
        <v>2370</v>
      </c>
      <c r="K802" t="s">
        <v>2370</v>
      </c>
      <c r="L802" s="3">
        <v>0</v>
      </c>
      <c r="M802" s="3">
        <v>0</v>
      </c>
      <c r="N802">
        <v>1</v>
      </c>
      <c r="O802" s="4">
        <f t="shared" si="75"/>
        <v>1</v>
      </c>
      <c r="P802" s="5" t="str">
        <f t="shared" si="76"/>
        <v>Low engagement</v>
      </c>
      <c r="Q802" t="b">
        <v>0</v>
      </c>
      <c r="R802" t="b">
        <v>0</v>
      </c>
      <c r="S802" t="b">
        <v>0</v>
      </c>
      <c r="T802" s="24" t="str">
        <f t="shared" si="77"/>
        <v>Text only</v>
      </c>
    </row>
    <row r="803" spans="1:20" hidden="1" x14ac:dyDescent="0.2">
      <c r="A803" t="s">
        <v>3506</v>
      </c>
      <c r="B803" t="s">
        <v>2365</v>
      </c>
      <c r="C803" t="s">
        <v>2366</v>
      </c>
      <c r="D803" t="s">
        <v>3507</v>
      </c>
      <c r="E803" t="s">
        <v>3508</v>
      </c>
      <c r="F803" t="str">
        <f>IF(Table2[[#This Row],[Date posted]]&lt; DATE(2015,9,18),"Before Crisis","During Crisis")</f>
        <v>During Crisis</v>
      </c>
      <c r="G803" s="27">
        <f t="shared" si="72"/>
        <v>42307</v>
      </c>
      <c r="H803" s="7" t="str">
        <f t="shared" si="73"/>
        <v>16:18:21</v>
      </c>
      <c r="I803" s="8" t="str">
        <f t="shared" si="74"/>
        <v>Afternoon</v>
      </c>
      <c r="J803" t="s">
        <v>2370</v>
      </c>
      <c r="K803" t="s">
        <v>2370</v>
      </c>
      <c r="L803" s="3">
        <v>0</v>
      </c>
      <c r="M803" s="3">
        <v>0</v>
      </c>
      <c r="N803">
        <v>1</v>
      </c>
      <c r="O803" s="4">
        <f t="shared" si="75"/>
        <v>1</v>
      </c>
      <c r="P803" s="5" t="str">
        <f t="shared" si="76"/>
        <v>Low engagement</v>
      </c>
      <c r="Q803" t="b">
        <v>0</v>
      </c>
      <c r="R803" t="b">
        <v>0</v>
      </c>
      <c r="S803" t="b">
        <v>0</v>
      </c>
      <c r="T803" s="24" t="str">
        <f t="shared" si="77"/>
        <v>Text only</v>
      </c>
    </row>
    <row r="804" spans="1:20" hidden="1" x14ac:dyDescent="0.2">
      <c r="A804" t="s">
        <v>3502</v>
      </c>
      <c r="B804" t="s">
        <v>2365</v>
      </c>
      <c r="C804" t="s">
        <v>2366</v>
      </c>
      <c r="D804" t="s">
        <v>3503</v>
      </c>
      <c r="E804" t="s">
        <v>3504</v>
      </c>
      <c r="F804" t="str">
        <f>IF(Table2[[#This Row],[Date posted]]&lt; DATE(2015,9,18),"Before Crisis","During Crisis")</f>
        <v>During Crisis</v>
      </c>
      <c r="G804" s="27">
        <f t="shared" si="72"/>
        <v>42307</v>
      </c>
      <c r="H804" s="7" t="str">
        <f t="shared" si="73"/>
        <v>16:21:49</v>
      </c>
      <c r="I804" s="8" t="str">
        <f t="shared" si="74"/>
        <v>Afternoon</v>
      </c>
      <c r="J804" t="s">
        <v>3505</v>
      </c>
      <c r="K804" t="s">
        <v>2370</v>
      </c>
      <c r="L804" s="3">
        <v>0</v>
      </c>
      <c r="M804">
        <v>1</v>
      </c>
      <c r="N804">
        <v>1</v>
      </c>
      <c r="O804" s="4">
        <f t="shared" si="75"/>
        <v>2</v>
      </c>
      <c r="P804" s="5" t="str">
        <f t="shared" si="76"/>
        <v>Low engagement</v>
      </c>
      <c r="Q804" t="b">
        <v>0</v>
      </c>
      <c r="R804" t="b">
        <v>0</v>
      </c>
      <c r="S804" t="b">
        <v>1</v>
      </c>
      <c r="T804" s="24" t="str">
        <f t="shared" si="77"/>
        <v>Link</v>
      </c>
    </row>
    <row r="805" spans="1:20" hidden="1" x14ac:dyDescent="0.2">
      <c r="A805" t="s">
        <v>3500</v>
      </c>
      <c r="B805" t="s">
        <v>2365</v>
      </c>
      <c r="C805" t="s">
        <v>2366</v>
      </c>
      <c r="D805" t="s">
        <v>3501</v>
      </c>
      <c r="E805" t="s">
        <v>3498</v>
      </c>
      <c r="F805" t="str">
        <f>IF(Table2[[#This Row],[Date posted]]&lt; DATE(2015,9,18),"Before Crisis","During Crisis")</f>
        <v>During Crisis</v>
      </c>
      <c r="G805" s="27">
        <f t="shared" si="72"/>
        <v>42307</v>
      </c>
      <c r="H805" s="7" t="str">
        <f t="shared" si="73"/>
        <v>16:32:44</v>
      </c>
      <c r="I805" s="8" t="str">
        <f t="shared" si="74"/>
        <v>Afternoon</v>
      </c>
      <c r="J805" t="s">
        <v>3499</v>
      </c>
      <c r="K805" t="s">
        <v>2370</v>
      </c>
      <c r="L805" s="3">
        <v>0</v>
      </c>
      <c r="M805" s="3">
        <v>0</v>
      </c>
      <c r="N805">
        <v>1</v>
      </c>
      <c r="O805" s="4">
        <f t="shared" si="75"/>
        <v>1</v>
      </c>
      <c r="P805" s="5" t="str">
        <f t="shared" si="76"/>
        <v>Low engagement</v>
      </c>
      <c r="Q805" t="b">
        <v>0</v>
      </c>
      <c r="R805" t="b">
        <v>0</v>
      </c>
      <c r="S805" t="b">
        <v>0</v>
      </c>
      <c r="T805" s="24" t="str">
        <f t="shared" si="77"/>
        <v>Text only</v>
      </c>
    </row>
    <row r="806" spans="1:20" hidden="1" x14ac:dyDescent="0.2">
      <c r="A806" t="s">
        <v>3490</v>
      </c>
      <c r="B806" t="s">
        <v>2365</v>
      </c>
      <c r="C806" t="s">
        <v>2366</v>
      </c>
      <c r="D806" t="s">
        <v>3491</v>
      </c>
      <c r="E806" t="s">
        <v>3492</v>
      </c>
      <c r="F806" t="str">
        <f>IF(Table2[[#This Row],[Date posted]]&lt; DATE(2015,9,18),"Before Crisis","During Crisis")</f>
        <v>During Crisis</v>
      </c>
      <c r="G806" s="27">
        <f t="shared" si="72"/>
        <v>42307</v>
      </c>
      <c r="H806" s="7" t="str">
        <f t="shared" si="73"/>
        <v>16:32:45</v>
      </c>
      <c r="I806" s="8" t="str">
        <f t="shared" si="74"/>
        <v>Afternoon</v>
      </c>
      <c r="J806" t="s">
        <v>3493</v>
      </c>
      <c r="K806" t="s">
        <v>2370</v>
      </c>
      <c r="L806" s="3">
        <v>0</v>
      </c>
      <c r="M806" s="3">
        <v>0</v>
      </c>
      <c r="N806">
        <v>1</v>
      </c>
      <c r="O806" s="4">
        <f t="shared" si="75"/>
        <v>1</v>
      </c>
      <c r="P806" s="5" t="str">
        <f t="shared" si="76"/>
        <v>Low engagement</v>
      </c>
      <c r="Q806" t="b">
        <v>0</v>
      </c>
      <c r="R806" t="b">
        <v>0</v>
      </c>
      <c r="S806" t="b">
        <v>0</v>
      </c>
      <c r="T806" s="24" t="str">
        <f t="shared" si="77"/>
        <v>Text only</v>
      </c>
    </row>
    <row r="807" spans="1:20" hidden="1" x14ac:dyDescent="0.2">
      <c r="A807" t="s">
        <v>3494</v>
      </c>
      <c r="B807" t="s">
        <v>2365</v>
      </c>
      <c r="C807" t="s">
        <v>2366</v>
      </c>
      <c r="D807" t="s">
        <v>3495</v>
      </c>
      <c r="E807" t="s">
        <v>3492</v>
      </c>
      <c r="F807" t="str">
        <f>IF(Table2[[#This Row],[Date posted]]&lt; DATE(2015,9,18),"Before Crisis","During Crisis")</f>
        <v>During Crisis</v>
      </c>
      <c r="G807" s="27">
        <f t="shared" si="72"/>
        <v>42307</v>
      </c>
      <c r="H807" s="7" t="str">
        <f t="shared" si="73"/>
        <v>16:32:45</v>
      </c>
      <c r="I807" s="8" t="str">
        <f t="shared" si="74"/>
        <v>Afternoon</v>
      </c>
      <c r="J807" t="s">
        <v>2370</v>
      </c>
      <c r="K807" t="s">
        <v>2370</v>
      </c>
      <c r="L807" s="3">
        <v>0</v>
      </c>
      <c r="M807" s="3">
        <v>0</v>
      </c>
      <c r="N807">
        <v>1</v>
      </c>
      <c r="O807" s="4">
        <f t="shared" si="75"/>
        <v>1</v>
      </c>
      <c r="P807" s="5" t="str">
        <f t="shared" si="76"/>
        <v>Low engagement</v>
      </c>
      <c r="Q807" t="b">
        <v>0</v>
      </c>
      <c r="R807" t="b">
        <v>0</v>
      </c>
      <c r="S807" t="b">
        <v>0</v>
      </c>
      <c r="T807" s="24" t="str">
        <f t="shared" si="77"/>
        <v>Text only</v>
      </c>
    </row>
    <row r="808" spans="1:20" hidden="1" x14ac:dyDescent="0.2">
      <c r="A808" t="s">
        <v>3487</v>
      </c>
      <c r="B808" t="s">
        <v>2365</v>
      </c>
      <c r="C808" t="s">
        <v>2366</v>
      </c>
      <c r="D808" t="s">
        <v>3488</v>
      </c>
      <c r="E808" t="s">
        <v>3489</v>
      </c>
      <c r="F808" t="str">
        <f>IF(Table2[[#This Row],[Date posted]]&lt; DATE(2015,9,18),"Before Crisis","During Crisis")</f>
        <v>During Crisis</v>
      </c>
      <c r="G808" s="27">
        <f t="shared" si="72"/>
        <v>42307</v>
      </c>
      <c r="H808" s="7" t="str">
        <f t="shared" si="73"/>
        <v>17:59:11</v>
      </c>
      <c r="I808" s="8" t="str">
        <f t="shared" si="74"/>
        <v>Afternoon</v>
      </c>
      <c r="J808" t="s">
        <v>2370</v>
      </c>
      <c r="K808" t="s">
        <v>2370</v>
      </c>
      <c r="L808">
        <v>1</v>
      </c>
      <c r="M808" s="3">
        <v>0</v>
      </c>
      <c r="N808">
        <v>1</v>
      </c>
      <c r="O808" s="4">
        <f t="shared" si="75"/>
        <v>2</v>
      </c>
      <c r="P808" s="5" t="str">
        <f t="shared" si="76"/>
        <v>Low engagement</v>
      </c>
      <c r="Q808" t="b">
        <v>0</v>
      </c>
      <c r="R808" t="b">
        <v>0</v>
      </c>
      <c r="S808" t="b">
        <v>0</v>
      </c>
      <c r="T808" s="24" t="str">
        <f t="shared" si="77"/>
        <v>Text only</v>
      </c>
    </row>
    <row r="809" spans="1:20" hidden="1" x14ac:dyDescent="0.2">
      <c r="A809" t="s">
        <v>3482</v>
      </c>
      <c r="B809" t="s">
        <v>2365</v>
      </c>
      <c r="C809" t="s">
        <v>2366</v>
      </c>
      <c r="D809" t="s">
        <v>3483</v>
      </c>
      <c r="E809" t="s">
        <v>3484</v>
      </c>
      <c r="F809" t="str">
        <f>IF(Table2[[#This Row],[Date posted]]&lt; DATE(2015,9,18),"Before Crisis","During Crisis")</f>
        <v>During Crisis</v>
      </c>
      <c r="G809" s="27">
        <f t="shared" si="72"/>
        <v>42307</v>
      </c>
      <c r="H809" s="7" t="str">
        <f t="shared" si="73"/>
        <v>18:02:28</v>
      </c>
      <c r="I809" s="8" t="str">
        <f t="shared" si="74"/>
        <v>Evening</v>
      </c>
      <c r="J809" t="s">
        <v>2370</v>
      </c>
      <c r="K809" t="s">
        <v>2370</v>
      </c>
      <c r="L809" s="3">
        <v>0</v>
      </c>
      <c r="M809" s="3">
        <v>0</v>
      </c>
      <c r="N809">
        <v>1</v>
      </c>
      <c r="O809" s="4">
        <f t="shared" si="75"/>
        <v>1</v>
      </c>
      <c r="P809" s="5" t="str">
        <f t="shared" si="76"/>
        <v>Low engagement</v>
      </c>
      <c r="Q809" t="b">
        <v>0</v>
      </c>
      <c r="R809" t="b">
        <v>0</v>
      </c>
      <c r="S809" t="b">
        <v>0</v>
      </c>
      <c r="T809" s="24" t="str">
        <f t="shared" si="77"/>
        <v>Text only</v>
      </c>
    </row>
    <row r="810" spans="1:20" hidden="1" x14ac:dyDescent="0.2">
      <c r="A810" t="s">
        <v>3485</v>
      </c>
      <c r="B810" t="s">
        <v>2365</v>
      </c>
      <c r="C810" t="s">
        <v>2366</v>
      </c>
      <c r="D810" t="s">
        <v>3486</v>
      </c>
      <c r="E810" t="s">
        <v>3484</v>
      </c>
      <c r="F810" t="str">
        <f>IF(Table2[[#This Row],[Date posted]]&lt; DATE(2015,9,18),"Before Crisis","During Crisis")</f>
        <v>During Crisis</v>
      </c>
      <c r="G810" s="27">
        <f t="shared" si="72"/>
        <v>42307</v>
      </c>
      <c r="H810" s="7" t="str">
        <f t="shared" si="73"/>
        <v>18:02:28</v>
      </c>
      <c r="I810" s="8" t="str">
        <f t="shared" si="74"/>
        <v>Evening</v>
      </c>
      <c r="J810" t="s">
        <v>2370</v>
      </c>
      <c r="K810" t="s">
        <v>2370</v>
      </c>
      <c r="L810" s="3">
        <v>0</v>
      </c>
      <c r="M810" s="3">
        <v>0</v>
      </c>
      <c r="N810">
        <v>1</v>
      </c>
      <c r="O810" s="4">
        <f t="shared" si="75"/>
        <v>1</v>
      </c>
      <c r="P810" s="5" t="str">
        <f t="shared" si="76"/>
        <v>Low engagement</v>
      </c>
      <c r="Q810" t="b">
        <v>0</v>
      </c>
      <c r="R810" t="b">
        <v>0</v>
      </c>
      <c r="S810" t="b">
        <v>0</v>
      </c>
      <c r="T810" s="24" t="str">
        <f t="shared" si="77"/>
        <v>Text only</v>
      </c>
    </row>
    <row r="811" spans="1:20" hidden="1" x14ac:dyDescent="0.2">
      <c r="A811" t="s">
        <v>3476</v>
      </c>
      <c r="B811" t="s">
        <v>2365</v>
      </c>
      <c r="C811" t="s">
        <v>2366</v>
      </c>
      <c r="D811" t="s">
        <v>3477</v>
      </c>
      <c r="E811" t="s">
        <v>3478</v>
      </c>
      <c r="F811" t="str">
        <f>IF(Table2[[#This Row],[Date posted]]&lt; DATE(2015,9,18),"Before Crisis","During Crisis")</f>
        <v>During Crisis</v>
      </c>
      <c r="G811" s="27">
        <f t="shared" si="72"/>
        <v>42307</v>
      </c>
      <c r="H811" s="7" t="str">
        <f t="shared" si="73"/>
        <v>18:05:57</v>
      </c>
      <c r="I811" s="8" t="str">
        <f t="shared" si="74"/>
        <v>Evening</v>
      </c>
      <c r="J811" t="s">
        <v>3475</v>
      </c>
      <c r="K811" t="s">
        <v>2370</v>
      </c>
      <c r="L811" s="3">
        <v>0</v>
      </c>
      <c r="M811" s="3">
        <v>0</v>
      </c>
      <c r="N811">
        <v>1</v>
      </c>
      <c r="O811" s="4">
        <f t="shared" si="75"/>
        <v>1</v>
      </c>
      <c r="P811" s="5" t="str">
        <f t="shared" si="76"/>
        <v>Low engagement</v>
      </c>
      <c r="Q811" t="b">
        <v>0</v>
      </c>
      <c r="R811" t="b">
        <v>0</v>
      </c>
      <c r="S811" t="b">
        <v>0</v>
      </c>
      <c r="T811" s="24" t="str">
        <f t="shared" si="77"/>
        <v>Text only</v>
      </c>
    </row>
    <row r="812" spans="1:20" hidden="1" x14ac:dyDescent="0.2">
      <c r="A812" t="s">
        <v>3467</v>
      </c>
      <c r="B812" t="s">
        <v>2365</v>
      </c>
      <c r="C812" t="s">
        <v>2366</v>
      </c>
      <c r="D812" t="s">
        <v>3468</v>
      </c>
      <c r="E812" t="s">
        <v>3469</v>
      </c>
      <c r="F812" t="str">
        <f>IF(Table2[[#This Row],[Date posted]]&lt; DATE(2015,9,18),"Before Crisis","During Crisis")</f>
        <v>During Crisis</v>
      </c>
      <c r="G812" s="27">
        <f t="shared" si="72"/>
        <v>42307</v>
      </c>
      <c r="H812" s="7" t="str">
        <f t="shared" si="73"/>
        <v>18:23:31</v>
      </c>
      <c r="I812" s="8" t="str">
        <f t="shared" si="74"/>
        <v>Evening</v>
      </c>
      <c r="J812" t="s">
        <v>2370</v>
      </c>
      <c r="K812" t="s">
        <v>2370</v>
      </c>
      <c r="L812" s="3">
        <v>0</v>
      </c>
      <c r="M812" s="3">
        <v>0</v>
      </c>
      <c r="N812">
        <v>1</v>
      </c>
      <c r="O812" s="4">
        <f t="shared" si="75"/>
        <v>1</v>
      </c>
      <c r="P812" s="5" t="str">
        <f t="shared" si="76"/>
        <v>Low engagement</v>
      </c>
      <c r="Q812" t="b">
        <v>0</v>
      </c>
      <c r="R812" t="b">
        <v>0</v>
      </c>
      <c r="S812" t="b">
        <v>1</v>
      </c>
      <c r="T812" s="24" t="str">
        <f t="shared" si="77"/>
        <v>Link</v>
      </c>
    </row>
    <row r="813" spans="1:20" hidden="1" x14ac:dyDescent="0.2">
      <c r="A813" t="s">
        <v>3456</v>
      </c>
      <c r="B813" t="s">
        <v>2365</v>
      </c>
      <c r="C813" t="s">
        <v>2366</v>
      </c>
      <c r="D813" t="s">
        <v>3457</v>
      </c>
      <c r="E813" t="s">
        <v>3458</v>
      </c>
      <c r="F813" t="str">
        <f>IF(Table2[[#This Row],[Date posted]]&lt; DATE(2015,9,18),"Before Crisis","During Crisis")</f>
        <v>During Crisis</v>
      </c>
      <c r="G813" s="27">
        <f t="shared" si="72"/>
        <v>42307</v>
      </c>
      <c r="H813" s="7" t="str">
        <f t="shared" si="73"/>
        <v>18:58:20</v>
      </c>
      <c r="I813" s="8" t="str">
        <f t="shared" si="74"/>
        <v>Evening</v>
      </c>
      <c r="J813" t="s">
        <v>3459</v>
      </c>
      <c r="K813" t="s">
        <v>2370</v>
      </c>
      <c r="L813" s="3">
        <v>0</v>
      </c>
      <c r="M813" s="3">
        <v>0</v>
      </c>
      <c r="N813">
        <v>1</v>
      </c>
      <c r="O813" s="4">
        <f t="shared" si="75"/>
        <v>1</v>
      </c>
      <c r="P813" s="5" t="str">
        <f t="shared" si="76"/>
        <v>Low engagement</v>
      </c>
      <c r="Q813" t="b">
        <v>0</v>
      </c>
      <c r="R813" t="b">
        <v>0</v>
      </c>
      <c r="S813" t="b">
        <v>0</v>
      </c>
      <c r="T813" s="24" t="str">
        <f t="shared" si="77"/>
        <v>Text only</v>
      </c>
    </row>
    <row r="814" spans="1:20" hidden="1" x14ac:dyDescent="0.2">
      <c r="A814" t="s">
        <v>3460</v>
      </c>
      <c r="B814" t="s">
        <v>2365</v>
      </c>
      <c r="C814" t="s">
        <v>2366</v>
      </c>
      <c r="D814" t="s">
        <v>3461</v>
      </c>
      <c r="E814" t="s">
        <v>3458</v>
      </c>
      <c r="F814" t="str">
        <f>IF(Table2[[#This Row],[Date posted]]&lt; DATE(2015,9,18),"Before Crisis","During Crisis")</f>
        <v>During Crisis</v>
      </c>
      <c r="G814" s="27">
        <f t="shared" si="72"/>
        <v>42307</v>
      </c>
      <c r="H814" s="7" t="str">
        <f t="shared" si="73"/>
        <v>18:58:20</v>
      </c>
      <c r="I814" s="8" t="str">
        <f t="shared" si="74"/>
        <v>Evening</v>
      </c>
      <c r="J814" t="s">
        <v>3459</v>
      </c>
      <c r="K814" t="s">
        <v>2370</v>
      </c>
      <c r="L814" s="3">
        <v>0</v>
      </c>
      <c r="M814" s="3">
        <v>0</v>
      </c>
      <c r="N814">
        <v>1</v>
      </c>
      <c r="O814" s="4">
        <f t="shared" si="75"/>
        <v>1</v>
      </c>
      <c r="P814" s="5" t="str">
        <f t="shared" si="76"/>
        <v>Low engagement</v>
      </c>
      <c r="Q814" t="b">
        <v>0</v>
      </c>
      <c r="R814" t="b">
        <v>0</v>
      </c>
      <c r="S814" t="b">
        <v>0</v>
      </c>
      <c r="T814" s="24" t="str">
        <f t="shared" si="77"/>
        <v>Text only</v>
      </c>
    </row>
    <row r="815" spans="1:20" hidden="1" x14ac:dyDescent="0.2">
      <c r="A815" t="s">
        <v>3453</v>
      </c>
      <c r="B815" t="s">
        <v>2365</v>
      </c>
      <c r="C815" t="s">
        <v>2366</v>
      </c>
      <c r="D815" t="s">
        <v>3454</v>
      </c>
      <c r="E815" t="s">
        <v>3455</v>
      </c>
      <c r="F815" t="str">
        <f>IF(Table2[[#This Row],[Date posted]]&lt; DATE(2015,9,18),"Before Crisis","During Crisis")</f>
        <v>During Crisis</v>
      </c>
      <c r="G815" s="27">
        <f t="shared" si="72"/>
        <v>42307</v>
      </c>
      <c r="H815" s="7" t="str">
        <f t="shared" si="73"/>
        <v>19:18:39</v>
      </c>
      <c r="I815" s="8" t="str">
        <f t="shared" si="74"/>
        <v>Evening</v>
      </c>
      <c r="J815" t="s">
        <v>3452</v>
      </c>
      <c r="K815" t="s">
        <v>2370</v>
      </c>
      <c r="L815">
        <v>1</v>
      </c>
      <c r="M815" s="3">
        <v>0</v>
      </c>
      <c r="N815">
        <v>1</v>
      </c>
      <c r="O815" s="4">
        <f t="shared" si="75"/>
        <v>2</v>
      </c>
      <c r="P815" s="5" t="str">
        <f t="shared" si="76"/>
        <v>Low engagement</v>
      </c>
      <c r="Q815" t="b">
        <v>0</v>
      </c>
      <c r="R815" t="b">
        <v>0</v>
      </c>
      <c r="S815" t="b">
        <v>0</v>
      </c>
      <c r="T815" s="24" t="str">
        <f t="shared" si="77"/>
        <v>Text only</v>
      </c>
    </row>
    <row r="816" spans="1:20" hidden="1" x14ac:dyDescent="0.2">
      <c r="A816" t="s">
        <v>3445</v>
      </c>
      <c r="B816" t="s">
        <v>2365</v>
      </c>
      <c r="C816" t="s">
        <v>2366</v>
      </c>
      <c r="D816" t="s">
        <v>3446</v>
      </c>
      <c r="E816" t="s">
        <v>3447</v>
      </c>
      <c r="F816" t="str">
        <f>IF(Table2[[#This Row],[Date posted]]&lt; DATE(2015,9,18),"Before Crisis","During Crisis")</f>
        <v>During Crisis</v>
      </c>
      <c r="G816" s="27">
        <f t="shared" si="72"/>
        <v>42307</v>
      </c>
      <c r="H816" s="7" t="str">
        <f t="shared" si="73"/>
        <v>20:03:39</v>
      </c>
      <c r="I816" s="8" t="str">
        <f t="shared" si="74"/>
        <v>Evening</v>
      </c>
      <c r="J816" t="s">
        <v>3448</v>
      </c>
      <c r="K816" t="s">
        <v>2370</v>
      </c>
      <c r="L816" s="3">
        <v>0</v>
      </c>
      <c r="M816" s="3">
        <v>0</v>
      </c>
      <c r="N816">
        <v>1</v>
      </c>
      <c r="O816" s="4">
        <f t="shared" si="75"/>
        <v>1</v>
      </c>
      <c r="P816" s="5" t="str">
        <f t="shared" si="76"/>
        <v>Low engagement</v>
      </c>
      <c r="Q816" t="b">
        <v>0</v>
      </c>
      <c r="R816" t="b">
        <v>0</v>
      </c>
      <c r="S816" t="b">
        <v>0</v>
      </c>
      <c r="T816" s="24" t="str">
        <f t="shared" si="77"/>
        <v>Text only</v>
      </c>
    </row>
    <row r="817" spans="1:20" hidden="1" x14ac:dyDescent="0.2">
      <c r="A817" t="s">
        <v>3436</v>
      </c>
      <c r="B817" t="s">
        <v>2365</v>
      </c>
      <c r="C817" t="s">
        <v>2366</v>
      </c>
      <c r="D817" t="s">
        <v>3437</v>
      </c>
      <c r="E817" t="s">
        <v>3438</v>
      </c>
      <c r="F817" t="str">
        <f>IF(Table2[[#This Row],[Date posted]]&lt; DATE(2015,9,18),"Before Crisis","During Crisis")</f>
        <v>During Crisis</v>
      </c>
      <c r="G817" s="27">
        <f t="shared" si="72"/>
        <v>42310</v>
      </c>
      <c r="H817" s="7" t="str">
        <f t="shared" si="73"/>
        <v>16:05:51</v>
      </c>
      <c r="I817" s="8" t="str">
        <f t="shared" si="74"/>
        <v>Afternoon</v>
      </c>
      <c r="J817" t="s">
        <v>2370</v>
      </c>
      <c r="K817" t="s">
        <v>2370</v>
      </c>
      <c r="L817" s="3">
        <v>0</v>
      </c>
      <c r="M817" s="3">
        <v>0</v>
      </c>
      <c r="N817">
        <v>1</v>
      </c>
      <c r="O817" s="4">
        <f t="shared" si="75"/>
        <v>1</v>
      </c>
      <c r="P817" s="5" t="str">
        <f t="shared" si="76"/>
        <v>Low engagement</v>
      </c>
      <c r="Q817" t="b">
        <v>0</v>
      </c>
      <c r="R817" t="b">
        <v>0</v>
      </c>
      <c r="S817" t="b">
        <v>1</v>
      </c>
      <c r="T817" s="24" t="str">
        <f t="shared" si="77"/>
        <v>Link</v>
      </c>
    </row>
    <row r="818" spans="1:20" hidden="1" x14ac:dyDescent="0.2">
      <c r="A818" t="s">
        <v>3439</v>
      </c>
      <c r="B818" t="s">
        <v>2365</v>
      </c>
      <c r="C818" t="s">
        <v>2366</v>
      </c>
      <c r="D818" t="s">
        <v>3440</v>
      </c>
      <c r="E818" t="s">
        <v>3438</v>
      </c>
      <c r="F818" t="str">
        <f>IF(Table2[[#This Row],[Date posted]]&lt; DATE(2015,9,18),"Before Crisis","During Crisis")</f>
        <v>During Crisis</v>
      </c>
      <c r="G818" s="27">
        <f t="shared" si="72"/>
        <v>42310</v>
      </c>
      <c r="H818" s="7" t="str">
        <f t="shared" si="73"/>
        <v>16:05:51</v>
      </c>
      <c r="I818" s="8" t="str">
        <f t="shared" si="74"/>
        <v>Afternoon</v>
      </c>
      <c r="J818" t="s">
        <v>2370</v>
      </c>
      <c r="K818" t="s">
        <v>2370</v>
      </c>
      <c r="L818" s="3">
        <v>0</v>
      </c>
      <c r="M818" s="3">
        <v>0</v>
      </c>
      <c r="N818">
        <v>1</v>
      </c>
      <c r="O818" s="4">
        <f t="shared" si="75"/>
        <v>1</v>
      </c>
      <c r="P818" s="5" t="str">
        <f t="shared" si="76"/>
        <v>Low engagement</v>
      </c>
      <c r="Q818" t="b">
        <v>0</v>
      </c>
      <c r="R818" t="b">
        <v>0</v>
      </c>
      <c r="S818" t="b">
        <v>0</v>
      </c>
      <c r="T818" s="24" t="str">
        <f t="shared" si="77"/>
        <v>Text only</v>
      </c>
    </row>
    <row r="819" spans="1:20" hidden="1" x14ac:dyDescent="0.2">
      <c r="A819" t="s">
        <v>3431</v>
      </c>
      <c r="B819" t="s">
        <v>2365</v>
      </c>
      <c r="C819" t="s">
        <v>2366</v>
      </c>
      <c r="D819" t="s">
        <v>3432</v>
      </c>
      <c r="E819" t="s">
        <v>3433</v>
      </c>
      <c r="F819" t="str">
        <f>IF(Table2[[#This Row],[Date posted]]&lt; DATE(2015,9,18),"Before Crisis","During Crisis")</f>
        <v>During Crisis</v>
      </c>
      <c r="G819" s="27">
        <f t="shared" si="72"/>
        <v>42310</v>
      </c>
      <c r="H819" s="7" t="str">
        <f t="shared" si="73"/>
        <v>17:11:44</v>
      </c>
      <c r="I819" s="8" t="str">
        <f t="shared" si="74"/>
        <v>Afternoon</v>
      </c>
      <c r="J819" t="s">
        <v>3342</v>
      </c>
      <c r="K819" t="s">
        <v>2370</v>
      </c>
      <c r="L819" s="3">
        <v>0</v>
      </c>
      <c r="M819" s="3">
        <v>0</v>
      </c>
      <c r="N819">
        <v>1</v>
      </c>
      <c r="O819" s="4">
        <f t="shared" si="75"/>
        <v>1</v>
      </c>
      <c r="P819" s="5" t="str">
        <f t="shared" si="76"/>
        <v>Low engagement</v>
      </c>
      <c r="Q819" t="b">
        <v>0</v>
      </c>
      <c r="R819" t="b">
        <v>0</v>
      </c>
      <c r="S819" t="b">
        <v>0</v>
      </c>
      <c r="T819" s="24" t="str">
        <f t="shared" si="77"/>
        <v>Text only</v>
      </c>
    </row>
    <row r="820" spans="1:20" hidden="1" x14ac:dyDescent="0.2">
      <c r="A820" t="s">
        <v>3434</v>
      </c>
      <c r="B820" t="s">
        <v>2365</v>
      </c>
      <c r="C820" t="s">
        <v>2366</v>
      </c>
      <c r="D820" t="s">
        <v>3435</v>
      </c>
      <c r="E820" t="s">
        <v>3433</v>
      </c>
      <c r="F820" t="str">
        <f>IF(Table2[[#This Row],[Date posted]]&lt; DATE(2015,9,18),"Before Crisis","During Crisis")</f>
        <v>During Crisis</v>
      </c>
      <c r="G820" s="27">
        <f t="shared" si="72"/>
        <v>42310</v>
      </c>
      <c r="H820" s="7" t="str">
        <f t="shared" si="73"/>
        <v>17:11:44</v>
      </c>
      <c r="I820" s="8" t="str">
        <f t="shared" si="74"/>
        <v>Afternoon</v>
      </c>
      <c r="J820" t="s">
        <v>3342</v>
      </c>
      <c r="K820" t="s">
        <v>2370</v>
      </c>
      <c r="L820" s="3">
        <v>0</v>
      </c>
      <c r="M820" s="3">
        <v>0</v>
      </c>
      <c r="N820">
        <v>1</v>
      </c>
      <c r="O820" s="4">
        <f t="shared" si="75"/>
        <v>1</v>
      </c>
      <c r="P820" s="5" t="str">
        <f t="shared" si="76"/>
        <v>Low engagement</v>
      </c>
      <c r="Q820" t="b">
        <v>0</v>
      </c>
      <c r="R820" t="b">
        <v>0</v>
      </c>
      <c r="S820" t="b">
        <v>0</v>
      </c>
      <c r="T820" s="24" t="str">
        <f t="shared" si="77"/>
        <v>Text only</v>
      </c>
    </row>
    <row r="821" spans="1:20" hidden="1" x14ac:dyDescent="0.2">
      <c r="A821" t="s">
        <v>3429</v>
      </c>
      <c r="B821" t="s">
        <v>2365</v>
      </c>
      <c r="C821" t="s">
        <v>2366</v>
      </c>
      <c r="D821" t="s">
        <v>3430</v>
      </c>
      <c r="E821" t="s">
        <v>3425</v>
      </c>
      <c r="F821" t="str">
        <f>IF(Table2[[#This Row],[Date posted]]&lt; DATE(2015,9,18),"Before Crisis","During Crisis")</f>
        <v>During Crisis</v>
      </c>
      <c r="G821" s="27">
        <f t="shared" si="72"/>
        <v>42310</v>
      </c>
      <c r="H821" s="7" t="str">
        <f t="shared" si="73"/>
        <v>18:49:46</v>
      </c>
      <c r="I821" s="8" t="str">
        <f t="shared" si="74"/>
        <v>Evening</v>
      </c>
      <c r="J821" t="s">
        <v>3428</v>
      </c>
      <c r="K821" t="s">
        <v>2370</v>
      </c>
      <c r="L821" s="3">
        <v>0</v>
      </c>
      <c r="M821" s="3">
        <v>0</v>
      </c>
      <c r="N821">
        <v>1</v>
      </c>
      <c r="O821" s="4">
        <f t="shared" si="75"/>
        <v>1</v>
      </c>
      <c r="P821" s="5" t="str">
        <f t="shared" si="76"/>
        <v>Low engagement</v>
      </c>
      <c r="Q821" t="b">
        <v>0</v>
      </c>
      <c r="R821" t="b">
        <v>0</v>
      </c>
      <c r="S821" t="b">
        <v>0</v>
      </c>
      <c r="T821" s="24" t="str">
        <f t="shared" si="77"/>
        <v>Text only</v>
      </c>
    </row>
    <row r="822" spans="1:20" hidden="1" x14ac:dyDescent="0.2">
      <c r="A822" t="s">
        <v>3419</v>
      </c>
      <c r="B822" t="s">
        <v>2365</v>
      </c>
      <c r="C822" t="s">
        <v>2366</v>
      </c>
      <c r="D822" t="s">
        <v>3420</v>
      </c>
      <c r="E822" t="s">
        <v>3421</v>
      </c>
      <c r="F822" t="str">
        <f>IF(Table2[[#This Row],[Date posted]]&lt; DATE(2015,9,18),"Before Crisis","During Crisis")</f>
        <v>During Crisis</v>
      </c>
      <c r="G822" s="27">
        <f t="shared" si="72"/>
        <v>42310</v>
      </c>
      <c r="H822" s="7" t="str">
        <f t="shared" si="73"/>
        <v>18:49:47</v>
      </c>
      <c r="I822" s="8" t="str">
        <f t="shared" si="74"/>
        <v>Evening</v>
      </c>
      <c r="J822" t="s">
        <v>3422</v>
      </c>
      <c r="K822" t="s">
        <v>2370</v>
      </c>
      <c r="L822" s="3">
        <v>0</v>
      </c>
      <c r="M822" s="3">
        <v>0</v>
      </c>
      <c r="N822">
        <v>1</v>
      </c>
      <c r="O822" s="4">
        <f t="shared" si="75"/>
        <v>1</v>
      </c>
      <c r="P822" s="5" t="str">
        <f t="shared" si="76"/>
        <v>Low engagement</v>
      </c>
      <c r="Q822" t="b">
        <v>0</v>
      </c>
      <c r="R822" t="b">
        <v>0</v>
      </c>
      <c r="S822" t="b">
        <v>0</v>
      </c>
      <c r="T822" s="24" t="str">
        <f t="shared" si="77"/>
        <v>Text only</v>
      </c>
    </row>
    <row r="823" spans="1:20" hidden="1" x14ac:dyDescent="0.2">
      <c r="A823" t="s">
        <v>3415</v>
      </c>
      <c r="B823" t="s">
        <v>2365</v>
      </c>
      <c r="C823" t="s">
        <v>2366</v>
      </c>
      <c r="D823" t="s">
        <v>3416</v>
      </c>
      <c r="E823" t="s">
        <v>3417</v>
      </c>
      <c r="F823" t="str">
        <f>IF(Table2[[#This Row],[Date posted]]&lt; DATE(2015,9,18),"Before Crisis","During Crisis")</f>
        <v>During Crisis</v>
      </c>
      <c r="G823" s="27">
        <f t="shared" si="72"/>
        <v>42310</v>
      </c>
      <c r="H823" s="7" t="str">
        <f t="shared" si="73"/>
        <v>19:00:13</v>
      </c>
      <c r="I823" s="8" t="str">
        <f t="shared" si="74"/>
        <v>Evening</v>
      </c>
      <c r="J823" t="s">
        <v>3418</v>
      </c>
      <c r="K823" t="s">
        <v>2370</v>
      </c>
      <c r="L823" s="3">
        <v>0</v>
      </c>
      <c r="M823" s="3">
        <v>0</v>
      </c>
      <c r="N823">
        <v>1</v>
      </c>
      <c r="O823" s="4">
        <f t="shared" si="75"/>
        <v>1</v>
      </c>
      <c r="P823" s="5" t="str">
        <f t="shared" si="76"/>
        <v>Low engagement</v>
      </c>
      <c r="Q823" t="b">
        <v>0</v>
      </c>
      <c r="R823" t="b">
        <v>0</v>
      </c>
      <c r="S823" t="b">
        <v>0</v>
      </c>
      <c r="T823" s="24" t="str">
        <f t="shared" si="77"/>
        <v>Text only</v>
      </c>
    </row>
    <row r="824" spans="1:20" hidden="1" x14ac:dyDescent="0.2">
      <c r="A824" t="s">
        <v>3412</v>
      </c>
      <c r="B824" t="s">
        <v>2365</v>
      </c>
      <c r="C824" t="s">
        <v>2366</v>
      </c>
      <c r="D824" t="s">
        <v>3413</v>
      </c>
      <c r="E824" t="s">
        <v>3414</v>
      </c>
      <c r="F824" t="str">
        <f>IF(Table2[[#This Row],[Date posted]]&lt; DATE(2015,9,18),"Before Crisis","During Crisis")</f>
        <v>During Crisis</v>
      </c>
      <c r="G824" s="27">
        <f t="shared" si="72"/>
        <v>42310</v>
      </c>
      <c r="H824" s="7" t="str">
        <f t="shared" si="73"/>
        <v>19:59:59</v>
      </c>
      <c r="I824" s="8" t="str">
        <f t="shared" si="74"/>
        <v>Evening</v>
      </c>
      <c r="J824" t="s">
        <v>3407</v>
      </c>
      <c r="K824" t="s">
        <v>2370</v>
      </c>
      <c r="L824" s="3">
        <v>0</v>
      </c>
      <c r="M824" s="3">
        <v>0</v>
      </c>
      <c r="N824">
        <v>1</v>
      </c>
      <c r="O824" s="4">
        <f t="shared" si="75"/>
        <v>1</v>
      </c>
      <c r="P824" s="5" t="str">
        <f t="shared" si="76"/>
        <v>Low engagement</v>
      </c>
      <c r="Q824" t="b">
        <v>0</v>
      </c>
      <c r="R824" t="b">
        <v>0</v>
      </c>
      <c r="S824" t="b">
        <v>0</v>
      </c>
      <c r="T824" s="24" t="str">
        <f t="shared" si="77"/>
        <v>Text only</v>
      </c>
    </row>
    <row r="825" spans="1:20" hidden="1" x14ac:dyDescent="0.2">
      <c r="A825" t="s">
        <v>3408</v>
      </c>
      <c r="B825" t="s">
        <v>2365</v>
      </c>
      <c r="C825" t="s">
        <v>2366</v>
      </c>
      <c r="D825" t="s">
        <v>3409</v>
      </c>
      <c r="E825" t="s">
        <v>3406</v>
      </c>
      <c r="F825" t="str">
        <f>IF(Table2[[#This Row],[Date posted]]&lt; DATE(2015,9,18),"Before Crisis","During Crisis")</f>
        <v>During Crisis</v>
      </c>
      <c r="G825" s="27">
        <f t="shared" si="72"/>
        <v>42310</v>
      </c>
      <c r="H825" s="7" t="str">
        <f t="shared" si="73"/>
        <v>20:00:00</v>
      </c>
      <c r="I825" s="8" t="str">
        <f t="shared" si="74"/>
        <v>Evening</v>
      </c>
      <c r="J825" t="s">
        <v>3403</v>
      </c>
      <c r="K825" t="s">
        <v>2370</v>
      </c>
      <c r="L825" s="3">
        <v>0</v>
      </c>
      <c r="M825" s="3">
        <v>0</v>
      </c>
      <c r="N825">
        <v>1</v>
      </c>
      <c r="O825" s="4">
        <f t="shared" si="75"/>
        <v>1</v>
      </c>
      <c r="P825" s="5" t="str">
        <f t="shared" si="76"/>
        <v>Low engagement</v>
      </c>
      <c r="Q825" t="b">
        <v>0</v>
      </c>
      <c r="R825" t="b">
        <v>0</v>
      </c>
      <c r="S825" t="b">
        <v>0</v>
      </c>
      <c r="T825" s="24" t="str">
        <f t="shared" si="77"/>
        <v>Text only</v>
      </c>
    </row>
    <row r="826" spans="1:20" hidden="1" x14ac:dyDescent="0.2">
      <c r="A826" t="s">
        <v>3394</v>
      </c>
      <c r="B826" t="s">
        <v>2365</v>
      </c>
      <c r="C826" t="s">
        <v>2366</v>
      </c>
      <c r="D826" t="s">
        <v>3395</v>
      </c>
      <c r="E826" t="s">
        <v>3396</v>
      </c>
      <c r="F826" t="str">
        <f>IF(Table2[[#This Row],[Date posted]]&lt; DATE(2015,9,18),"Before Crisis","During Crisis")</f>
        <v>During Crisis</v>
      </c>
      <c r="G826" s="27">
        <f t="shared" si="72"/>
        <v>42311</v>
      </c>
      <c r="H826" s="7" t="str">
        <f t="shared" si="73"/>
        <v>16:25:11</v>
      </c>
      <c r="I826" s="8" t="str">
        <f t="shared" si="74"/>
        <v>Afternoon</v>
      </c>
      <c r="J826" t="s">
        <v>3397</v>
      </c>
      <c r="K826" t="s">
        <v>2370</v>
      </c>
      <c r="L826" s="3">
        <v>0</v>
      </c>
      <c r="M826" s="3">
        <v>0</v>
      </c>
      <c r="N826">
        <v>1</v>
      </c>
      <c r="O826" s="4">
        <f t="shared" si="75"/>
        <v>1</v>
      </c>
      <c r="P826" s="5" t="str">
        <f t="shared" si="76"/>
        <v>Low engagement</v>
      </c>
      <c r="Q826" t="b">
        <v>0</v>
      </c>
      <c r="R826" t="b">
        <v>0</v>
      </c>
      <c r="S826" t="b">
        <v>0</v>
      </c>
      <c r="T826" s="24" t="str">
        <f t="shared" si="77"/>
        <v>Text only</v>
      </c>
    </row>
    <row r="827" spans="1:20" hidden="1" x14ac:dyDescent="0.2">
      <c r="A827" t="s">
        <v>3391</v>
      </c>
      <c r="B827" t="s">
        <v>2365</v>
      </c>
      <c r="C827" t="s">
        <v>2366</v>
      </c>
      <c r="D827" t="s">
        <v>3392</v>
      </c>
      <c r="E827" t="s">
        <v>3393</v>
      </c>
      <c r="F827" t="str">
        <f>IF(Table2[[#This Row],[Date posted]]&lt; DATE(2015,9,18),"Before Crisis","During Crisis")</f>
        <v>During Crisis</v>
      </c>
      <c r="G827" s="27">
        <f t="shared" si="72"/>
        <v>42311</v>
      </c>
      <c r="H827" s="7" t="str">
        <f t="shared" si="73"/>
        <v>16:35:25</v>
      </c>
      <c r="I827" s="8" t="str">
        <f t="shared" si="74"/>
        <v>Afternoon</v>
      </c>
      <c r="J827" t="s">
        <v>2370</v>
      </c>
      <c r="K827" t="s">
        <v>2370</v>
      </c>
      <c r="L827" s="3">
        <v>0</v>
      </c>
      <c r="M827" s="3">
        <v>0</v>
      </c>
      <c r="N827">
        <v>1</v>
      </c>
      <c r="O827" s="4">
        <f t="shared" si="75"/>
        <v>1</v>
      </c>
      <c r="P827" s="5" t="str">
        <f t="shared" si="76"/>
        <v>Low engagement</v>
      </c>
      <c r="Q827" t="b">
        <v>0</v>
      </c>
      <c r="R827" t="b">
        <v>0</v>
      </c>
      <c r="S827" t="b">
        <v>0</v>
      </c>
      <c r="T827" s="24" t="str">
        <f t="shared" si="77"/>
        <v>Text only</v>
      </c>
    </row>
    <row r="828" spans="1:20" hidden="1" x14ac:dyDescent="0.2">
      <c r="A828" t="s">
        <v>3388</v>
      </c>
      <c r="B828" t="s">
        <v>2365</v>
      </c>
      <c r="C828" t="s">
        <v>2366</v>
      </c>
      <c r="D828" t="s">
        <v>3389</v>
      </c>
      <c r="E828" t="s">
        <v>3390</v>
      </c>
      <c r="F828" t="str">
        <f>IF(Table2[[#This Row],[Date posted]]&lt; DATE(2015,9,18),"Before Crisis","During Crisis")</f>
        <v>During Crisis</v>
      </c>
      <c r="G828" s="27">
        <f t="shared" si="72"/>
        <v>42311</v>
      </c>
      <c r="H828" s="7" t="str">
        <f t="shared" si="73"/>
        <v>16:45:56</v>
      </c>
      <c r="I828" s="8" t="str">
        <f t="shared" si="74"/>
        <v>Afternoon</v>
      </c>
      <c r="J828" t="s">
        <v>2370</v>
      </c>
      <c r="K828" t="s">
        <v>2370</v>
      </c>
      <c r="L828" s="3">
        <v>0</v>
      </c>
      <c r="M828" s="3">
        <v>0</v>
      </c>
      <c r="N828">
        <v>1</v>
      </c>
      <c r="O828" s="4">
        <f t="shared" si="75"/>
        <v>1</v>
      </c>
      <c r="P828" s="5" t="str">
        <f t="shared" si="76"/>
        <v>Low engagement</v>
      </c>
      <c r="Q828" t="b">
        <v>0</v>
      </c>
      <c r="R828" t="b">
        <v>0</v>
      </c>
      <c r="S828" t="b">
        <v>0</v>
      </c>
      <c r="T828" s="24" t="str">
        <f t="shared" si="77"/>
        <v>Text only</v>
      </c>
    </row>
    <row r="829" spans="1:20" hidden="1" x14ac:dyDescent="0.2">
      <c r="A829" t="s">
        <v>3385</v>
      </c>
      <c r="B829" t="s">
        <v>2365</v>
      </c>
      <c r="C829" t="s">
        <v>2366</v>
      </c>
      <c r="D829" t="s">
        <v>3386</v>
      </c>
      <c r="E829" t="s">
        <v>3387</v>
      </c>
      <c r="F829" t="str">
        <f>IF(Table2[[#This Row],[Date posted]]&lt; DATE(2015,9,18),"Before Crisis","During Crisis")</f>
        <v>During Crisis</v>
      </c>
      <c r="G829" s="27">
        <f t="shared" si="72"/>
        <v>42311</v>
      </c>
      <c r="H829" s="7" t="str">
        <f t="shared" si="73"/>
        <v>16:56:17</v>
      </c>
      <c r="I829" s="8" t="str">
        <f t="shared" si="74"/>
        <v>Afternoon</v>
      </c>
      <c r="J829" t="s">
        <v>3384</v>
      </c>
      <c r="K829" t="s">
        <v>2370</v>
      </c>
      <c r="L829">
        <v>1</v>
      </c>
      <c r="M829" s="3">
        <v>0</v>
      </c>
      <c r="N829">
        <v>1</v>
      </c>
      <c r="O829" s="4">
        <f t="shared" si="75"/>
        <v>2</v>
      </c>
      <c r="P829" s="5" t="str">
        <f t="shared" si="76"/>
        <v>Low engagement</v>
      </c>
      <c r="Q829" t="b">
        <v>0</v>
      </c>
      <c r="R829" t="b">
        <v>0</v>
      </c>
      <c r="S829" t="b">
        <v>0</v>
      </c>
      <c r="T829" s="24" t="str">
        <f t="shared" si="77"/>
        <v>Text only</v>
      </c>
    </row>
    <row r="830" spans="1:20" hidden="1" x14ac:dyDescent="0.2">
      <c r="A830" t="s">
        <v>3379</v>
      </c>
      <c r="B830" t="s">
        <v>2365</v>
      </c>
      <c r="C830" t="s">
        <v>2366</v>
      </c>
      <c r="D830" t="s">
        <v>3380</v>
      </c>
      <c r="E830" t="s">
        <v>3381</v>
      </c>
      <c r="F830" t="str">
        <f>IF(Table2[[#This Row],[Date posted]]&lt; DATE(2015,9,18),"Before Crisis","During Crisis")</f>
        <v>During Crisis</v>
      </c>
      <c r="G830" s="27">
        <f t="shared" si="72"/>
        <v>42311</v>
      </c>
      <c r="H830" s="7" t="str">
        <f t="shared" si="73"/>
        <v>17:03:38</v>
      </c>
      <c r="I830" s="8" t="str">
        <f t="shared" si="74"/>
        <v>Afternoon</v>
      </c>
      <c r="J830" t="s">
        <v>3365</v>
      </c>
      <c r="K830" t="s">
        <v>2370</v>
      </c>
      <c r="L830" s="3">
        <v>0</v>
      </c>
      <c r="M830">
        <v>3</v>
      </c>
      <c r="N830">
        <v>1</v>
      </c>
      <c r="O830" s="4">
        <f t="shared" si="75"/>
        <v>4</v>
      </c>
      <c r="P830" s="5" t="str">
        <f t="shared" si="76"/>
        <v>Low engagement</v>
      </c>
      <c r="Q830" t="b">
        <v>0</v>
      </c>
      <c r="R830" t="b">
        <v>0</v>
      </c>
      <c r="S830" t="b">
        <v>0</v>
      </c>
      <c r="T830" s="24" t="str">
        <f t="shared" si="77"/>
        <v>Text only</v>
      </c>
    </row>
    <row r="831" spans="1:20" hidden="1" x14ac:dyDescent="0.2">
      <c r="A831" t="s">
        <v>3382</v>
      </c>
      <c r="B831" t="s">
        <v>2365</v>
      </c>
      <c r="C831" t="s">
        <v>2366</v>
      </c>
      <c r="D831" t="s">
        <v>3383</v>
      </c>
      <c r="E831" t="s">
        <v>3381</v>
      </c>
      <c r="F831" t="str">
        <f>IF(Table2[[#This Row],[Date posted]]&lt; DATE(2015,9,18),"Before Crisis","During Crisis")</f>
        <v>During Crisis</v>
      </c>
      <c r="G831" s="27">
        <f t="shared" si="72"/>
        <v>42311</v>
      </c>
      <c r="H831" s="7" t="str">
        <f t="shared" si="73"/>
        <v>17:03:38</v>
      </c>
      <c r="I831" s="8" t="str">
        <f t="shared" si="74"/>
        <v>Afternoon</v>
      </c>
      <c r="J831" t="s">
        <v>3384</v>
      </c>
      <c r="K831" t="s">
        <v>2370</v>
      </c>
      <c r="L831" s="3">
        <v>0</v>
      </c>
      <c r="M831" s="3">
        <v>0</v>
      </c>
      <c r="N831">
        <v>1</v>
      </c>
      <c r="O831" s="4">
        <f t="shared" si="75"/>
        <v>1</v>
      </c>
      <c r="P831" s="5" t="str">
        <f t="shared" si="76"/>
        <v>Low engagement</v>
      </c>
      <c r="Q831" t="b">
        <v>0</v>
      </c>
      <c r="R831" t="b">
        <v>0</v>
      </c>
      <c r="S831" t="b">
        <v>0</v>
      </c>
      <c r="T831" s="24" t="str">
        <f t="shared" si="77"/>
        <v>Text only</v>
      </c>
    </row>
    <row r="832" spans="1:20" hidden="1" x14ac:dyDescent="0.2">
      <c r="A832" t="s">
        <v>3376</v>
      </c>
      <c r="B832" t="s">
        <v>2365</v>
      </c>
      <c r="C832" t="s">
        <v>2366</v>
      </c>
      <c r="D832" t="s">
        <v>3377</v>
      </c>
      <c r="E832" t="s">
        <v>3378</v>
      </c>
      <c r="F832" t="str">
        <f>IF(Table2[[#This Row],[Date posted]]&lt; DATE(2015,9,18),"Before Crisis","During Crisis")</f>
        <v>During Crisis</v>
      </c>
      <c r="G832" s="27">
        <f t="shared" si="72"/>
        <v>42311</v>
      </c>
      <c r="H832" s="7" t="str">
        <f t="shared" si="73"/>
        <v>19:50:37</v>
      </c>
      <c r="I832" s="8" t="str">
        <f t="shared" si="74"/>
        <v>Evening</v>
      </c>
      <c r="J832" t="s">
        <v>2370</v>
      </c>
      <c r="K832" t="s">
        <v>2370</v>
      </c>
      <c r="L832" s="3">
        <v>0</v>
      </c>
      <c r="M832" s="3">
        <v>0</v>
      </c>
      <c r="N832">
        <v>1</v>
      </c>
      <c r="O832" s="4">
        <f t="shared" si="75"/>
        <v>1</v>
      </c>
      <c r="P832" s="5" t="str">
        <f t="shared" si="76"/>
        <v>Low engagement</v>
      </c>
      <c r="Q832" t="b">
        <v>0</v>
      </c>
      <c r="R832" t="b">
        <v>0</v>
      </c>
      <c r="S832" t="b">
        <v>0</v>
      </c>
      <c r="T832" s="24" t="str">
        <f t="shared" si="77"/>
        <v>Text only</v>
      </c>
    </row>
    <row r="833" spans="1:20" hidden="1" x14ac:dyDescent="0.2">
      <c r="A833" t="s">
        <v>3373</v>
      </c>
      <c r="B833" t="s">
        <v>2365</v>
      </c>
      <c r="C833" t="s">
        <v>2366</v>
      </c>
      <c r="D833" t="s">
        <v>3374</v>
      </c>
      <c r="E833" t="s">
        <v>3375</v>
      </c>
      <c r="F833" t="str">
        <f>IF(Table2[[#This Row],[Date posted]]&lt; DATE(2015,9,18),"Before Crisis","During Crisis")</f>
        <v>During Crisis</v>
      </c>
      <c r="G833" s="27">
        <f t="shared" si="72"/>
        <v>42311</v>
      </c>
      <c r="H833" s="7" t="str">
        <f t="shared" si="73"/>
        <v>20:00:41</v>
      </c>
      <c r="I833" s="8" t="str">
        <f t="shared" si="74"/>
        <v>Evening</v>
      </c>
      <c r="J833" t="s">
        <v>2370</v>
      </c>
      <c r="K833" t="s">
        <v>2370</v>
      </c>
      <c r="L833" s="3">
        <v>0</v>
      </c>
      <c r="M833" s="3">
        <v>0</v>
      </c>
      <c r="N833">
        <v>1</v>
      </c>
      <c r="O833" s="4">
        <f t="shared" si="75"/>
        <v>1</v>
      </c>
      <c r="P833" s="5" t="str">
        <f t="shared" si="76"/>
        <v>Low engagement</v>
      </c>
      <c r="Q833" t="b">
        <v>0</v>
      </c>
      <c r="R833" t="b">
        <v>0</v>
      </c>
      <c r="S833" t="b">
        <v>0</v>
      </c>
      <c r="T833" s="24" t="str">
        <f t="shared" si="77"/>
        <v>Text only</v>
      </c>
    </row>
    <row r="834" spans="1:20" hidden="1" x14ac:dyDescent="0.2">
      <c r="A834" t="s">
        <v>3369</v>
      </c>
      <c r="B834" t="s">
        <v>2365</v>
      </c>
      <c r="C834" t="s">
        <v>2366</v>
      </c>
      <c r="D834" t="s">
        <v>3370</v>
      </c>
      <c r="E834" t="s">
        <v>3371</v>
      </c>
      <c r="F834" t="str">
        <f>IF(Table2[[#This Row],[Date posted]]&lt; DATE(2015,9,18),"Before Crisis","During Crisis")</f>
        <v>During Crisis</v>
      </c>
      <c r="G834" s="27">
        <f t="shared" ref="G834:G897" si="78">DATEVALUE(LEFT(E834,10))</f>
        <v>42311</v>
      </c>
      <c r="H834" s="7" t="str">
        <f t="shared" ref="H834:H897" si="79">MID(E834,12,8)</f>
        <v>21:18:22</v>
      </c>
      <c r="I834" s="8" t="str">
        <f t="shared" ref="I834:I897" si="80">IF(HOUR(H834)&lt;7,"Early morning",
IF(HOUR(H834)&lt;11,"Morning",
IF(HOUR(H834)&lt;14,"Mid-day",
IF(HOUR(H834)&lt;18,"Afternoon","Evening"))))</f>
        <v>Evening</v>
      </c>
      <c r="J834" t="s">
        <v>3372</v>
      </c>
      <c r="K834" t="s">
        <v>2370</v>
      </c>
      <c r="L834" s="3">
        <v>0</v>
      </c>
      <c r="M834" s="3">
        <v>0</v>
      </c>
      <c r="N834">
        <v>1</v>
      </c>
      <c r="O834" s="4">
        <f t="shared" ref="O834:O897" si="81">L834+M834+N834</f>
        <v>1</v>
      </c>
      <c r="P834" s="5" t="str">
        <f t="shared" ref="P834:P897" si="82">IF(O834&lt;1,"No engagement", IF(O834&lt;5,"Low engagement", IF(O834&lt;10,"Moderate engagement", "High engagement")))</f>
        <v>Low engagement</v>
      </c>
      <c r="Q834" t="b">
        <v>0</v>
      </c>
      <c r="R834" t="b">
        <v>0</v>
      </c>
      <c r="S834" t="b">
        <v>0</v>
      </c>
      <c r="T834" s="24" t="str">
        <f t="shared" ref="T834:T897" si="83">IF(Q834=TRUE,"Photo",
    IF(R834=TRUE,"Video",
        IF(S834=TRUE,"Link","Text only")))</f>
        <v>Text only</v>
      </c>
    </row>
    <row r="835" spans="1:20" hidden="1" x14ac:dyDescent="0.2">
      <c r="A835" t="s">
        <v>3366</v>
      </c>
      <c r="B835" t="s">
        <v>2365</v>
      </c>
      <c r="C835" t="s">
        <v>2366</v>
      </c>
      <c r="D835" t="s">
        <v>3367</v>
      </c>
      <c r="E835" t="s">
        <v>3368</v>
      </c>
      <c r="F835" t="str">
        <f>IF(Table2[[#This Row],[Date posted]]&lt; DATE(2015,9,18),"Before Crisis","During Crisis")</f>
        <v>During Crisis</v>
      </c>
      <c r="G835" s="27">
        <f t="shared" si="78"/>
        <v>42311</v>
      </c>
      <c r="H835" s="7" t="str">
        <f t="shared" si="79"/>
        <v>21:49:29</v>
      </c>
      <c r="I835" s="8" t="str">
        <f t="shared" si="80"/>
        <v>Evening</v>
      </c>
      <c r="J835" t="s">
        <v>2370</v>
      </c>
      <c r="K835" t="s">
        <v>2370</v>
      </c>
      <c r="L835" s="3">
        <v>0</v>
      </c>
      <c r="M835" s="3">
        <v>0</v>
      </c>
      <c r="N835">
        <v>1</v>
      </c>
      <c r="O835" s="4">
        <f t="shared" si="81"/>
        <v>1</v>
      </c>
      <c r="P835" s="5" t="str">
        <f t="shared" si="82"/>
        <v>Low engagement</v>
      </c>
      <c r="Q835" t="b">
        <v>0</v>
      </c>
      <c r="R835" t="b">
        <v>0</v>
      </c>
      <c r="S835" t="b">
        <v>0</v>
      </c>
      <c r="T835" s="24" t="str">
        <f t="shared" si="83"/>
        <v>Text only</v>
      </c>
    </row>
    <row r="836" spans="1:20" hidden="1" x14ac:dyDescent="0.2">
      <c r="A836" t="s">
        <v>3362</v>
      </c>
      <c r="B836" t="s">
        <v>2365</v>
      </c>
      <c r="C836" t="s">
        <v>2366</v>
      </c>
      <c r="D836" t="s">
        <v>3363</v>
      </c>
      <c r="E836" t="s">
        <v>3364</v>
      </c>
      <c r="F836" t="str">
        <f>IF(Table2[[#This Row],[Date posted]]&lt; DATE(2015,9,18),"Before Crisis","During Crisis")</f>
        <v>During Crisis</v>
      </c>
      <c r="G836" s="27">
        <f t="shared" si="78"/>
        <v>42312</v>
      </c>
      <c r="H836" s="7" t="str">
        <f t="shared" si="79"/>
        <v>14:14:15</v>
      </c>
      <c r="I836" s="8" t="str">
        <f t="shared" si="80"/>
        <v>Afternoon</v>
      </c>
      <c r="J836" t="s">
        <v>3365</v>
      </c>
      <c r="K836" t="s">
        <v>2370</v>
      </c>
      <c r="L836" s="3">
        <v>0</v>
      </c>
      <c r="M836">
        <v>1</v>
      </c>
      <c r="N836">
        <v>1</v>
      </c>
      <c r="O836" s="4">
        <f t="shared" si="81"/>
        <v>2</v>
      </c>
      <c r="P836" s="5" t="str">
        <f t="shared" si="82"/>
        <v>Low engagement</v>
      </c>
      <c r="Q836" t="b">
        <v>0</v>
      </c>
      <c r="R836" t="b">
        <v>0</v>
      </c>
      <c r="S836" t="b">
        <v>0</v>
      </c>
      <c r="T836" s="24" t="str">
        <f t="shared" si="83"/>
        <v>Text only</v>
      </c>
    </row>
    <row r="837" spans="1:20" hidden="1" x14ac:dyDescent="0.2">
      <c r="A837" t="s">
        <v>3359</v>
      </c>
      <c r="B837" t="s">
        <v>2365</v>
      </c>
      <c r="C837" t="s">
        <v>2366</v>
      </c>
      <c r="D837" t="s">
        <v>3360</v>
      </c>
      <c r="E837" t="s">
        <v>3361</v>
      </c>
      <c r="F837" t="str">
        <f>IF(Table2[[#This Row],[Date posted]]&lt; DATE(2015,9,18),"Before Crisis","During Crisis")</f>
        <v>During Crisis</v>
      </c>
      <c r="G837" s="27">
        <f t="shared" si="78"/>
        <v>42312</v>
      </c>
      <c r="H837" s="7" t="str">
        <f t="shared" si="79"/>
        <v>17:52:44</v>
      </c>
      <c r="I837" s="8" t="str">
        <f t="shared" si="80"/>
        <v>Afternoon</v>
      </c>
      <c r="J837" t="s">
        <v>3358</v>
      </c>
      <c r="K837" t="s">
        <v>2370</v>
      </c>
      <c r="L837" s="3">
        <v>0</v>
      </c>
      <c r="M837" s="3">
        <v>0</v>
      </c>
      <c r="N837">
        <v>1</v>
      </c>
      <c r="O837" s="4">
        <f t="shared" si="81"/>
        <v>1</v>
      </c>
      <c r="P837" s="5" t="str">
        <f t="shared" si="82"/>
        <v>Low engagement</v>
      </c>
      <c r="Q837" t="b">
        <v>0</v>
      </c>
      <c r="R837" t="b">
        <v>0</v>
      </c>
      <c r="S837" t="b">
        <v>0</v>
      </c>
      <c r="T837" s="24" t="str">
        <f t="shared" si="83"/>
        <v>Text only</v>
      </c>
    </row>
    <row r="838" spans="1:20" hidden="1" x14ac:dyDescent="0.2">
      <c r="A838" t="s">
        <v>3351</v>
      </c>
      <c r="B838" t="s">
        <v>2365</v>
      </c>
      <c r="C838" t="s">
        <v>2366</v>
      </c>
      <c r="D838" t="s">
        <v>3352</v>
      </c>
      <c r="E838" t="s">
        <v>3353</v>
      </c>
      <c r="F838" t="str">
        <f>IF(Table2[[#This Row],[Date posted]]&lt; DATE(2015,9,18),"Before Crisis","During Crisis")</f>
        <v>During Crisis</v>
      </c>
      <c r="G838" s="27">
        <f t="shared" si="78"/>
        <v>42312</v>
      </c>
      <c r="H838" s="7" t="str">
        <f t="shared" si="79"/>
        <v>21:45:44</v>
      </c>
      <c r="I838" s="8" t="str">
        <f t="shared" si="80"/>
        <v>Evening</v>
      </c>
      <c r="J838" t="s">
        <v>3354</v>
      </c>
      <c r="K838" t="s">
        <v>2370</v>
      </c>
      <c r="L838" s="3">
        <v>0</v>
      </c>
      <c r="M838">
        <v>1</v>
      </c>
      <c r="N838">
        <v>1</v>
      </c>
      <c r="O838" s="4">
        <f t="shared" si="81"/>
        <v>2</v>
      </c>
      <c r="P838" s="5" t="str">
        <f t="shared" si="82"/>
        <v>Low engagement</v>
      </c>
      <c r="Q838" t="b">
        <v>0</v>
      </c>
      <c r="R838" t="b">
        <v>0</v>
      </c>
      <c r="S838" t="b">
        <v>0</v>
      </c>
      <c r="T838" s="24" t="str">
        <f t="shared" si="83"/>
        <v>Text only</v>
      </c>
    </row>
    <row r="839" spans="1:20" hidden="1" x14ac:dyDescent="0.2">
      <c r="A839" t="s">
        <v>3346</v>
      </c>
      <c r="B839" t="s">
        <v>2365</v>
      </c>
      <c r="C839" t="s">
        <v>2366</v>
      </c>
      <c r="D839" t="s">
        <v>3347</v>
      </c>
      <c r="E839" t="s">
        <v>3348</v>
      </c>
      <c r="F839" t="str">
        <f>IF(Table2[[#This Row],[Date posted]]&lt; DATE(2015,9,18),"Before Crisis","During Crisis")</f>
        <v>During Crisis</v>
      </c>
      <c r="G839" s="27">
        <f t="shared" si="78"/>
        <v>42313</v>
      </c>
      <c r="H839" s="7" t="str">
        <f t="shared" si="79"/>
        <v>20:33:33</v>
      </c>
      <c r="I839" s="8" t="str">
        <f t="shared" si="80"/>
        <v>Evening</v>
      </c>
      <c r="J839" t="s">
        <v>2370</v>
      </c>
      <c r="K839" t="s">
        <v>2370</v>
      </c>
      <c r="L839" s="3">
        <v>0</v>
      </c>
      <c r="M839" s="3">
        <v>0</v>
      </c>
      <c r="N839">
        <v>1</v>
      </c>
      <c r="O839" s="4">
        <f t="shared" si="81"/>
        <v>1</v>
      </c>
      <c r="P839" s="5" t="str">
        <f t="shared" si="82"/>
        <v>Low engagement</v>
      </c>
      <c r="Q839" t="b">
        <v>0</v>
      </c>
      <c r="R839" t="b">
        <v>0</v>
      </c>
      <c r="S839" t="b">
        <v>0</v>
      </c>
      <c r="T839" s="24" t="str">
        <f t="shared" si="83"/>
        <v>Text only</v>
      </c>
    </row>
    <row r="840" spans="1:20" hidden="1" x14ac:dyDescent="0.2">
      <c r="A840" t="s">
        <v>3343</v>
      </c>
      <c r="B840" t="s">
        <v>2365</v>
      </c>
      <c r="C840" t="s">
        <v>2366</v>
      </c>
      <c r="D840" t="s">
        <v>3344</v>
      </c>
      <c r="E840" t="s">
        <v>3345</v>
      </c>
      <c r="F840" t="str">
        <f>IF(Table2[[#This Row],[Date posted]]&lt; DATE(2015,9,18),"Before Crisis","During Crisis")</f>
        <v>During Crisis</v>
      </c>
      <c r="G840" s="27">
        <f t="shared" si="78"/>
        <v>42313</v>
      </c>
      <c r="H840" s="7" t="str">
        <f t="shared" si="79"/>
        <v>20:33:34</v>
      </c>
      <c r="I840" s="8" t="str">
        <f t="shared" si="80"/>
        <v>Evening</v>
      </c>
      <c r="J840" t="s">
        <v>3342</v>
      </c>
      <c r="K840" t="s">
        <v>2370</v>
      </c>
      <c r="L840" s="3">
        <v>0</v>
      </c>
      <c r="M840" s="3">
        <v>0</v>
      </c>
      <c r="N840">
        <v>1</v>
      </c>
      <c r="O840" s="4">
        <f t="shared" si="81"/>
        <v>1</v>
      </c>
      <c r="P840" s="5" t="str">
        <f t="shared" si="82"/>
        <v>Low engagement</v>
      </c>
      <c r="Q840" t="b">
        <v>0</v>
      </c>
      <c r="R840" t="b">
        <v>0</v>
      </c>
      <c r="S840" t="b">
        <v>0</v>
      </c>
      <c r="T840" s="24" t="str">
        <f t="shared" si="83"/>
        <v>Text only</v>
      </c>
    </row>
    <row r="841" spans="1:20" hidden="1" x14ac:dyDescent="0.2">
      <c r="A841" t="s">
        <v>3339</v>
      </c>
      <c r="B841" t="s">
        <v>2365</v>
      </c>
      <c r="C841" t="s">
        <v>2366</v>
      </c>
      <c r="D841" t="s">
        <v>3340</v>
      </c>
      <c r="E841" t="s">
        <v>3341</v>
      </c>
      <c r="F841" t="str">
        <f>IF(Table2[[#This Row],[Date posted]]&lt; DATE(2015,9,18),"Before Crisis","During Crisis")</f>
        <v>During Crisis</v>
      </c>
      <c r="G841" s="27">
        <f t="shared" si="78"/>
        <v>42313</v>
      </c>
      <c r="H841" s="7" t="str">
        <f t="shared" si="79"/>
        <v>20:44:22</v>
      </c>
      <c r="I841" s="8" t="str">
        <f t="shared" si="80"/>
        <v>Evening</v>
      </c>
      <c r="J841" t="s">
        <v>3342</v>
      </c>
      <c r="K841" t="s">
        <v>2370</v>
      </c>
      <c r="L841" s="3">
        <v>0</v>
      </c>
      <c r="M841" s="3">
        <v>0</v>
      </c>
      <c r="N841">
        <v>1</v>
      </c>
      <c r="O841" s="4">
        <f t="shared" si="81"/>
        <v>1</v>
      </c>
      <c r="P841" s="5" t="str">
        <f t="shared" si="82"/>
        <v>Low engagement</v>
      </c>
      <c r="Q841" t="b">
        <v>0</v>
      </c>
      <c r="R841" t="b">
        <v>0</v>
      </c>
      <c r="S841" t="b">
        <v>0</v>
      </c>
      <c r="T841" s="24" t="str">
        <f t="shared" si="83"/>
        <v>Text only</v>
      </c>
    </row>
    <row r="842" spans="1:20" hidden="1" x14ac:dyDescent="0.2">
      <c r="A842" t="s">
        <v>3336</v>
      </c>
      <c r="B842" t="s">
        <v>2365</v>
      </c>
      <c r="C842" t="s">
        <v>2366</v>
      </c>
      <c r="D842" t="s">
        <v>3337</v>
      </c>
      <c r="E842" t="s">
        <v>3338</v>
      </c>
      <c r="F842" t="str">
        <f>IF(Table2[[#This Row],[Date posted]]&lt; DATE(2015,9,18),"Before Crisis","During Crisis")</f>
        <v>During Crisis</v>
      </c>
      <c r="G842" s="27">
        <f t="shared" si="78"/>
        <v>42313</v>
      </c>
      <c r="H842" s="7" t="str">
        <f t="shared" si="79"/>
        <v>20:44:23</v>
      </c>
      <c r="I842" s="8" t="str">
        <f t="shared" si="80"/>
        <v>Evening</v>
      </c>
      <c r="J842" t="s">
        <v>2370</v>
      </c>
      <c r="K842" t="s">
        <v>2370</v>
      </c>
      <c r="L842" s="3">
        <v>0</v>
      </c>
      <c r="M842" s="3">
        <v>0</v>
      </c>
      <c r="N842">
        <v>1</v>
      </c>
      <c r="O842" s="4">
        <f t="shared" si="81"/>
        <v>1</v>
      </c>
      <c r="P842" s="5" t="str">
        <f t="shared" si="82"/>
        <v>Low engagement</v>
      </c>
      <c r="Q842" t="b">
        <v>0</v>
      </c>
      <c r="R842" t="b">
        <v>0</v>
      </c>
      <c r="S842" t="b">
        <v>0</v>
      </c>
      <c r="T842" s="24" t="str">
        <f t="shared" si="83"/>
        <v>Text only</v>
      </c>
    </row>
    <row r="843" spans="1:20" hidden="1" x14ac:dyDescent="0.2">
      <c r="A843" t="s">
        <v>3332</v>
      </c>
      <c r="B843" t="s">
        <v>2365</v>
      </c>
      <c r="C843" t="s">
        <v>2366</v>
      </c>
      <c r="D843" t="s">
        <v>3333</v>
      </c>
      <c r="E843" t="s">
        <v>3334</v>
      </c>
      <c r="F843" t="str">
        <f>IF(Table2[[#This Row],[Date posted]]&lt; DATE(2015,9,18),"Before Crisis","During Crisis")</f>
        <v>During Crisis</v>
      </c>
      <c r="G843" s="27">
        <f t="shared" si="78"/>
        <v>42314</v>
      </c>
      <c r="H843" s="7" t="str">
        <f t="shared" si="79"/>
        <v>14:50:59</v>
      </c>
      <c r="I843" s="8" t="str">
        <f t="shared" si="80"/>
        <v>Afternoon</v>
      </c>
      <c r="J843" t="s">
        <v>3335</v>
      </c>
      <c r="K843" t="s">
        <v>2370</v>
      </c>
      <c r="L843" s="3">
        <v>0</v>
      </c>
      <c r="M843" s="3">
        <v>0</v>
      </c>
      <c r="N843">
        <v>1</v>
      </c>
      <c r="O843" s="4">
        <f t="shared" si="81"/>
        <v>1</v>
      </c>
      <c r="P843" s="5" t="str">
        <f t="shared" si="82"/>
        <v>Low engagement</v>
      </c>
      <c r="Q843" t="b">
        <v>0</v>
      </c>
      <c r="R843" t="b">
        <v>0</v>
      </c>
      <c r="S843" t="b">
        <v>0</v>
      </c>
      <c r="T843" s="24" t="str">
        <f t="shared" si="83"/>
        <v>Text only</v>
      </c>
    </row>
    <row r="844" spans="1:20" hidden="1" x14ac:dyDescent="0.2">
      <c r="A844" t="s">
        <v>3329</v>
      </c>
      <c r="B844" t="s">
        <v>2365</v>
      </c>
      <c r="C844" t="s">
        <v>2366</v>
      </c>
      <c r="D844" t="s">
        <v>3330</v>
      </c>
      <c r="E844" t="s">
        <v>3331</v>
      </c>
      <c r="F844" t="str">
        <f>IF(Table2[[#This Row],[Date posted]]&lt; DATE(2015,9,18),"Before Crisis","During Crisis")</f>
        <v>During Crisis</v>
      </c>
      <c r="G844" s="27">
        <f t="shared" si="78"/>
        <v>42314</v>
      </c>
      <c r="H844" s="7" t="str">
        <f t="shared" si="79"/>
        <v>15:01:23</v>
      </c>
      <c r="I844" s="8" t="str">
        <f t="shared" si="80"/>
        <v>Afternoon</v>
      </c>
      <c r="J844" t="s">
        <v>3328</v>
      </c>
      <c r="K844" t="s">
        <v>2370</v>
      </c>
      <c r="L844" s="3">
        <v>0</v>
      </c>
      <c r="M844" s="3">
        <v>0</v>
      </c>
      <c r="N844">
        <v>1</v>
      </c>
      <c r="O844" s="4">
        <f t="shared" si="81"/>
        <v>1</v>
      </c>
      <c r="P844" s="5" t="str">
        <f t="shared" si="82"/>
        <v>Low engagement</v>
      </c>
      <c r="Q844" t="b">
        <v>0</v>
      </c>
      <c r="R844" t="b">
        <v>0</v>
      </c>
      <c r="S844" t="b">
        <v>0</v>
      </c>
      <c r="T844" s="24" t="str">
        <f t="shared" si="83"/>
        <v>Text only</v>
      </c>
    </row>
    <row r="845" spans="1:20" hidden="1" x14ac:dyDescent="0.2">
      <c r="A845" t="s">
        <v>3325</v>
      </c>
      <c r="B845" t="s">
        <v>2365</v>
      </c>
      <c r="C845" t="s">
        <v>2366</v>
      </c>
      <c r="D845" t="s">
        <v>3326</v>
      </c>
      <c r="E845" t="s">
        <v>3327</v>
      </c>
      <c r="F845" t="str">
        <f>IF(Table2[[#This Row],[Date posted]]&lt; DATE(2015,9,18),"Before Crisis","During Crisis")</f>
        <v>During Crisis</v>
      </c>
      <c r="G845" s="27">
        <f t="shared" si="78"/>
        <v>42314</v>
      </c>
      <c r="H845" s="7" t="str">
        <f t="shared" si="79"/>
        <v>15:08:21</v>
      </c>
      <c r="I845" s="8" t="str">
        <f t="shared" si="80"/>
        <v>Afternoon</v>
      </c>
      <c r="J845" t="s">
        <v>3328</v>
      </c>
      <c r="K845" t="s">
        <v>2370</v>
      </c>
      <c r="L845" s="3">
        <v>0</v>
      </c>
      <c r="M845" s="3">
        <v>0</v>
      </c>
      <c r="N845">
        <v>1</v>
      </c>
      <c r="O845" s="4">
        <f t="shared" si="81"/>
        <v>1</v>
      </c>
      <c r="P845" s="5" t="str">
        <f t="shared" si="82"/>
        <v>Low engagement</v>
      </c>
      <c r="Q845" t="b">
        <v>0</v>
      </c>
      <c r="R845" t="b">
        <v>0</v>
      </c>
      <c r="S845" t="b">
        <v>0</v>
      </c>
      <c r="T845" s="24" t="str">
        <f t="shared" si="83"/>
        <v>Text only</v>
      </c>
    </row>
    <row r="846" spans="1:20" hidden="1" x14ac:dyDescent="0.2">
      <c r="A846" t="s">
        <v>3319</v>
      </c>
      <c r="B846" t="s">
        <v>2365</v>
      </c>
      <c r="C846" t="s">
        <v>2366</v>
      </c>
      <c r="D846" t="s">
        <v>3320</v>
      </c>
      <c r="E846" t="s">
        <v>3321</v>
      </c>
      <c r="F846" t="str">
        <f>IF(Table2[[#This Row],[Date posted]]&lt; DATE(2015,9,18),"Before Crisis","During Crisis")</f>
        <v>During Crisis</v>
      </c>
      <c r="G846" s="27">
        <f t="shared" si="78"/>
        <v>42314</v>
      </c>
      <c r="H846" s="7" t="str">
        <f t="shared" si="79"/>
        <v>15:08:22</v>
      </c>
      <c r="I846" s="8" t="str">
        <f t="shared" si="80"/>
        <v>Afternoon</v>
      </c>
      <c r="J846" t="s">
        <v>3322</v>
      </c>
      <c r="K846" t="s">
        <v>2370</v>
      </c>
      <c r="L846" s="3">
        <v>0</v>
      </c>
      <c r="M846" s="3">
        <v>0</v>
      </c>
      <c r="N846">
        <v>1</v>
      </c>
      <c r="O846" s="4">
        <f t="shared" si="81"/>
        <v>1</v>
      </c>
      <c r="P846" s="5" t="str">
        <f t="shared" si="82"/>
        <v>Low engagement</v>
      </c>
      <c r="Q846" t="b">
        <v>0</v>
      </c>
      <c r="R846" t="b">
        <v>0</v>
      </c>
      <c r="S846" t="b">
        <v>0</v>
      </c>
      <c r="T846" s="24" t="str">
        <f t="shared" si="83"/>
        <v>Text only</v>
      </c>
    </row>
    <row r="847" spans="1:20" hidden="1" x14ac:dyDescent="0.2">
      <c r="A847" t="s">
        <v>3323</v>
      </c>
      <c r="B847" t="s">
        <v>2365</v>
      </c>
      <c r="C847" t="s">
        <v>2366</v>
      </c>
      <c r="D847" t="s">
        <v>3324</v>
      </c>
      <c r="E847" t="s">
        <v>3321</v>
      </c>
      <c r="F847" t="str">
        <f>IF(Table2[[#This Row],[Date posted]]&lt; DATE(2015,9,18),"Before Crisis","During Crisis")</f>
        <v>During Crisis</v>
      </c>
      <c r="G847" s="27">
        <f t="shared" si="78"/>
        <v>42314</v>
      </c>
      <c r="H847" s="7" t="str">
        <f t="shared" si="79"/>
        <v>15:08:22</v>
      </c>
      <c r="I847" s="8" t="str">
        <f t="shared" si="80"/>
        <v>Afternoon</v>
      </c>
      <c r="J847" t="s">
        <v>3322</v>
      </c>
      <c r="K847" t="s">
        <v>2370</v>
      </c>
      <c r="L847" s="3">
        <v>0</v>
      </c>
      <c r="M847" s="3">
        <v>0</v>
      </c>
      <c r="N847">
        <v>1</v>
      </c>
      <c r="O847" s="4">
        <f t="shared" si="81"/>
        <v>1</v>
      </c>
      <c r="P847" s="5" t="str">
        <f t="shared" si="82"/>
        <v>Low engagement</v>
      </c>
      <c r="Q847" t="b">
        <v>0</v>
      </c>
      <c r="R847" t="b">
        <v>0</v>
      </c>
      <c r="S847" t="b">
        <v>0</v>
      </c>
      <c r="T847" s="24" t="str">
        <f t="shared" si="83"/>
        <v>Text only</v>
      </c>
    </row>
    <row r="848" spans="1:20" hidden="1" x14ac:dyDescent="0.2">
      <c r="A848" t="s">
        <v>3315</v>
      </c>
      <c r="B848" t="s">
        <v>2365</v>
      </c>
      <c r="C848" t="s">
        <v>2366</v>
      </c>
      <c r="D848" t="s">
        <v>3316</v>
      </c>
      <c r="E848" t="s">
        <v>3317</v>
      </c>
      <c r="F848" t="str">
        <f>IF(Table2[[#This Row],[Date posted]]&lt; DATE(2015,9,18),"Before Crisis","During Crisis")</f>
        <v>During Crisis</v>
      </c>
      <c r="G848" s="27">
        <f t="shared" si="78"/>
        <v>42314</v>
      </c>
      <c r="H848" s="7" t="str">
        <f t="shared" si="79"/>
        <v>18:46:19</v>
      </c>
      <c r="I848" s="8" t="str">
        <f t="shared" si="80"/>
        <v>Evening</v>
      </c>
      <c r="J848" t="s">
        <v>3318</v>
      </c>
      <c r="K848" t="s">
        <v>2370</v>
      </c>
      <c r="L848" s="3">
        <v>0</v>
      </c>
      <c r="M848" s="3">
        <v>0</v>
      </c>
      <c r="N848">
        <v>1</v>
      </c>
      <c r="O848" s="4">
        <f t="shared" si="81"/>
        <v>1</v>
      </c>
      <c r="P848" s="5" t="str">
        <f t="shared" si="82"/>
        <v>Low engagement</v>
      </c>
      <c r="Q848" t="b">
        <v>0</v>
      </c>
      <c r="R848" t="b">
        <v>0</v>
      </c>
      <c r="S848" t="b">
        <v>0</v>
      </c>
      <c r="T848" s="24" t="str">
        <f t="shared" si="83"/>
        <v>Text only</v>
      </c>
    </row>
    <row r="849" spans="1:20" hidden="1" x14ac:dyDescent="0.2">
      <c r="A849" t="s">
        <v>3311</v>
      </c>
      <c r="B849" t="s">
        <v>2365</v>
      </c>
      <c r="C849" t="s">
        <v>2366</v>
      </c>
      <c r="D849" t="s">
        <v>3312</v>
      </c>
      <c r="E849" t="s">
        <v>3313</v>
      </c>
      <c r="F849" t="str">
        <f>IF(Table2[[#This Row],[Date posted]]&lt; DATE(2015,9,18),"Before Crisis","During Crisis")</f>
        <v>During Crisis</v>
      </c>
      <c r="G849" s="27">
        <f t="shared" si="78"/>
        <v>42314</v>
      </c>
      <c r="H849" s="7" t="str">
        <f t="shared" si="79"/>
        <v>19:00:32</v>
      </c>
      <c r="I849" s="8" t="str">
        <f t="shared" si="80"/>
        <v>Evening</v>
      </c>
      <c r="J849" t="s">
        <v>3314</v>
      </c>
      <c r="K849" t="s">
        <v>2370</v>
      </c>
      <c r="L849" s="3">
        <v>0</v>
      </c>
      <c r="M849" s="3">
        <v>0</v>
      </c>
      <c r="N849">
        <v>1</v>
      </c>
      <c r="O849" s="4">
        <f t="shared" si="81"/>
        <v>1</v>
      </c>
      <c r="P849" s="5" t="str">
        <f t="shared" si="82"/>
        <v>Low engagement</v>
      </c>
      <c r="Q849" t="b">
        <v>0</v>
      </c>
      <c r="R849" t="b">
        <v>0</v>
      </c>
      <c r="S849" t="b">
        <v>0</v>
      </c>
      <c r="T849" s="24" t="str">
        <f t="shared" si="83"/>
        <v>Text only</v>
      </c>
    </row>
    <row r="850" spans="1:20" hidden="1" x14ac:dyDescent="0.2">
      <c r="A850" t="s">
        <v>3304</v>
      </c>
      <c r="B850" t="s">
        <v>2365</v>
      </c>
      <c r="C850" t="s">
        <v>2366</v>
      </c>
      <c r="D850" t="s">
        <v>3305</v>
      </c>
      <c r="E850" t="s">
        <v>3306</v>
      </c>
      <c r="F850" t="str">
        <f>IF(Table2[[#This Row],[Date posted]]&lt; DATE(2015,9,18),"Before Crisis","During Crisis")</f>
        <v>During Crisis</v>
      </c>
      <c r="G850" s="27">
        <f t="shared" si="78"/>
        <v>42317</v>
      </c>
      <c r="H850" s="7" t="str">
        <f t="shared" si="79"/>
        <v>16:10:48</v>
      </c>
      <c r="I850" s="8" t="str">
        <f t="shared" si="80"/>
        <v>Afternoon</v>
      </c>
      <c r="J850" t="s">
        <v>2370</v>
      </c>
      <c r="K850" t="s">
        <v>2370</v>
      </c>
      <c r="L850" s="3">
        <v>0</v>
      </c>
      <c r="M850" s="3">
        <v>0</v>
      </c>
      <c r="N850">
        <v>1</v>
      </c>
      <c r="O850" s="4">
        <f t="shared" si="81"/>
        <v>1</v>
      </c>
      <c r="P850" s="5" t="str">
        <f t="shared" si="82"/>
        <v>Low engagement</v>
      </c>
      <c r="Q850" t="b">
        <v>0</v>
      </c>
      <c r="R850" t="b">
        <v>0</v>
      </c>
      <c r="S850" t="b">
        <v>0</v>
      </c>
      <c r="T850" s="24" t="str">
        <f t="shared" si="83"/>
        <v>Text only</v>
      </c>
    </row>
    <row r="851" spans="1:20" hidden="1" x14ac:dyDescent="0.2">
      <c r="A851" t="s">
        <v>3301</v>
      </c>
      <c r="B851" t="s">
        <v>2365</v>
      </c>
      <c r="C851" t="s">
        <v>2366</v>
      </c>
      <c r="D851" t="s">
        <v>3302</v>
      </c>
      <c r="E851" t="s">
        <v>3303</v>
      </c>
      <c r="F851" t="str">
        <f>IF(Table2[[#This Row],[Date posted]]&lt; DATE(2015,9,18),"Before Crisis","During Crisis")</f>
        <v>During Crisis</v>
      </c>
      <c r="G851" s="27">
        <f t="shared" si="78"/>
        <v>42317</v>
      </c>
      <c r="H851" s="7" t="str">
        <f t="shared" si="79"/>
        <v>18:38:01</v>
      </c>
      <c r="I851" s="8" t="str">
        <f t="shared" si="80"/>
        <v>Evening</v>
      </c>
      <c r="J851" t="s">
        <v>3262</v>
      </c>
      <c r="K851" t="s">
        <v>2370</v>
      </c>
      <c r="L851" s="3">
        <v>0</v>
      </c>
      <c r="M851">
        <v>1</v>
      </c>
      <c r="N851">
        <v>1</v>
      </c>
      <c r="O851" s="4">
        <f t="shared" si="81"/>
        <v>2</v>
      </c>
      <c r="P851" s="5" t="str">
        <f t="shared" si="82"/>
        <v>Low engagement</v>
      </c>
      <c r="Q851" t="b">
        <v>0</v>
      </c>
      <c r="R851" t="b">
        <v>0</v>
      </c>
      <c r="S851" t="b">
        <v>0</v>
      </c>
      <c r="T851" s="24" t="str">
        <f t="shared" si="83"/>
        <v>Text only</v>
      </c>
    </row>
    <row r="852" spans="1:20" hidden="1" x14ac:dyDescent="0.2">
      <c r="A852" t="s">
        <v>3299</v>
      </c>
      <c r="B852" t="s">
        <v>2365</v>
      </c>
      <c r="C852" t="s">
        <v>2366</v>
      </c>
      <c r="D852" t="s">
        <v>3300</v>
      </c>
      <c r="E852" t="s">
        <v>3297</v>
      </c>
      <c r="F852" t="str">
        <f>IF(Table2[[#This Row],[Date posted]]&lt; DATE(2015,9,18),"Before Crisis","During Crisis")</f>
        <v>During Crisis</v>
      </c>
      <c r="G852" s="27">
        <f t="shared" si="78"/>
        <v>42317</v>
      </c>
      <c r="H852" s="7" t="str">
        <f t="shared" si="79"/>
        <v>22:11:19</v>
      </c>
      <c r="I852" s="8" t="str">
        <f t="shared" si="80"/>
        <v>Evening</v>
      </c>
      <c r="J852" t="s">
        <v>3298</v>
      </c>
      <c r="K852" t="s">
        <v>2370</v>
      </c>
      <c r="L852" s="3">
        <v>0</v>
      </c>
      <c r="M852" s="3">
        <v>0</v>
      </c>
      <c r="N852">
        <v>1</v>
      </c>
      <c r="O852" s="4">
        <f t="shared" si="81"/>
        <v>1</v>
      </c>
      <c r="P852" s="5" t="str">
        <f t="shared" si="82"/>
        <v>Low engagement</v>
      </c>
      <c r="Q852" t="b">
        <v>0</v>
      </c>
      <c r="R852" t="b">
        <v>0</v>
      </c>
      <c r="S852" t="b">
        <v>0</v>
      </c>
      <c r="T852" s="24" t="str">
        <f t="shared" si="83"/>
        <v>Text only</v>
      </c>
    </row>
    <row r="853" spans="1:20" hidden="1" x14ac:dyDescent="0.2">
      <c r="A853" t="s">
        <v>3292</v>
      </c>
      <c r="B853" t="s">
        <v>2365</v>
      </c>
      <c r="C853" t="s">
        <v>2366</v>
      </c>
      <c r="D853" t="s">
        <v>3293</v>
      </c>
      <c r="E853" t="s">
        <v>3294</v>
      </c>
      <c r="F853" t="str">
        <f>IF(Table2[[#This Row],[Date posted]]&lt; DATE(2015,9,18),"Before Crisis","During Crisis")</f>
        <v>During Crisis</v>
      </c>
      <c r="G853" s="27">
        <f t="shared" si="78"/>
        <v>42318</v>
      </c>
      <c r="H853" s="7" t="str">
        <f t="shared" si="79"/>
        <v>18:20:17</v>
      </c>
      <c r="I853" s="8" t="str">
        <f t="shared" si="80"/>
        <v>Evening</v>
      </c>
      <c r="J853" t="s">
        <v>2370</v>
      </c>
      <c r="K853" t="s">
        <v>2370</v>
      </c>
      <c r="L853" s="3">
        <v>0</v>
      </c>
      <c r="M853" s="3">
        <v>0</v>
      </c>
      <c r="N853">
        <v>1</v>
      </c>
      <c r="O853" s="4">
        <f t="shared" si="81"/>
        <v>1</v>
      </c>
      <c r="P853" s="5" t="str">
        <f t="shared" si="82"/>
        <v>Low engagement</v>
      </c>
      <c r="Q853" t="b">
        <v>0</v>
      </c>
      <c r="R853" t="b">
        <v>0</v>
      </c>
      <c r="S853" t="b">
        <v>0</v>
      </c>
      <c r="T853" s="24" t="str">
        <f t="shared" si="83"/>
        <v>Text only</v>
      </c>
    </row>
    <row r="854" spans="1:20" hidden="1" x14ac:dyDescent="0.2">
      <c r="A854" t="s">
        <v>3290</v>
      </c>
      <c r="B854" t="s">
        <v>2365</v>
      </c>
      <c r="C854" t="s">
        <v>2366</v>
      </c>
      <c r="D854" t="s">
        <v>3291</v>
      </c>
      <c r="E854" t="s">
        <v>3289</v>
      </c>
      <c r="F854" t="str">
        <f>IF(Table2[[#This Row],[Date posted]]&lt; DATE(2015,9,18),"Before Crisis","During Crisis")</f>
        <v>During Crisis</v>
      </c>
      <c r="G854" s="27">
        <f t="shared" si="78"/>
        <v>42318</v>
      </c>
      <c r="H854" s="7" t="str">
        <f t="shared" si="79"/>
        <v>18:20:18</v>
      </c>
      <c r="I854" s="8" t="str">
        <f t="shared" si="80"/>
        <v>Evening</v>
      </c>
      <c r="J854" t="s">
        <v>2370</v>
      </c>
      <c r="K854" t="s">
        <v>2370</v>
      </c>
      <c r="L854" s="3">
        <v>0</v>
      </c>
      <c r="M854" s="3">
        <v>0</v>
      </c>
      <c r="N854">
        <v>1</v>
      </c>
      <c r="O854" s="4">
        <f t="shared" si="81"/>
        <v>1</v>
      </c>
      <c r="P854" s="5" t="str">
        <f t="shared" si="82"/>
        <v>Low engagement</v>
      </c>
      <c r="Q854" t="b">
        <v>0</v>
      </c>
      <c r="R854" t="b">
        <v>0</v>
      </c>
      <c r="S854" t="b">
        <v>0</v>
      </c>
      <c r="T854" s="24" t="str">
        <f t="shared" si="83"/>
        <v>Text only</v>
      </c>
    </row>
    <row r="855" spans="1:20" hidden="1" x14ac:dyDescent="0.2">
      <c r="A855" t="s">
        <v>3283</v>
      </c>
      <c r="B855" t="s">
        <v>2365</v>
      </c>
      <c r="C855" t="s">
        <v>2366</v>
      </c>
      <c r="D855" t="s">
        <v>3284</v>
      </c>
      <c r="E855" t="s">
        <v>3285</v>
      </c>
      <c r="F855" t="str">
        <f>IF(Table2[[#This Row],[Date posted]]&lt; DATE(2015,9,18),"Before Crisis","During Crisis")</f>
        <v>During Crisis</v>
      </c>
      <c r="G855" s="27">
        <f t="shared" si="78"/>
        <v>42318</v>
      </c>
      <c r="H855" s="7" t="str">
        <f t="shared" si="79"/>
        <v>22:31:15</v>
      </c>
      <c r="I855" s="8" t="str">
        <f t="shared" si="80"/>
        <v>Evening</v>
      </c>
      <c r="J855" t="s">
        <v>3286</v>
      </c>
      <c r="K855" t="s">
        <v>2370</v>
      </c>
      <c r="L855" s="3">
        <v>0</v>
      </c>
      <c r="M855" s="3">
        <v>0</v>
      </c>
      <c r="N855">
        <v>1</v>
      </c>
      <c r="O855" s="4">
        <f t="shared" si="81"/>
        <v>1</v>
      </c>
      <c r="P855" s="5" t="str">
        <f t="shared" si="82"/>
        <v>Low engagement</v>
      </c>
      <c r="Q855" t="b">
        <v>0</v>
      </c>
      <c r="R855" t="b">
        <v>0</v>
      </c>
      <c r="S855" t="b">
        <v>0</v>
      </c>
      <c r="T855" s="24" t="str">
        <f t="shared" si="83"/>
        <v>Text only</v>
      </c>
    </row>
    <row r="856" spans="1:20" hidden="1" x14ac:dyDescent="0.2">
      <c r="A856" t="s">
        <v>3270</v>
      </c>
      <c r="B856" t="s">
        <v>2365</v>
      </c>
      <c r="C856" t="s">
        <v>2366</v>
      </c>
      <c r="D856" t="s">
        <v>3271</v>
      </c>
      <c r="E856" t="s">
        <v>3272</v>
      </c>
      <c r="F856" t="str">
        <f>IF(Table2[[#This Row],[Date posted]]&lt; DATE(2015,9,18),"Before Crisis","During Crisis")</f>
        <v>During Crisis</v>
      </c>
      <c r="G856" s="27">
        <f t="shared" si="78"/>
        <v>42319</v>
      </c>
      <c r="H856" s="7" t="str">
        <f t="shared" si="79"/>
        <v>16:22:38</v>
      </c>
      <c r="I856" s="8" t="str">
        <f t="shared" si="80"/>
        <v>Afternoon</v>
      </c>
      <c r="J856" t="s">
        <v>3273</v>
      </c>
      <c r="K856" t="s">
        <v>2370</v>
      </c>
      <c r="L856">
        <v>1</v>
      </c>
      <c r="M856" s="3">
        <v>0</v>
      </c>
      <c r="N856">
        <v>1</v>
      </c>
      <c r="O856" s="4">
        <f t="shared" si="81"/>
        <v>2</v>
      </c>
      <c r="P856" s="5" t="str">
        <f t="shared" si="82"/>
        <v>Low engagement</v>
      </c>
      <c r="Q856" t="b">
        <v>0</v>
      </c>
      <c r="R856" t="b">
        <v>0</v>
      </c>
      <c r="S856" t="b">
        <v>0</v>
      </c>
      <c r="T856" s="24" t="str">
        <f t="shared" si="83"/>
        <v>Text only</v>
      </c>
    </row>
    <row r="857" spans="1:20" hidden="1" x14ac:dyDescent="0.2">
      <c r="A857" t="s">
        <v>3274</v>
      </c>
      <c r="B857" t="s">
        <v>2365</v>
      </c>
      <c r="C857" t="s">
        <v>2366</v>
      </c>
      <c r="D857" t="s">
        <v>3275</v>
      </c>
      <c r="E857" t="s">
        <v>3272</v>
      </c>
      <c r="F857" t="str">
        <f>IF(Table2[[#This Row],[Date posted]]&lt; DATE(2015,9,18),"Before Crisis","During Crisis")</f>
        <v>During Crisis</v>
      </c>
      <c r="G857" s="27">
        <f t="shared" si="78"/>
        <v>42319</v>
      </c>
      <c r="H857" s="7" t="str">
        <f t="shared" si="79"/>
        <v>16:22:38</v>
      </c>
      <c r="I857" s="8" t="str">
        <f t="shared" si="80"/>
        <v>Afternoon</v>
      </c>
      <c r="J857" t="s">
        <v>3276</v>
      </c>
      <c r="K857" t="s">
        <v>2370</v>
      </c>
      <c r="L857" s="3">
        <v>0</v>
      </c>
      <c r="M857" s="3">
        <v>0</v>
      </c>
      <c r="N857">
        <v>1</v>
      </c>
      <c r="O857" s="4">
        <f t="shared" si="81"/>
        <v>1</v>
      </c>
      <c r="P857" s="5" t="str">
        <f t="shared" si="82"/>
        <v>Low engagement</v>
      </c>
      <c r="Q857" t="b">
        <v>0</v>
      </c>
      <c r="R857" t="b">
        <v>0</v>
      </c>
      <c r="S857" t="b">
        <v>0</v>
      </c>
      <c r="T857" s="24" t="str">
        <f t="shared" si="83"/>
        <v>Text only</v>
      </c>
    </row>
    <row r="858" spans="1:20" hidden="1" x14ac:dyDescent="0.2">
      <c r="A858" t="s">
        <v>3267</v>
      </c>
      <c r="B858" t="s">
        <v>2365</v>
      </c>
      <c r="C858" t="s">
        <v>2366</v>
      </c>
      <c r="D858" t="s">
        <v>3268</v>
      </c>
      <c r="E858" t="s">
        <v>3269</v>
      </c>
      <c r="F858" t="str">
        <f>IF(Table2[[#This Row],[Date posted]]&lt; DATE(2015,9,18),"Before Crisis","During Crisis")</f>
        <v>During Crisis</v>
      </c>
      <c r="G858" s="27">
        <f t="shared" si="78"/>
        <v>42319</v>
      </c>
      <c r="H858" s="7" t="str">
        <f t="shared" si="79"/>
        <v>16:22:39</v>
      </c>
      <c r="I858" s="8" t="str">
        <f t="shared" si="80"/>
        <v>Afternoon</v>
      </c>
      <c r="J858" t="s">
        <v>2370</v>
      </c>
      <c r="K858" t="s">
        <v>2370</v>
      </c>
      <c r="L858" s="3">
        <v>0</v>
      </c>
      <c r="M858" s="3">
        <v>0</v>
      </c>
      <c r="N858">
        <v>1</v>
      </c>
      <c r="O858" s="4">
        <f t="shared" si="81"/>
        <v>1</v>
      </c>
      <c r="P858" s="5" t="str">
        <f t="shared" si="82"/>
        <v>Low engagement</v>
      </c>
      <c r="Q858" t="b">
        <v>0</v>
      </c>
      <c r="R858" t="b">
        <v>0</v>
      </c>
      <c r="S858" t="b">
        <v>0</v>
      </c>
      <c r="T858" s="24" t="str">
        <f t="shared" si="83"/>
        <v>Text only</v>
      </c>
    </row>
    <row r="859" spans="1:20" hidden="1" x14ac:dyDescent="0.2">
      <c r="A859" t="s">
        <v>3259</v>
      </c>
      <c r="B859" t="s">
        <v>2365</v>
      </c>
      <c r="C859" t="s">
        <v>2366</v>
      </c>
      <c r="D859" t="s">
        <v>3260</v>
      </c>
      <c r="E859" t="s">
        <v>3261</v>
      </c>
      <c r="F859" t="str">
        <f>IF(Table2[[#This Row],[Date posted]]&lt; DATE(2015,9,18),"Before Crisis","During Crisis")</f>
        <v>During Crisis</v>
      </c>
      <c r="G859" s="27">
        <f t="shared" si="78"/>
        <v>42319</v>
      </c>
      <c r="H859" s="7" t="str">
        <f t="shared" si="79"/>
        <v>16:22:40</v>
      </c>
      <c r="I859" s="8" t="str">
        <f t="shared" si="80"/>
        <v>Afternoon</v>
      </c>
      <c r="J859" t="s">
        <v>3262</v>
      </c>
      <c r="K859" t="s">
        <v>2370</v>
      </c>
      <c r="L859" s="3">
        <v>0</v>
      </c>
      <c r="M859" s="3">
        <v>0</v>
      </c>
      <c r="N859">
        <v>1</v>
      </c>
      <c r="O859" s="4">
        <f t="shared" si="81"/>
        <v>1</v>
      </c>
      <c r="P859" s="5" t="str">
        <f t="shared" si="82"/>
        <v>Low engagement</v>
      </c>
      <c r="Q859" t="b">
        <v>0</v>
      </c>
      <c r="R859" t="b">
        <v>0</v>
      </c>
      <c r="S859" t="b">
        <v>0</v>
      </c>
      <c r="T859" s="24" t="str">
        <f t="shared" si="83"/>
        <v>Text only</v>
      </c>
    </row>
    <row r="860" spans="1:20" hidden="1" x14ac:dyDescent="0.2">
      <c r="A860" t="s">
        <v>3265</v>
      </c>
      <c r="B860" t="s">
        <v>2365</v>
      </c>
      <c r="C860" t="s">
        <v>2366</v>
      </c>
      <c r="D860" t="s">
        <v>3266</v>
      </c>
      <c r="E860" t="s">
        <v>3261</v>
      </c>
      <c r="F860" t="str">
        <f>IF(Table2[[#This Row],[Date posted]]&lt; DATE(2015,9,18),"Before Crisis","During Crisis")</f>
        <v>During Crisis</v>
      </c>
      <c r="G860" s="27">
        <f t="shared" si="78"/>
        <v>42319</v>
      </c>
      <c r="H860" s="7" t="str">
        <f t="shared" si="79"/>
        <v>16:22:40</v>
      </c>
      <c r="I860" s="8" t="str">
        <f t="shared" si="80"/>
        <v>Afternoon</v>
      </c>
      <c r="J860" t="s">
        <v>2370</v>
      </c>
      <c r="K860" t="s">
        <v>2370</v>
      </c>
      <c r="L860" s="3">
        <v>0</v>
      </c>
      <c r="M860" s="3">
        <v>0</v>
      </c>
      <c r="N860">
        <v>1</v>
      </c>
      <c r="O860" s="4">
        <f t="shared" si="81"/>
        <v>1</v>
      </c>
      <c r="P860" s="5" t="str">
        <f t="shared" si="82"/>
        <v>Low engagement</v>
      </c>
      <c r="Q860" t="b">
        <v>0</v>
      </c>
      <c r="R860" t="b">
        <v>0</v>
      </c>
      <c r="S860" t="b">
        <v>0</v>
      </c>
      <c r="T860" s="24" t="str">
        <f t="shared" si="83"/>
        <v>Text only</v>
      </c>
    </row>
    <row r="861" spans="1:20" hidden="1" x14ac:dyDescent="0.2">
      <c r="A861" t="s">
        <v>3253</v>
      </c>
      <c r="B861" t="s">
        <v>2365</v>
      </c>
      <c r="C861" t="s">
        <v>2366</v>
      </c>
      <c r="D861" t="s">
        <v>3254</v>
      </c>
      <c r="E861" t="s">
        <v>3255</v>
      </c>
      <c r="F861" t="str">
        <f>IF(Table2[[#This Row],[Date posted]]&lt; DATE(2015,9,18),"Before Crisis","During Crisis")</f>
        <v>During Crisis</v>
      </c>
      <c r="G861" s="27">
        <f t="shared" si="78"/>
        <v>42319</v>
      </c>
      <c r="H861" s="7" t="str">
        <f t="shared" si="79"/>
        <v>16:33:19</v>
      </c>
      <c r="I861" s="8" t="str">
        <f t="shared" si="80"/>
        <v>Afternoon</v>
      </c>
      <c r="J861" t="s">
        <v>3256</v>
      </c>
      <c r="K861" t="s">
        <v>2370</v>
      </c>
      <c r="L861" s="3">
        <v>0</v>
      </c>
      <c r="M861" s="3">
        <v>0</v>
      </c>
      <c r="N861">
        <v>1</v>
      </c>
      <c r="O861" s="4">
        <f t="shared" si="81"/>
        <v>1</v>
      </c>
      <c r="P861" s="5" t="str">
        <f t="shared" si="82"/>
        <v>Low engagement</v>
      </c>
      <c r="Q861" t="b">
        <v>0</v>
      </c>
      <c r="R861" t="b">
        <v>0</v>
      </c>
      <c r="S861" t="b">
        <v>0</v>
      </c>
      <c r="T861" s="24" t="str">
        <f t="shared" si="83"/>
        <v>Text only</v>
      </c>
    </row>
    <row r="862" spans="1:20" hidden="1" x14ac:dyDescent="0.2">
      <c r="A862" t="s">
        <v>3257</v>
      </c>
      <c r="B862" t="s">
        <v>2365</v>
      </c>
      <c r="C862" t="s">
        <v>2366</v>
      </c>
      <c r="D862" t="s">
        <v>3258</v>
      </c>
      <c r="E862" t="s">
        <v>3255</v>
      </c>
      <c r="F862" t="str">
        <f>IF(Table2[[#This Row],[Date posted]]&lt; DATE(2015,9,18),"Before Crisis","During Crisis")</f>
        <v>During Crisis</v>
      </c>
      <c r="G862" s="27">
        <f t="shared" si="78"/>
        <v>42319</v>
      </c>
      <c r="H862" s="7" t="str">
        <f t="shared" si="79"/>
        <v>16:33:19</v>
      </c>
      <c r="I862" s="8" t="str">
        <f t="shared" si="80"/>
        <v>Afternoon</v>
      </c>
      <c r="J862" t="s">
        <v>3256</v>
      </c>
      <c r="K862" t="s">
        <v>2370</v>
      </c>
      <c r="L862" s="3">
        <v>0</v>
      </c>
      <c r="M862">
        <v>1</v>
      </c>
      <c r="N862">
        <v>1</v>
      </c>
      <c r="O862" s="4">
        <f t="shared" si="81"/>
        <v>2</v>
      </c>
      <c r="P862" s="5" t="str">
        <f t="shared" si="82"/>
        <v>Low engagement</v>
      </c>
      <c r="Q862" t="b">
        <v>0</v>
      </c>
      <c r="R862" t="b">
        <v>0</v>
      </c>
      <c r="S862" t="b">
        <v>0</v>
      </c>
      <c r="T862" s="24" t="str">
        <f t="shared" si="83"/>
        <v>Text only</v>
      </c>
    </row>
    <row r="863" spans="1:20" hidden="1" x14ac:dyDescent="0.2">
      <c r="A863" t="s">
        <v>3249</v>
      </c>
      <c r="B863" t="s">
        <v>2365</v>
      </c>
      <c r="C863" t="s">
        <v>2366</v>
      </c>
      <c r="D863" t="s">
        <v>3250</v>
      </c>
      <c r="E863" t="s">
        <v>3251</v>
      </c>
      <c r="F863" t="str">
        <f>IF(Table2[[#This Row],[Date posted]]&lt; DATE(2015,9,18),"Before Crisis","During Crisis")</f>
        <v>During Crisis</v>
      </c>
      <c r="G863" s="27">
        <f t="shared" si="78"/>
        <v>42319</v>
      </c>
      <c r="H863" s="7" t="str">
        <f t="shared" si="79"/>
        <v>19:24:27</v>
      </c>
      <c r="I863" s="8" t="str">
        <f t="shared" si="80"/>
        <v>Evening</v>
      </c>
      <c r="J863" t="s">
        <v>3252</v>
      </c>
      <c r="K863" t="s">
        <v>2370</v>
      </c>
      <c r="L863" s="3">
        <v>0</v>
      </c>
      <c r="M863" s="3">
        <v>0</v>
      </c>
      <c r="N863">
        <v>1</v>
      </c>
      <c r="O863" s="4">
        <f t="shared" si="81"/>
        <v>1</v>
      </c>
      <c r="P863" s="5" t="str">
        <f t="shared" si="82"/>
        <v>Low engagement</v>
      </c>
      <c r="Q863" t="b">
        <v>0</v>
      </c>
      <c r="R863" t="b">
        <v>0</v>
      </c>
      <c r="S863" t="b">
        <v>0</v>
      </c>
      <c r="T863" s="24" t="str">
        <f t="shared" si="83"/>
        <v>Text only</v>
      </c>
    </row>
    <row r="864" spans="1:20" hidden="1" x14ac:dyDescent="0.2">
      <c r="A864" t="s">
        <v>3240</v>
      </c>
      <c r="B864" t="s">
        <v>2365</v>
      </c>
      <c r="C864" t="s">
        <v>2366</v>
      </c>
      <c r="D864" t="s">
        <v>3241</v>
      </c>
      <c r="E864" t="s">
        <v>3242</v>
      </c>
      <c r="F864" t="str">
        <f>IF(Table2[[#This Row],[Date posted]]&lt; DATE(2015,9,18),"Before Crisis","During Crisis")</f>
        <v>During Crisis</v>
      </c>
      <c r="G864" s="27">
        <f t="shared" si="78"/>
        <v>42319</v>
      </c>
      <c r="H864" s="7" t="str">
        <f t="shared" si="79"/>
        <v>19:45:11</v>
      </c>
      <c r="I864" s="8" t="str">
        <f t="shared" si="80"/>
        <v>Evening</v>
      </c>
      <c r="J864" t="s">
        <v>3243</v>
      </c>
      <c r="K864" t="s">
        <v>2370</v>
      </c>
      <c r="L864" s="3">
        <v>0</v>
      </c>
      <c r="M864" s="3">
        <v>0</v>
      </c>
      <c r="N864">
        <v>1</v>
      </c>
      <c r="O864" s="4">
        <f t="shared" si="81"/>
        <v>1</v>
      </c>
      <c r="P864" s="5" t="str">
        <f t="shared" si="82"/>
        <v>Low engagement</v>
      </c>
      <c r="Q864" t="b">
        <v>0</v>
      </c>
      <c r="R864" t="b">
        <v>0</v>
      </c>
      <c r="S864" t="b">
        <v>0</v>
      </c>
      <c r="T864" s="24" t="str">
        <f t="shared" si="83"/>
        <v>Text only</v>
      </c>
    </row>
    <row r="865" spans="1:20" hidden="1" x14ac:dyDescent="0.2">
      <c r="A865" t="s">
        <v>3244</v>
      </c>
      <c r="B865" t="s">
        <v>2365</v>
      </c>
      <c r="C865" t="s">
        <v>2366</v>
      </c>
      <c r="D865" t="s">
        <v>3245</v>
      </c>
      <c r="E865" t="s">
        <v>3242</v>
      </c>
      <c r="F865" t="str">
        <f>IF(Table2[[#This Row],[Date posted]]&lt; DATE(2015,9,18),"Before Crisis","During Crisis")</f>
        <v>During Crisis</v>
      </c>
      <c r="G865" s="27">
        <f t="shared" si="78"/>
        <v>42319</v>
      </c>
      <c r="H865" s="7" t="str">
        <f t="shared" si="79"/>
        <v>19:45:11</v>
      </c>
      <c r="I865" s="8" t="str">
        <f t="shared" si="80"/>
        <v>Evening</v>
      </c>
      <c r="J865" t="s">
        <v>3243</v>
      </c>
      <c r="K865" t="s">
        <v>2370</v>
      </c>
      <c r="L865" s="3">
        <v>0</v>
      </c>
      <c r="M865" s="3">
        <v>0</v>
      </c>
      <c r="N865">
        <v>1</v>
      </c>
      <c r="O865" s="4">
        <f t="shared" si="81"/>
        <v>1</v>
      </c>
      <c r="P865" s="5" t="str">
        <f t="shared" si="82"/>
        <v>Low engagement</v>
      </c>
      <c r="Q865" t="b">
        <v>0</v>
      </c>
      <c r="R865" t="b">
        <v>0</v>
      </c>
      <c r="S865" t="b">
        <v>0</v>
      </c>
      <c r="T865" s="24" t="str">
        <f t="shared" si="83"/>
        <v>Text only</v>
      </c>
    </row>
    <row r="866" spans="1:20" hidden="1" x14ac:dyDescent="0.2">
      <c r="A866" t="s">
        <v>3235</v>
      </c>
      <c r="B866" t="s">
        <v>2365</v>
      </c>
      <c r="C866" t="s">
        <v>2366</v>
      </c>
      <c r="D866" t="s">
        <v>3236</v>
      </c>
      <c r="E866" t="s">
        <v>3237</v>
      </c>
      <c r="F866" t="str">
        <f>IF(Table2[[#This Row],[Date posted]]&lt; DATE(2015,9,18),"Before Crisis","During Crisis")</f>
        <v>During Crisis</v>
      </c>
      <c r="G866" s="27">
        <f t="shared" si="78"/>
        <v>42319</v>
      </c>
      <c r="H866" s="7" t="str">
        <f t="shared" si="79"/>
        <v>19:48:48</v>
      </c>
      <c r="I866" s="8" t="str">
        <f t="shared" si="80"/>
        <v>Evening</v>
      </c>
      <c r="J866" t="s">
        <v>2370</v>
      </c>
      <c r="K866" t="s">
        <v>2370</v>
      </c>
      <c r="L866" s="3">
        <v>0</v>
      </c>
      <c r="M866" s="3">
        <v>0</v>
      </c>
      <c r="N866">
        <v>1</v>
      </c>
      <c r="O866" s="4">
        <f t="shared" si="81"/>
        <v>1</v>
      </c>
      <c r="P866" s="5" t="str">
        <f t="shared" si="82"/>
        <v>Low engagement</v>
      </c>
      <c r="Q866" t="b">
        <v>0</v>
      </c>
      <c r="R866" t="b">
        <v>0</v>
      </c>
      <c r="S866" t="b">
        <v>0</v>
      </c>
      <c r="T866" s="24" t="str">
        <f t="shared" si="83"/>
        <v>Text only</v>
      </c>
    </row>
    <row r="867" spans="1:20" hidden="1" x14ac:dyDescent="0.2">
      <c r="A867" t="s">
        <v>3238</v>
      </c>
      <c r="B867" t="s">
        <v>2365</v>
      </c>
      <c r="C867" t="s">
        <v>2366</v>
      </c>
      <c r="D867" t="s">
        <v>3239</v>
      </c>
      <c r="E867" t="s">
        <v>3237</v>
      </c>
      <c r="F867" t="str">
        <f>IF(Table2[[#This Row],[Date posted]]&lt; DATE(2015,9,18),"Before Crisis","During Crisis")</f>
        <v>During Crisis</v>
      </c>
      <c r="G867" s="27">
        <f t="shared" si="78"/>
        <v>42319</v>
      </c>
      <c r="H867" s="7" t="str">
        <f t="shared" si="79"/>
        <v>19:48:48</v>
      </c>
      <c r="I867" s="8" t="str">
        <f t="shared" si="80"/>
        <v>Evening</v>
      </c>
      <c r="J867" t="s">
        <v>2370</v>
      </c>
      <c r="K867" t="s">
        <v>2370</v>
      </c>
      <c r="L867" s="3">
        <v>0</v>
      </c>
      <c r="M867" s="3">
        <v>0</v>
      </c>
      <c r="N867">
        <v>1</v>
      </c>
      <c r="O867" s="4">
        <f t="shared" si="81"/>
        <v>1</v>
      </c>
      <c r="P867" s="5" t="str">
        <f t="shared" si="82"/>
        <v>Low engagement</v>
      </c>
      <c r="Q867" t="b">
        <v>0</v>
      </c>
      <c r="R867" t="b">
        <v>0</v>
      </c>
      <c r="S867" t="b">
        <v>0</v>
      </c>
      <c r="T867" s="24" t="str">
        <f t="shared" si="83"/>
        <v>Text only</v>
      </c>
    </row>
    <row r="868" spans="1:20" hidden="1" x14ac:dyDescent="0.2">
      <c r="A868" t="s">
        <v>3225</v>
      </c>
      <c r="B868" t="s">
        <v>2365</v>
      </c>
      <c r="C868" t="s">
        <v>2366</v>
      </c>
      <c r="D868" t="s">
        <v>3226</v>
      </c>
      <c r="E868" t="s">
        <v>3227</v>
      </c>
      <c r="F868" t="str">
        <f>IF(Table2[[#This Row],[Date posted]]&lt; DATE(2015,9,18),"Before Crisis","During Crisis")</f>
        <v>During Crisis</v>
      </c>
      <c r="G868" s="27">
        <f t="shared" si="78"/>
        <v>42320</v>
      </c>
      <c r="H868" s="7" t="str">
        <f t="shared" si="79"/>
        <v>20:46:52</v>
      </c>
      <c r="I868" s="8" t="str">
        <f t="shared" si="80"/>
        <v>Evening</v>
      </c>
      <c r="J868" t="s">
        <v>3228</v>
      </c>
      <c r="K868" t="s">
        <v>2370</v>
      </c>
      <c r="L868" s="3">
        <v>0</v>
      </c>
      <c r="M868" s="3">
        <v>0</v>
      </c>
      <c r="N868">
        <v>1</v>
      </c>
      <c r="O868" s="4">
        <f t="shared" si="81"/>
        <v>1</v>
      </c>
      <c r="P868" s="5" t="str">
        <f t="shared" si="82"/>
        <v>Low engagement</v>
      </c>
      <c r="Q868" t="b">
        <v>0</v>
      </c>
      <c r="R868" t="b">
        <v>0</v>
      </c>
      <c r="S868" t="b">
        <v>0</v>
      </c>
      <c r="T868" s="24" t="str">
        <f t="shared" si="83"/>
        <v>Text only</v>
      </c>
    </row>
    <row r="869" spans="1:20" hidden="1" x14ac:dyDescent="0.2">
      <c r="A869" t="s">
        <v>3222</v>
      </c>
      <c r="B869" t="s">
        <v>2365</v>
      </c>
      <c r="C869" t="s">
        <v>2366</v>
      </c>
      <c r="D869" t="s">
        <v>3223</v>
      </c>
      <c r="E869" t="s">
        <v>3224</v>
      </c>
      <c r="F869" t="str">
        <f>IF(Table2[[#This Row],[Date posted]]&lt; DATE(2015,9,18),"Before Crisis","During Crisis")</f>
        <v>During Crisis</v>
      </c>
      <c r="G869" s="27">
        <f t="shared" si="78"/>
        <v>42320</v>
      </c>
      <c r="H869" s="7" t="str">
        <f t="shared" si="79"/>
        <v>20:46:53</v>
      </c>
      <c r="I869" s="8" t="str">
        <f t="shared" si="80"/>
        <v>Evening</v>
      </c>
      <c r="J869" t="s">
        <v>2370</v>
      </c>
      <c r="K869" t="s">
        <v>2370</v>
      </c>
      <c r="L869" s="3">
        <v>0</v>
      </c>
      <c r="M869" s="3">
        <v>0</v>
      </c>
      <c r="N869">
        <v>1</v>
      </c>
      <c r="O869" s="4">
        <f t="shared" si="81"/>
        <v>1</v>
      </c>
      <c r="P869" s="5" t="str">
        <f t="shared" si="82"/>
        <v>Low engagement</v>
      </c>
      <c r="Q869" t="b">
        <v>0</v>
      </c>
      <c r="R869" t="b">
        <v>0</v>
      </c>
      <c r="S869" t="b">
        <v>0</v>
      </c>
      <c r="T869" s="24" t="str">
        <f t="shared" si="83"/>
        <v>Text only</v>
      </c>
    </row>
    <row r="870" spans="1:20" hidden="1" x14ac:dyDescent="0.2">
      <c r="A870" t="s">
        <v>3219</v>
      </c>
      <c r="B870" t="s">
        <v>2365</v>
      </c>
      <c r="C870" t="s">
        <v>2366</v>
      </c>
      <c r="D870" t="s">
        <v>3220</v>
      </c>
      <c r="E870" t="s">
        <v>3221</v>
      </c>
      <c r="F870" t="str">
        <f>IF(Table2[[#This Row],[Date posted]]&lt; DATE(2015,9,18),"Before Crisis","During Crisis")</f>
        <v>During Crisis</v>
      </c>
      <c r="G870" s="27">
        <f t="shared" si="78"/>
        <v>42320</v>
      </c>
      <c r="H870" s="7" t="str">
        <f t="shared" si="79"/>
        <v>20:46:54</v>
      </c>
      <c r="I870" s="8" t="str">
        <f t="shared" si="80"/>
        <v>Evening</v>
      </c>
      <c r="J870" t="s">
        <v>2370</v>
      </c>
      <c r="K870" t="s">
        <v>2370</v>
      </c>
      <c r="L870" s="3">
        <v>0</v>
      </c>
      <c r="M870" s="3">
        <v>0</v>
      </c>
      <c r="N870">
        <v>1</v>
      </c>
      <c r="O870" s="4">
        <f t="shared" si="81"/>
        <v>1</v>
      </c>
      <c r="P870" s="5" t="str">
        <f t="shared" si="82"/>
        <v>Low engagement</v>
      </c>
      <c r="Q870" t="b">
        <v>0</v>
      </c>
      <c r="R870" t="b">
        <v>0</v>
      </c>
      <c r="S870" t="b">
        <v>0</v>
      </c>
      <c r="T870" s="24" t="str">
        <f t="shared" si="83"/>
        <v>Text only</v>
      </c>
    </row>
    <row r="871" spans="1:20" hidden="1" x14ac:dyDescent="0.2">
      <c r="A871" t="s">
        <v>3216</v>
      </c>
      <c r="B871" t="s">
        <v>2365</v>
      </c>
      <c r="C871" t="s">
        <v>2366</v>
      </c>
      <c r="D871" t="s">
        <v>3217</v>
      </c>
      <c r="E871" t="s">
        <v>3218</v>
      </c>
      <c r="F871" t="str">
        <f>IF(Table2[[#This Row],[Date posted]]&lt; DATE(2015,9,18),"Before Crisis","During Crisis")</f>
        <v>During Crisis</v>
      </c>
      <c r="G871" s="27">
        <f t="shared" si="78"/>
        <v>42320</v>
      </c>
      <c r="H871" s="7" t="str">
        <f t="shared" si="79"/>
        <v>22:07:41</v>
      </c>
      <c r="I871" s="8" t="str">
        <f t="shared" si="80"/>
        <v>Evening</v>
      </c>
      <c r="J871" t="s">
        <v>2370</v>
      </c>
      <c r="K871" t="s">
        <v>2370</v>
      </c>
      <c r="L871" s="3">
        <v>0</v>
      </c>
      <c r="M871" s="3">
        <v>0</v>
      </c>
      <c r="N871">
        <v>1</v>
      </c>
      <c r="O871" s="4">
        <f t="shared" si="81"/>
        <v>1</v>
      </c>
      <c r="P871" s="5" t="str">
        <f t="shared" si="82"/>
        <v>Low engagement</v>
      </c>
      <c r="Q871" t="b">
        <v>0</v>
      </c>
      <c r="R871" t="b">
        <v>0</v>
      </c>
      <c r="S871" t="b">
        <v>0</v>
      </c>
      <c r="T871" s="24" t="str">
        <f t="shared" si="83"/>
        <v>Text only</v>
      </c>
    </row>
    <row r="872" spans="1:20" hidden="1" x14ac:dyDescent="0.2">
      <c r="A872" t="s">
        <v>3195</v>
      </c>
      <c r="B872" t="s">
        <v>2365</v>
      </c>
      <c r="C872" t="s">
        <v>2366</v>
      </c>
      <c r="D872" t="s">
        <v>3196</v>
      </c>
      <c r="E872" t="s">
        <v>3197</v>
      </c>
      <c r="F872" t="str">
        <f>IF(Table2[[#This Row],[Date posted]]&lt; DATE(2015,9,18),"Before Crisis","During Crisis")</f>
        <v>During Crisis</v>
      </c>
      <c r="G872" s="27">
        <f t="shared" si="78"/>
        <v>42324</v>
      </c>
      <c r="H872" s="7" t="str">
        <f t="shared" si="79"/>
        <v>17:38:49</v>
      </c>
      <c r="I872" s="8" t="str">
        <f t="shared" si="80"/>
        <v>Afternoon</v>
      </c>
      <c r="J872" t="s">
        <v>3057</v>
      </c>
      <c r="K872" t="s">
        <v>2370</v>
      </c>
      <c r="L872" s="3">
        <v>0</v>
      </c>
      <c r="M872">
        <v>1</v>
      </c>
      <c r="N872">
        <v>1</v>
      </c>
      <c r="O872" s="4">
        <f t="shared" si="81"/>
        <v>2</v>
      </c>
      <c r="P872" s="5" t="str">
        <f t="shared" si="82"/>
        <v>Low engagement</v>
      </c>
      <c r="Q872" t="b">
        <v>0</v>
      </c>
      <c r="R872" t="b">
        <v>0</v>
      </c>
      <c r="S872" t="b">
        <v>0</v>
      </c>
      <c r="T872" s="24" t="str">
        <f t="shared" si="83"/>
        <v>Text only</v>
      </c>
    </row>
    <row r="873" spans="1:20" hidden="1" x14ac:dyDescent="0.2">
      <c r="A873" t="s">
        <v>3192</v>
      </c>
      <c r="B873" t="s">
        <v>2365</v>
      </c>
      <c r="C873" t="s">
        <v>2366</v>
      </c>
      <c r="D873" t="s">
        <v>3193</v>
      </c>
      <c r="E873" t="s">
        <v>3191</v>
      </c>
      <c r="F873" t="str">
        <f>IF(Table2[[#This Row],[Date posted]]&lt; DATE(2015,9,18),"Before Crisis","During Crisis")</f>
        <v>During Crisis</v>
      </c>
      <c r="G873" s="27">
        <f t="shared" si="78"/>
        <v>42324</v>
      </c>
      <c r="H873" s="7" t="str">
        <f t="shared" si="79"/>
        <v>18:25:46</v>
      </c>
      <c r="I873" s="8" t="str">
        <f t="shared" si="80"/>
        <v>Evening</v>
      </c>
      <c r="J873" t="s">
        <v>3194</v>
      </c>
      <c r="K873" t="s">
        <v>2370</v>
      </c>
      <c r="L873" s="3">
        <v>0</v>
      </c>
      <c r="M873" s="3">
        <v>0</v>
      </c>
      <c r="N873">
        <v>1</v>
      </c>
      <c r="O873" s="4">
        <f t="shared" si="81"/>
        <v>1</v>
      </c>
      <c r="P873" s="5" t="str">
        <f t="shared" si="82"/>
        <v>Low engagement</v>
      </c>
      <c r="Q873" t="b">
        <v>0</v>
      </c>
      <c r="R873" t="b">
        <v>0</v>
      </c>
      <c r="S873" t="b">
        <v>0</v>
      </c>
      <c r="T873" s="24" t="str">
        <f t="shared" si="83"/>
        <v>Text only</v>
      </c>
    </row>
    <row r="874" spans="1:20" hidden="1" x14ac:dyDescent="0.2">
      <c r="A874" t="s">
        <v>3186</v>
      </c>
      <c r="B874" t="s">
        <v>2365</v>
      </c>
      <c r="C874" t="s">
        <v>2366</v>
      </c>
      <c r="D874" t="s">
        <v>3187</v>
      </c>
      <c r="E874" t="s">
        <v>3188</v>
      </c>
      <c r="F874" t="str">
        <f>IF(Table2[[#This Row],[Date posted]]&lt; DATE(2015,9,18),"Before Crisis","During Crisis")</f>
        <v>During Crisis</v>
      </c>
      <c r="G874" s="27">
        <f t="shared" si="78"/>
        <v>42324</v>
      </c>
      <c r="H874" s="7" t="str">
        <f t="shared" si="79"/>
        <v>18:25:47</v>
      </c>
      <c r="I874" s="8" t="str">
        <f t="shared" si="80"/>
        <v>Evening</v>
      </c>
      <c r="J874" t="s">
        <v>2370</v>
      </c>
      <c r="K874" t="s">
        <v>2370</v>
      </c>
      <c r="L874" s="3">
        <v>0</v>
      </c>
      <c r="M874" s="3">
        <v>0</v>
      </c>
      <c r="N874">
        <v>1</v>
      </c>
      <c r="O874" s="4">
        <f t="shared" si="81"/>
        <v>1</v>
      </c>
      <c r="P874" s="5" t="str">
        <f t="shared" si="82"/>
        <v>Low engagement</v>
      </c>
      <c r="Q874" t="b">
        <v>0</v>
      </c>
      <c r="R874" t="b">
        <v>0</v>
      </c>
      <c r="S874" t="b">
        <v>0</v>
      </c>
      <c r="T874" s="24" t="str">
        <f t="shared" si="83"/>
        <v>Text only</v>
      </c>
    </row>
    <row r="875" spans="1:20" hidden="1" x14ac:dyDescent="0.2">
      <c r="A875" t="s">
        <v>3183</v>
      </c>
      <c r="B875" t="s">
        <v>2365</v>
      </c>
      <c r="C875" t="s">
        <v>2366</v>
      </c>
      <c r="D875" t="s">
        <v>3184</v>
      </c>
      <c r="E875" t="s">
        <v>3185</v>
      </c>
      <c r="F875" t="str">
        <f>IF(Table2[[#This Row],[Date posted]]&lt; DATE(2015,9,18),"Before Crisis","During Crisis")</f>
        <v>During Crisis</v>
      </c>
      <c r="G875" s="27">
        <f t="shared" si="78"/>
        <v>42324</v>
      </c>
      <c r="H875" s="7" t="str">
        <f t="shared" si="79"/>
        <v>19:04:24</v>
      </c>
      <c r="I875" s="8" t="str">
        <f t="shared" si="80"/>
        <v>Evening</v>
      </c>
      <c r="J875" t="s">
        <v>2370</v>
      </c>
      <c r="K875" t="s">
        <v>2370</v>
      </c>
      <c r="L875">
        <v>1</v>
      </c>
      <c r="M875" s="3">
        <v>0</v>
      </c>
      <c r="N875">
        <v>1</v>
      </c>
      <c r="O875" s="4">
        <f t="shared" si="81"/>
        <v>2</v>
      </c>
      <c r="P875" s="5" t="str">
        <f t="shared" si="82"/>
        <v>Low engagement</v>
      </c>
      <c r="Q875" t="b">
        <v>0</v>
      </c>
      <c r="R875" t="b">
        <v>0</v>
      </c>
      <c r="S875" t="b">
        <v>0</v>
      </c>
      <c r="T875" s="24" t="str">
        <f t="shared" si="83"/>
        <v>Text only</v>
      </c>
    </row>
    <row r="876" spans="1:20" hidden="1" x14ac:dyDescent="0.2">
      <c r="A876" t="s">
        <v>3180</v>
      </c>
      <c r="B876" t="s">
        <v>2365</v>
      </c>
      <c r="C876" t="s">
        <v>2366</v>
      </c>
      <c r="D876" t="s">
        <v>3181</v>
      </c>
      <c r="E876" t="s">
        <v>3182</v>
      </c>
      <c r="F876" t="str">
        <f>IF(Table2[[#This Row],[Date posted]]&lt; DATE(2015,9,18),"Before Crisis","During Crisis")</f>
        <v>During Crisis</v>
      </c>
      <c r="G876" s="27">
        <f t="shared" si="78"/>
        <v>42324</v>
      </c>
      <c r="H876" s="7" t="str">
        <f t="shared" si="79"/>
        <v>19:11:12</v>
      </c>
      <c r="I876" s="8" t="str">
        <f t="shared" si="80"/>
        <v>Evening</v>
      </c>
      <c r="J876" t="s">
        <v>3179</v>
      </c>
      <c r="K876" t="s">
        <v>2370</v>
      </c>
      <c r="L876" s="3">
        <v>0</v>
      </c>
      <c r="M876" s="3">
        <v>0</v>
      </c>
      <c r="N876">
        <v>1</v>
      </c>
      <c r="O876" s="4">
        <f t="shared" si="81"/>
        <v>1</v>
      </c>
      <c r="P876" s="5" t="str">
        <f t="shared" si="82"/>
        <v>Low engagement</v>
      </c>
      <c r="Q876" t="b">
        <v>0</v>
      </c>
      <c r="R876" t="b">
        <v>0</v>
      </c>
      <c r="S876" t="b">
        <v>0</v>
      </c>
      <c r="T876" s="24" t="str">
        <f t="shared" si="83"/>
        <v>Text only</v>
      </c>
    </row>
    <row r="877" spans="1:20" hidden="1" x14ac:dyDescent="0.2">
      <c r="A877" t="s">
        <v>3166</v>
      </c>
      <c r="B877" t="s">
        <v>2365</v>
      </c>
      <c r="C877" t="s">
        <v>2366</v>
      </c>
      <c r="D877" t="s">
        <v>3167</v>
      </c>
      <c r="E877" t="s">
        <v>3168</v>
      </c>
      <c r="F877" t="str">
        <f>IF(Table2[[#This Row],[Date posted]]&lt; DATE(2015,9,18),"Before Crisis","During Crisis")</f>
        <v>During Crisis</v>
      </c>
      <c r="G877" s="27">
        <f t="shared" si="78"/>
        <v>42325</v>
      </c>
      <c r="H877" s="7" t="str">
        <f t="shared" si="79"/>
        <v>19:27:36</v>
      </c>
      <c r="I877" s="8" t="str">
        <f t="shared" si="80"/>
        <v>Evening</v>
      </c>
      <c r="J877" t="s">
        <v>3169</v>
      </c>
      <c r="K877" t="s">
        <v>2370</v>
      </c>
      <c r="L877" s="3">
        <v>0</v>
      </c>
      <c r="M877">
        <v>2</v>
      </c>
      <c r="N877">
        <v>1</v>
      </c>
      <c r="O877" s="4">
        <f t="shared" si="81"/>
        <v>3</v>
      </c>
      <c r="P877" s="5" t="str">
        <f t="shared" si="82"/>
        <v>Low engagement</v>
      </c>
      <c r="Q877" t="b">
        <v>0</v>
      </c>
      <c r="R877" t="b">
        <v>0</v>
      </c>
      <c r="S877" t="b">
        <v>0</v>
      </c>
      <c r="T877" s="24" t="str">
        <f t="shared" si="83"/>
        <v>Text only</v>
      </c>
    </row>
    <row r="878" spans="1:20" hidden="1" x14ac:dyDescent="0.2">
      <c r="A878" t="s">
        <v>3149</v>
      </c>
      <c r="B878" t="s">
        <v>2365</v>
      </c>
      <c r="C878" t="s">
        <v>2366</v>
      </c>
      <c r="D878" t="s">
        <v>3150</v>
      </c>
      <c r="E878" t="s">
        <v>3151</v>
      </c>
      <c r="F878" t="str">
        <f>IF(Table2[[#This Row],[Date posted]]&lt; DATE(2015,9,18),"Before Crisis","During Crisis")</f>
        <v>During Crisis</v>
      </c>
      <c r="G878" s="27">
        <f t="shared" si="78"/>
        <v>42326</v>
      </c>
      <c r="H878" s="7" t="str">
        <f t="shared" si="79"/>
        <v>15:10:09</v>
      </c>
      <c r="I878" s="8" t="str">
        <f t="shared" si="80"/>
        <v>Afternoon</v>
      </c>
      <c r="J878" t="s">
        <v>3152</v>
      </c>
      <c r="K878" t="s">
        <v>2370</v>
      </c>
      <c r="L878">
        <v>1</v>
      </c>
      <c r="M878" s="3">
        <v>0</v>
      </c>
      <c r="N878">
        <v>1</v>
      </c>
      <c r="O878" s="4">
        <f t="shared" si="81"/>
        <v>2</v>
      </c>
      <c r="P878" s="5" t="str">
        <f t="shared" si="82"/>
        <v>Low engagement</v>
      </c>
      <c r="Q878" t="b">
        <v>0</v>
      </c>
      <c r="R878" t="b">
        <v>0</v>
      </c>
      <c r="S878" t="b">
        <v>0</v>
      </c>
      <c r="T878" s="24" t="str">
        <f t="shared" si="83"/>
        <v>Text only</v>
      </c>
    </row>
    <row r="879" spans="1:20" hidden="1" x14ac:dyDescent="0.2">
      <c r="A879" t="s">
        <v>3142</v>
      </c>
      <c r="B879" t="s">
        <v>2365</v>
      </c>
      <c r="C879" t="s">
        <v>2366</v>
      </c>
      <c r="D879" t="s">
        <v>3143</v>
      </c>
      <c r="E879" t="s">
        <v>3144</v>
      </c>
      <c r="F879" t="str">
        <f>IF(Table2[[#This Row],[Date posted]]&lt; DATE(2015,9,18),"Before Crisis","During Crisis")</f>
        <v>During Crisis</v>
      </c>
      <c r="G879" s="27">
        <f t="shared" si="78"/>
        <v>42326</v>
      </c>
      <c r="H879" s="7" t="str">
        <f t="shared" si="79"/>
        <v>18:27:13</v>
      </c>
      <c r="I879" s="8" t="str">
        <f t="shared" si="80"/>
        <v>Evening</v>
      </c>
      <c r="J879" t="s">
        <v>2370</v>
      </c>
      <c r="K879" t="s">
        <v>2370</v>
      </c>
      <c r="L879" s="3">
        <v>0</v>
      </c>
      <c r="M879" s="3">
        <v>0</v>
      </c>
      <c r="N879">
        <v>1</v>
      </c>
      <c r="O879" s="4">
        <f t="shared" si="81"/>
        <v>1</v>
      </c>
      <c r="P879" s="5" t="str">
        <f t="shared" si="82"/>
        <v>Low engagement</v>
      </c>
      <c r="Q879" t="b">
        <v>0</v>
      </c>
      <c r="R879" t="b">
        <v>0</v>
      </c>
      <c r="S879" t="b">
        <v>1</v>
      </c>
      <c r="T879" s="24" t="str">
        <f t="shared" si="83"/>
        <v>Link</v>
      </c>
    </row>
    <row r="880" spans="1:20" hidden="1" x14ac:dyDescent="0.2">
      <c r="A880" t="s">
        <v>3119</v>
      </c>
      <c r="B880" t="s">
        <v>2365</v>
      </c>
      <c r="C880" t="s">
        <v>2366</v>
      </c>
      <c r="D880" t="s">
        <v>3120</v>
      </c>
      <c r="E880" t="s">
        <v>3121</v>
      </c>
      <c r="F880" t="str">
        <f>IF(Table2[[#This Row],[Date posted]]&lt; DATE(2015,9,18),"Before Crisis","During Crisis")</f>
        <v>During Crisis</v>
      </c>
      <c r="G880" s="27">
        <f t="shared" si="78"/>
        <v>42326</v>
      </c>
      <c r="H880" s="7" t="str">
        <f t="shared" si="79"/>
        <v>21:11:40</v>
      </c>
      <c r="I880" s="8" t="str">
        <f t="shared" si="80"/>
        <v>Evening</v>
      </c>
      <c r="J880" t="s">
        <v>2370</v>
      </c>
      <c r="K880" t="s">
        <v>2370</v>
      </c>
      <c r="L880" s="3">
        <v>0</v>
      </c>
      <c r="M880" s="3">
        <v>0</v>
      </c>
      <c r="N880">
        <v>1</v>
      </c>
      <c r="O880" s="4">
        <f t="shared" si="81"/>
        <v>1</v>
      </c>
      <c r="P880" s="5" t="str">
        <f t="shared" si="82"/>
        <v>Low engagement</v>
      </c>
      <c r="Q880" t="b">
        <v>0</v>
      </c>
      <c r="R880" t="b">
        <v>0</v>
      </c>
      <c r="S880" t="b">
        <v>0</v>
      </c>
      <c r="T880" s="24" t="str">
        <f t="shared" si="83"/>
        <v>Text only</v>
      </c>
    </row>
    <row r="881" spans="1:20" hidden="1" x14ac:dyDescent="0.2">
      <c r="A881" t="s">
        <v>3116</v>
      </c>
      <c r="B881" t="s">
        <v>2365</v>
      </c>
      <c r="C881" t="s">
        <v>2366</v>
      </c>
      <c r="D881" t="s">
        <v>3117</v>
      </c>
      <c r="E881" t="s">
        <v>3118</v>
      </c>
      <c r="F881" t="str">
        <f>IF(Table2[[#This Row],[Date posted]]&lt; DATE(2015,9,18),"Before Crisis","During Crisis")</f>
        <v>During Crisis</v>
      </c>
      <c r="G881" s="27">
        <f t="shared" si="78"/>
        <v>42326</v>
      </c>
      <c r="H881" s="7" t="str">
        <f t="shared" si="79"/>
        <v>21:15:05</v>
      </c>
      <c r="I881" s="8" t="str">
        <f t="shared" si="80"/>
        <v>Evening</v>
      </c>
      <c r="J881" t="s">
        <v>2370</v>
      </c>
      <c r="K881" t="s">
        <v>2370</v>
      </c>
      <c r="L881" s="3">
        <v>0</v>
      </c>
      <c r="M881" s="3">
        <v>0</v>
      </c>
      <c r="N881">
        <v>1</v>
      </c>
      <c r="O881" s="4">
        <f t="shared" si="81"/>
        <v>1</v>
      </c>
      <c r="P881" s="5" t="str">
        <f t="shared" si="82"/>
        <v>Low engagement</v>
      </c>
      <c r="Q881" t="b">
        <v>0</v>
      </c>
      <c r="R881" t="b">
        <v>0</v>
      </c>
      <c r="S881" t="b">
        <v>0</v>
      </c>
      <c r="T881" s="24" t="str">
        <f t="shared" si="83"/>
        <v>Text only</v>
      </c>
    </row>
    <row r="882" spans="1:20" hidden="1" x14ac:dyDescent="0.2">
      <c r="A882" t="s">
        <v>3114</v>
      </c>
      <c r="B882" t="s">
        <v>2365</v>
      </c>
      <c r="C882" t="s">
        <v>2366</v>
      </c>
      <c r="D882" t="s">
        <v>3115</v>
      </c>
      <c r="E882" t="s">
        <v>3112</v>
      </c>
      <c r="F882" t="str">
        <f>IF(Table2[[#This Row],[Date posted]]&lt; DATE(2015,9,18),"Before Crisis","During Crisis")</f>
        <v>During Crisis</v>
      </c>
      <c r="G882" s="27">
        <f t="shared" si="78"/>
        <v>42326</v>
      </c>
      <c r="H882" s="7" t="str">
        <f t="shared" si="79"/>
        <v>21:15:06</v>
      </c>
      <c r="I882" s="8" t="str">
        <f t="shared" si="80"/>
        <v>Evening</v>
      </c>
      <c r="J882" t="s">
        <v>3113</v>
      </c>
      <c r="K882" t="s">
        <v>2370</v>
      </c>
      <c r="L882" s="3">
        <v>0</v>
      </c>
      <c r="M882" s="3">
        <v>0</v>
      </c>
      <c r="N882">
        <v>1</v>
      </c>
      <c r="O882" s="4">
        <f t="shared" si="81"/>
        <v>1</v>
      </c>
      <c r="P882" s="5" t="str">
        <f t="shared" si="82"/>
        <v>Low engagement</v>
      </c>
      <c r="Q882" t="b">
        <v>0</v>
      </c>
      <c r="R882" t="b">
        <v>0</v>
      </c>
      <c r="S882" t="b">
        <v>0</v>
      </c>
      <c r="T882" s="24" t="str">
        <f t="shared" si="83"/>
        <v>Text only</v>
      </c>
    </row>
    <row r="883" spans="1:20" hidden="1" x14ac:dyDescent="0.2">
      <c r="A883" t="s">
        <v>3107</v>
      </c>
      <c r="B883" t="s">
        <v>2365</v>
      </c>
      <c r="C883" t="s">
        <v>2366</v>
      </c>
      <c r="D883" t="s">
        <v>3108</v>
      </c>
      <c r="E883" t="s">
        <v>3109</v>
      </c>
      <c r="F883" t="str">
        <f>IF(Table2[[#This Row],[Date posted]]&lt; DATE(2015,9,18),"Before Crisis","During Crisis")</f>
        <v>During Crisis</v>
      </c>
      <c r="G883" s="27">
        <f t="shared" si="78"/>
        <v>42326</v>
      </c>
      <c r="H883" s="7" t="str">
        <f t="shared" si="79"/>
        <v>21:40:05</v>
      </c>
      <c r="I883" s="8" t="str">
        <f t="shared" si="80"/>
        <v>Evening</v>
      </c>
      <c r="J883" t="s">
        <v>2370</v>
      </c>
      <c r="K883" t="s">
        <v>2370</v>
      </c>
      <c r="L883">
        <v>1</v>
      </c>
      <c r="M883" s="3">
        <v>0</v>
      </c>
      <c r="N883">
        <v>1</v>
      </c>
      <c r="O883" s="4">
        <f t="shared" si="81"/>
        <v>2</v>
      </c>
      <c r="P883" s="5" t="str">
        <f t="shared" si="82"/>
        <v>Low engagement</v>
      </c>
      <c r="Q883" t="b">
        <v>0</v>
      </c>
      <c r="R883" t="b">
        <v>0</v>
      </c>
      <c r="S883" t="b">
        <v>0</v>
      </c>
      <c r="T883" s="24" t="str">
        <f t="shared" si="83"/>
        <v>Text only</v>
      </c>
    </row>
    <row r="884" spans="1:20" hidden="1" x14ac:dyDescent="0.2">
      <c r="A884" t="s">
        <v>3104</v>
      </c>
      <c r="B884" t="s">
        <v>2365</v>
      </c>
      <c r="C884" t="s">
        <v>2366</v>
      </c>
      <c r="D884" t="s">
        <v>3105</v>
      </c>
      <c r="E884" t="s">
        <v>3106</v>
      </c>
      <c r="F884" t="str">
        <f>IF(Table2[[#This Row],[Date posted]]&lt; DATE(2015,9,18),"Before Crisis","During Crisis")</f>
        <v>During Crisis</v>
      </c>
      <c r="G884" s="27">
        <f t="shared" si="78"/>
        <v>42326</v>
      </c>
      <c r="H884" s="7" t="str">
        <f t="shared" si="79"/>
        <v>21:43:51</v>
      </c>
      <c r="I884" s="8" t="str">
        <f t="shared" si="80"/>
        <v>Evening</v>
      </c>
      <c r="J884" t="s">
        <v>3103</v>
      </c>
      <c r="K884" t="s">
        <v>2370</v>
      </c>
      <c r="L884" s="3">
        <v>0</v>
      </c>
      <c r="M884" s="3">
        <v>0</v>
      </c>
      <c r="N884">
        <v>1</v>
      </c>
      <c r="O884" s="4">
        <f t="shared" si="81"/>
        <v>1</v>
      </c>
      <c r="P884" s="5" t="str">
        <f t="shared" si="82"/>
        <v>Low engagement</v>
      </c>
      <c r="Q884" t="b">
        <v>0</v>
      </c>
      <c r="R884" t="b">
        <v>0</v>
      </c>
      <c r="S884" t="b">
        <v>0</v>
      </c>
      <c r="T884" s="24" t="str">
        <f t="shared" si="83"/>
        <v>Text only</v>
      </c>
    </row>
    <row r="885" spans="1:20" hidden="1" x14ac:dyDescent="0.2">
      <c r="A885" t="s">
        <v>3094</v>
      </c>
      <c r="B885" t="s">
        <v>2365</v>
      </c>
      <c r="C885" t="s">
        <v>2366</v>
      </c>
      <c r="D885" t="s">
        <v>3095</v>
      </c>
      <c r="E885" t="s">
        <v>3096</v>
      </c>
      <c r="F885" t="str">
        <f>IF(Table2[[#This Row],[Date posted]]&lt; DATE(2015,9,18),"Before Crisis","During Crisis")</f>
        <v>During Crisis</v>
      </c>
      <c r="G885" s="27">
        <f t="shared" si="78"/>
        <v>42326</v>
      </c>
      <c r="H885" s="7" t="str">
        <f t="shared" si="79"/>
        <v>22:39:01</v>
      </c>
      <c r="I885" s="8" t="str">
        <f t="shared" si="80"/>
        <v>Evening</v>
      </c>
      <c r="J885" t="s">
        <v>3093</v>
      </c>
      <c r="K885" t="s">
        <v>2370</v>
      </c>
      <c r="L885">
        <v>1</v>
      </c>
      <c r="M885">
        <v>1</v>
      </c>
      <c r="N885">
        <v>1</v>
      </c>
      <c r="O885" s="4">
        <f t="shared" si="81"/>
        <v>3</v>
      </c>
      <c r="P885" s="5" t="str">
        <f t="shared" si="82"/>
        <v>Low engagement</v>
      </c>
      <c r="Q885" t="b">
        <v>0</v>
      </c>
      <c r="R885" t="b">
        <v>0</v>
      </c>
      <c r="S885" t="b">
        <v>0</v>
      </c>
      <c r="T885" s="24" t="str">
        <f t="shared" si="83"/>
        <v>Text only</v>
      </c>
    </row>
    <row r="886" spans="1:20" hidden="1" x14ac:dyDescent="0.2">
      <c r="A886" t="s">
        <v>3090</v>
      </c>
      <c r="B886" t="s">
        <v>2365</v>
      </c>
      <c r="C886" t="s">
        <v>2366</v>
      </c>
      <c r="D886" t="s">
        <v>3091</v>
      </c>
      <c r="E886" t="s">
        <v>3092</v>
      </c>
      <c r="F886" t="str">
        <f>IF(Table2[[#This Row],[Date posted]]&lt; DATE(2015,9,18),"Before Crisis","During Crisis")</f>
        <v>During Crisis</v>
      </c>
      <c r="G886" s="27">
        <f t="shared" si="78"/>
        <v>42326</v>
      </c>
      <c r="H886" s="7" t="str">
        <f t="shared" si="79"/>
        <v>22:39:02</v>
      </c>
      <c r="I886" s="8" t="str">
        <f t="shared" si="80"/>
        <v>Evening</v>
      </c>
      <c r="J886" t="s">
        <v>3093</v>
      </c>
      <c r="K886" t="s">
        <v>2370</v>
      </c>
      <c r="L886" s="3">
        <v>0</v>
      </c>
      <c r="M886" s="3">
        <v>0</v>
      </c>
      <c r="N886">
        <v>1</v>
      </c>
      <c r="O886" s="4">
        <f t="shared" si="81"/>
        <v>1</v>
      </c>
      <c r="P886" s="5" t="str">
        <f t="shared" si="82"/>
        <v>Low engagement</v>
      </c>
      <c r="Q886" t="b">
        <v>0</v>
      </c>
      <c r="R886" t="b">
        <v>0</v>
      </c>
      <c r="S886" t="b">
        <v>1</v>
      </c>
      <c r="T886" s="24" t="str">
        <f t="shared" si="83"/>
        <v>Link</v>
      </c>
    </row>
    <row r="887" spans="1:20" hidden="1" x14ac:dyDescent="0.2">
      <c r="A887" t="s">
        <v>3087</v>
      </c>
      <c r="B887" t="s">
        <v>2365</v>
      </c>
      <c r="C887" t="s">
        <v>2366</v>
      </c>
      <c r="D887" t="s">
        <v>3088</v>
      </c>
      <c r="E887" t="s">
        <v>3089</v>
      </c>
      <c r="F887" t="str">
        <f>IF(Table2[[#This Row],[Date posted]]&lt; DATE(2015,9,18),"Before Crisis","During Crisis")</f>
        <v>During Crisis</v>
      </c>
      <c r="G887" s="27">
        <f t="shared" si="78"/>
        <v>42327</v>
      </c>
      <c r="H887" s="7" t="str">
        <f t="shared" si="79"/>
        <v>22:27:08</v>
      </c>
      <c r="I887" s="8" t="str">
        <f t="shared" si="80"/>
        <v>Evening</v>
      </c>
      <c r="J887" t="s">
        <v>3086</v>
      </c>
      <c r="K887" t="s">
        <v>2370</v>
      </c>
      <c r="L887" s="3">
        <v>0</v>
      </c>
      <c r="M887" s="3">
        <v>0</v>
      </c>
      <c r="N887">
        <v>1</v>
      </c>
      <c r="O887" s="4">
        <f t="shared" si="81"/>
        <v>1</v>
      </c>
      <c r="P887" s="5" t="str">
        <f t="shared" si="82"/>
        <v>Low engagement</v>
      </c>
      <c r="Q887" t="b">
        <v>0</v>
      </c>
      <c r="R887" t="b">
        <v>0</v>
      </c>
      <c r="S887" t="b">
        <v>0</v>
      </c>
      <c r="T887" s="24" t="str">
        <f t="shared" si="83"/>
        <v>Text only</v>
      </c>
    </row>
    <row r="888" spans="1:20" hidden="1" x14ac:dyDescent="0.2">
      <c r="A888" t="s">
        <v>3081</v>
      </c>
      <c r="B888" t="s">
        <v>2365</v>
      </c>
      <c r="C888" t="s">
        <v>2366</v>
      </c>
      <c r="D888" t="s">
        <v>3082</v>
      </c>
      <c r="E888" t="s">
        <v>3083</v>
      </c>
      <c r="F888" t="str">
        <f>IF(Table2[[#This Row],[Date posted]]&lt; DATE(2015,9,18),"Before Crisis","During Crisis")</f>
        <v>During Crisis</v>
      </c>
      <c r="G888" s="27">
        <f t="shared" si="78"/>
        <v>42327</v>
      </c>
      <c r="H888" s="7" t="str">
        <f t="shared" si="79"/>
        <v>22:27:09</v>
      </c>
      <c r="I888" s="8" t="str">
        <f t="shared" si="80"/>
        <v>Evening</v>
      </c>
      <c r="J888" t="s">
        <v>2370</v>
      </c>
      <c r="K888" t="s">
        <v>2370</v>
      </c>
      <c r="L888">
        <v>1</v>
      </c>
      <c r="M888" s="3">
        <v>0</v>
      </c>
      <c r="N888">
        <v>1</v>
      </c>
      <c r="O888" s="4">
        <f t="shared" si="81"/>
        <v>2</v>
      </c>
      <c r="P888" s="5" t="str">
        <f t="shared" si="82"/>
        <v>Low engagement</v>
      </c>
      <c r="Q888" t="b">
        <v>0</v>
      </c>
      <c r="R888" t="b">
        <v>0</v>
      </c>
      <c r="S888" t="b">
        <v>0</v>
      </c>
      <c r="T888" s="24" t="str">
        <f t="shared" si="83"/>
        <v>Text only</v>
      </c>
    </row>
    <row r="889" spans="1:20" hidden="1" x14ac:dyDescent="0.2">
      <c r="A889" t="s">
        <v>3084</v>
      </c>
      <c r="B889" t="s">
        <v>2365</v>
      </c>
      <c r="C889" t="s">
        <v>2366</v>
      </c>
      <c r="D889" t="s">
        <v>3085</v>
      </c>
      <c r="E889" t="s">
        <v>3083</v>
      </c>
      <c r="F889" t="str">
        <f>IF(Table2[[#This Row],[Date posted]]&lt; DATE(2015,9,18),"Before Crisis","During Crisis")</f>
        <v>During Crisis</v>
      </c>
      <c r="G889" s="27">
        <f t="shared" si="78"/>
        <v>42327</v>
      </c>
      <c r="H889" s="7" t="str">
        <f t="shared" si="79"/>
        <v>22:27:09</v>
      </c>
      <c r="I889" s="8" t="str">
        <f t="shared" si="80"/>
        <v>Evening</v>
      </c>
      <c r="J889" t="s">
        <v>3086</v>
      </c>
      <c r="K889" t="s">
        <v>2370</v>
      </c>
      <c r="L889" s="3">
        <v>0</v>
      </c>
      <c r="M889" s="3">
        <v>0</v>
      </c>
      <c r="N889">
        <v>1</v>
      </c>
      <c r="O889" s="4">
        <f t="shared" si="81"/>
        <v>1</v>
      </c>
      <c r="P889" s="5" t="str">
        <f t="shared" si="82"/>
        <v>Low engagement</v>
      </c>
      <c r="Q889" t="b">
        <v>0</v>
      </c>
      <c r="R889" t="b">
        <v>0</v>
      </c>
      <c r="S889" t="b">
        <v>0</v>
      </c>
      <c r="T889" s="24" t="str">
        <f t="shared" si="83"/>
        <v>Text only</v>
      </c>
    </row>
    <row r="890" spans="1:20" hidden="1" x14ac:dyDescent="0.2">
      <c r="A890" t="s">
        <v>3077</v>
      </c>
      <c r="B890" t="s">
        <v>2365</v>
      </c>
      <c r="C890" t="s">
        <v>2366</v>
      </c>
      <c r="D890" t="s">
        <v>3078</v>
      </c>
      <c r="E890" t="s">
        <v>3079</v>
      </c>
      <c r="F890" t="str">
        <f>IF(Table2[[#This Row],[Date posted]]&lt; DATE(2015,9,18),"Before Crisis","During Crisis")</f>
        <v>During Crisis</v>
      </c>
      <c r="G890" s="27">
        <f t="shared" si="78"/>
        <v>42328</v>
      </c>
      <c r="H890" s="7" t="str">
        <f t="shared" si="79"/>
        <v>14:41:31</v>
      </c>
      <c r="I890" s="8" t="str">
        <f t="shared" si="80"/>
        <v>Afternoon</v>
      </c>
      <c r="J890" t="s">
        <v>3080</v>
      </c>
      <c r="K890" t="s">
        <v>2370</v>
      </c>
      <c r="L890" s="3">
        <v>0</v>
      </c>
      <c r="M890" s="3">
        <v>0</v>
      </c>
      <c r="N890">
        <v>1</v>
      </c>
      <c r="O890" s="4">
        <f t="shared" si="81"/>
        <v>1</v>
      </c>
      <c r="P890" s="5" t="str">
        <f t="shared" si="82"/>
        <v>Low engagement</v>
      </c>
      <c r="Q890" t="b">
        <v>0</v>
      </c>
      <c r="R890" t="b">
        <v>0</v>
      </c>
      <c r="S890" t="b">
        <v>0</v>
      </c>
      <c r="T890" s="24" t="str">
        <f t="shared" si="83"/>
        <v>Text only</v>
      </c>
    </row>
    <row r="891" spans="1:20" hidden="1" x14ac:dyDescent="0.2">
      <c r="A891" t="s">
        <v>3074</v>
      </c>
      <c r="B891" t="s">
        <v>2365</v>
      </c>
      <c r="C891" t="s">
        <v>2366</v>
      </c>
      <c r="D891" t="s">
        <v>3075</v>
      </c>
      <c r="E891" t="s">
        <v>3076</v>
      </c>
      <c r="F891" t="str">
        <f>IF(Table2[[#This Row],[Date posted]]&lt; DATE(2015,9,18),"Before Crisis","During Crisis")</f>
        <v>During Crisis</v>
      </c>
      <c r="G891" s="27">
        <f t="shared" si="78"/>
        <v>42328</v>
      </c>
      <c r="H891" s="7" t="str">
        <f t="shared" si="79"/>
        <v>14:55:42</v>
      </c>
      <c r="I891" s="8" t="str">
        <f t="shared" si="80"/>
        <v>Afternoon</v>
      </c>
      <c r="J891" t="s">
        <v>3073</v>
      </c>
      <c r="K891" t="s">
        <v>2370</v>
      </c>
      <c r="L891" s="3">
        <v>0</v>
      </c>
      <c r="M891" s="3">
        <v>0</v>
      </c>
      <c r="N891">
        <v>1</v>
      </c>
      <c r="O891" s="4">
        <f t="shared" si="81"/>
        <v>1</v>
      </c>
      <c r="P891" s="5" t="str">
        <f t="shared" si="82"/>
        <v>Low engagement</v>
      </c>
      <c r="Q891" t="b">
        <v>0</v>
      </c>
      <c r="R891" t="b">
        <v>0</v>
      </c>
      <c r="S891" t="b">
        <v>0</v>
      </c>
      <c r="T891" s="24" t="str">
        <f t="shared" si="83"/>
        <v>Text only</v>
      </c>
    </row>
    <row r="892" spans="1:20" hidden="1" x14ac:dyDescent="0.2">
      <c r="A892" t="s">
        <v>3070</v>
      </c>
      <c r="B892" t="s">
        <v>2365</v>
      </c>
      <c r="C892" t="s">
        <v>2366</v>
      </c>
      <c r="D892" t="s">
        <v>3071</v>
      </c>
      <c r="E892" t="s">
        <v>3072</v>
      </c>
      <c r="F892" t="str">
        <f>IF(Table2[[#This Row],[Date posted]]&lt; DATE(2015,9,18),"Before Crisis","During Crisis")</f>
        <v>During Crisis</v>
      </c>
      <c r="G892" s="27">
        <f t="shared" si="78"/>
        <v>42328</v>
      </c>
      <c r="H892" s="7" t="str">
        <f t="shared" si="79"/>
        <v>14:55:43</v>
      </c>
      <c r="I892" s="8" t="str">
        <f t="shared" si="80"/>
        <v>Afternoon</v>
      </c>
      <c r="J892" t="s">
        <v>3073</v>
      </c>
      <c r="K892" t="s">
        <v>2370</v>
      </c>
      <c r="L892" s="3">
        <v>0</v>
      </c>
      <c r="M892" s="3">
        <v>0</v>
      </c>
      <c r="N892">
        <v>1</v>
      </c>
      <c r="O892" s="4">
        <f t="shared" si="81"/>
        <v>1</v>
      </c>
      <c r="P892" s="5" t="str">
        <f t="shared" si="82"/>
        <v>Low engagement</v>
      </c>
      <c r="Q892" t="b">
        <v>0</v>
      </c>
      <c r="R892" t="b">
        <v>0</v>
      </c>
      <c r="S892" t="b">
        <v>0</v>
      </c>
      <c r="T892" s="24" t="str">
        <f t="shared" si="83"/>
        <v>Text only</v>
      </c>
    </row>
    <row r="893" spans="1:20" hidden="1" x14ac:dyDescent="0.2">
      <c r="A893" t="s">
        <v>3060</v>
      </c>
      <c r="B893" t="s">
        <v>2365</v>
      </c>
      <c r="C893" t="s">
        <v>2366</v>
      </c>
      <c r="D893" t="s">
        <v>3061</v>
      </c>
      <c r="E893" t="s">
        <v>3062</v>
      </c>
      <c r="F893" t="str">
        <f>IF(Table2[[#This Row],[Date posted]]&lt; DATE(2015,9,18),"Before Crisis","During Crisis")</f>
        <v>During Crisis</v>
      </c>
      <c r="G893" s="27">
        <f t="shared" si="78"/>
        <v>42328</v>
      </c>
      <c r="H893" s="7" t="str">
        <f t="shared" si="79"/>
        <v>16:26:36</v>
      </c>
      <c r="I893" s="8" t="str">
        <f t="shared" si="80"/>
        <v>Afternoon</v>
      </c>
      <c r="J893" t="s">
        <v>3063</v>
      </c>
      <c r="K893" t="s">
        <v>2370</v>
      </c>
      <c r="L893" s="3">
        <v>0</v>
      </c>
      <c r="M893" s="3">
        <v>0</v>
      </c>
      <c r="N893">
        <v>1</v>
      </c>
      <c r="O893" s="4">
        <f t="shared" si="81"/>
        <v>1</v>
      </c>
      <c r="P893" s="5" t="str">
        <f t="shared" si="82"/>
        <v>Low engagement</v>
      </c>
      <c r="Q893" t="b">
        <v>0</v>
      </c>
      <c r="R893" t="b">
        <v>0</v>
      </c>
      <c r="S893" t="b">
        <v>0</v>
      </c>
      <c r="T893" s="24" t="str">
        <f t="shared" si="83"/>
        <v>Text only</v>
      </c>
    </row>
    <row r="894" spans="1:20" hidden="1" x14ac:dyDescent="0.2">
      <c r="A894" t="s">
        <v>3058</v>
      </c>
      <c r="B894" t="s">
        <v>2365</v>
      </c>
      <c r="C894" t="s">
        <v>2366</v>
      </c>
      <c r="D894" t="s">
        <v>3059</v>
      </c>
      <c r="E894" t="s">
        <v>3056</v>
      </c>
      <c r="F894" t="str">
        <f>IF(Table2[[#This Row],[Date posted]]&lt; DATE(2015,9,18),"Before Crisis","During Crisis")</f>
        <v>During Crisis</v>
      </c>
      <c r="G894" s="27">
        <f t="shared" si="78"/>
        <v>42328</v>
      </c>
      <c r="H894" s="7" t="str">
        <f t="shared" si="79"/>
        <v>19:04:08</v>
      </c>
      <c r="I894" s="8" t="str">
        <f t="shared" si="80"/>
        <v>Evening</v>
      </c>
      <c r="J894" t="s">
        <v>3057</v>
      </c>
      <c r="K894" t="s">
        <v>2370</v>
      </c>
      <c r="L894" s="3">
        <v>0</v>
      </c>
      <c r="M894" s="3">
        <v>0</v>
      </c>
      <c r="N894">
        <v>1</v>
      </c>
      <c r="O894" s="4">
        <f t="shared" si="81"/>
        <v>1</v>
      </c>
      <c r="P894" s="5" t="str">
        <f t="shared" si="82"/>
        <v>Low engagement</v>
      </c>
      <c r="Q894" t="b">
        <v>0</v>
      </c>
      <c r="R894" t="b">
        <v>0</v>
      </c>
      <c r="S894" t="b">
        <v>0</v>
      </c>
      <c r="T894" s="24" t="str">
        <f t="shared" si="83"/>
        <v>Text only</v>
      </c>
    </row>
    <row r="895" spans="1:20" hidden="1" x14ac:dyDescent="0.2">
      <c r="A895" t="s">
        <v>3046</v>
      </c>
      <c r="B895" t="s">
        <v>2365</v>
      </c>
      <c r="C895" t="s">
        <v>2366</v>
      </c>
      <c r="D895" t="s">
        <v>3047</v>
      </c>
      <c r="E895" t="s">
        <v>3048</v>
      </c>
      <c r="F895" t="str">
        <f>IF(Table2[[#This Row],[Date posted]]&lt; DATE(2015,9,18),"Before Crisis","During Crisis")</f>
        <v>During Crisis</v>
      </c>
      <c r="G895" s="27">
        <f t="shared" si="78"/>
        <v>42328</v>
      </c>
      <c r="H895" s="7" t="str">
        <f t="shared" si="79"/>
        <v>19:10:54</v>
      </c>
      <c r="I895" s="8" t="str">
        <f t="shared" si="80"/>
        <v>Evening</v>
      </c>
      <c r="J895" t="s">
        <v>2370</v>
      </c>
      <c r="K895" t="s">
        <v>2370</v>
      </c>
      <c r="L895" s="3">
        <v>0</v>
      </c>
      <c r="M895" s="3">
        <v>0</v>
      </c>
      <c r="N895">
        <v>1</v>
      </c>
      <c r="O895" s="4">
        <f t="shared" si="81"/>
        <v>1</v>
      </c>
      <c r="P895" s="5" t="str">
        <f t="shared" si="82"/>
        <v>Low engagement</v>
      </c>
      <c r="Q895" t="b">
        <v>0</v>
      </c>
      <c r="R895" t="b">
        <v>0</v>
      </c>
      <c r="S895" t="b">
        <v>0</v>
      </c>
      <c r="T895" s="24" t="str">
        <f t="shared" si="83"/>
        <v>Text only</v>
      </c>
    </row>
    <row r="896" spans="1:20" hidden="1" x14ac:dyDescent="0.2">
      <c r="A896" t="s">
        <v>3049</v>
      </c>
      <c r="B896" t="s">
        <v>2365</v>
      </c>
      <c r="C896" t="s">
        <v>2366</v>
      </c>
      <c r="D896" t="s">
        <v>3050</v>
      </c>
      <c r="E896" t="s">
        <v>3048</v>
      </c>
      <c r="F896" t="str">
        <f>IF(Table2[[#This Row],[Date posted]]&lt; DATE(2015,9,18),"Before Crisis","During Crisis")</f>
        <v>During Crisis</v>
      </c>
      <c r="G896" s="27">
        <f t="shared" si="78"/>
        <v>42328</v>
      </c>
      <c r="H896" s="7" t="str">
        <f t="shared" si="79"/>
        <v>19:10:54</v>
      </c>
      <c r="I896" s="8" t="str">
        <f t="shared" si="80"/>
        <v>Evening</v>
      </c>
      <c r="J896" t="s">
        <v>2370</v>
      </c>
      <c r="K896" t="s">
        <v>2370</v>
      </c>
      <c r="L896" s="3">
        <v>0</v>
      </c>
      <c r="M896" s="3">
        <v>0</v>
      </c>
      <c r="N896">
        <v>1</v>
      </c>
      <c r="O896" s="4">
        <f t="shared" si="81"/>
        <v>1</v>
      </c>
      <c r="P896" s="5" t="str">
        <f t="shared" si="82"/>
        <v>Low engagement</v>
      </c>
      <c r="Q896" t="b">
        <v>0</v>
      </c>
      <c r="R896" t="b">
        <v>0</v>
      </c>
      <c r="S896" t="b">
        <v>0</v>
      </c>
      <c r="T896" s="24" t="str">
        <f t="shared" si="83"/>
        <v>Text only</v>
      </c>
    </row>
    <row r="897" spans="1:20" hidden="1" x14ac:dyDescent="0.2">
      <c r="A897" t="s">
        <v>3040</v>
      </c>
      <c r="B897" t="s">
        <v>2365</v>
      </c>
      <c r="C897" t="s">
        <v>2366</v>
      </c>
      <c r="D897" t="s">
        <v>3041</v>
      </c>
      <c r="E897" t="s">
        <v>3039</v>
      </c>
      <c r="F897" t="str">
        <f>IF(Table2[[#This Row],[Date posted]]&lt; DATE(2015,9,18),"Before Crisis","During Crisis")</f>
        <v>During Crisis</v>
      </c>
      <c r="G897" s="27">
        <f t="shared" si="78"/>
        <v>42328</v>
      </c>
      <c r="H897" s="7" t="str">
        <f t="shared" si="79"/>
        <v>22:49:50</v>
      </c>
      <c r="I897" s="8" t="str">
        <f t="shared" si="80"/>
        <v>Evening</v>
      </c>
      <c r="J897" t="s">
        <v>3042</v>
      </c>
      <c r="K897" t="s">
        <v>2370</v>
      </c>
      <c r="L897">
        <v>1</v>
      </c>
      <c r="M897" s="3">
        <v>0</v>
      </c>
      <c r="N897">
        <v>1</v>
      </c>
      <c r="O897" s="4">
        <f t="shared" si="81"/>
        <v>2</v>
      </c>
      <c r="P897" s="5" t="str">
        <f t="shared" si="82"/>
        <v>Low engagement</v>
      </c>
      <c r="Q897" t="b">
        <v>0</v>
      </c>
      <c r="R897" t="b">
        <v>0</v>
      </c>
      <c r="S897" t="b">
        <v>1</v>
      </c>
      <c r="T897" s="24" t="str">
        <f t="shared" si="83"/>
        <v>Link</v>
      </c>
    </row>
    <row r="898" spans="1:20" hidden="1" x14ac:dyDescent="0.2">
      <c r="A898" t="s">
        <v>3028</v>
      </c>
      <c r="B898" t="s">
        <v>2365</v>
      </c>
      <c r="C898" t="s">
        <v>2366</v>
      </c>
      <c r="D898" t="s">
        <v>3029</v>
      </c>
      <c r="E898" t="s">
        <v>3030</v>
      </c>
      <c r="F898" t="str">
        <f>IF(Table2[[#This Row],[Date posted]]&lt; DATE(2015,9,18),"Before Crisis","During Crisis")</f>
        <v>During Crisis</v>
      </c>
      <c r="G898" s="27">
        <f t="shared" ref="G898:G961" si="84">DATEVALUE(LEFT(E898,10))</f>
        <v>42328</v>
      </c>
      <c r="H898" s="7" t="str">
        <f t="shared" ref="H898:H961" si="85">MID(E898,12,8)</f>
        <v>22:49:52</v>
      </c>
      <c r="I898" s="8" t="str">
        <f t="shared" ref="I898:I961" si="86">IF(HOUR(H898)&lt;7,"Early morning",
IF(HOUR(H898)&lt;11,"Morning",
IF(HOUR(H898)&lt;14,"Mid-day",
IF(HOUR(H898)&lt;18,"Afternoon","Evening"))))</f>
        <v>Evening</v>
      </c>
      <c r="J898" t="s">
        <v>3027</v>
      </c>
      <c r="K898" t="s">
        <v>2370</v>
      </c>
      <c r="L898" s="3">
        <v>0</v>
      </c>
      <c r="M898" s="3">
        <v>0</v>
      </c>
      <c r="N898">
        <v>1</v>
      </c>
      <c r="O898" s="4">
        <f t="shared" ref="O898:O961" si="87">L898+M898+N898</f>
        <v>1</v>
      </c>
      <c r="P898" s="5" t="str">
        <f t="shared" ref="P898:P961" si="88">IF(O898&lt;1,"No engagement", IF(O898&lt;5,"Low engagement", IF(O898&lt;10,"Moderate engagement", "High engagement")))</f>
        <v>Low engagement</v>
      </c>
      <c r="Q898" t="b">
        <v>0</v>
      </c>
      <c r="R898" t="b">
        <v>0</v>
      </c>
      <c r="S898" t="b">
        <v>0</v>
      </c>
      <c r="T898" s="24" t="str">
        <f t="shared" ref="T898:T961" si="89">IF(Q898=TRUE,"Photo",
    IF(R898=TRUE,"Video",
        IF(S898=TRUE,"Link","Text only")))</f>
        <v>Text only</v>
      </c>
    </row>
    <row r="899" spans="1:20" hidden="1" x14ac:dyDescent="0.2">
      <c r="A899" t="s">
        <v>3031</v>
      </c>
      <c r="B899" t="s">
        <v>2365</v>
      </c>
      <c r="C899" t="s">
        <v>2366</v>
      </c>
      <c r="D899" t="s">
        <v>3032</v>
      </c>
      <c r="E899" t="s">
        <v>3030</v>
      </c>
      <c r="F899" t="str">
        <f>IF(Table2[[#This Row],[Date posted]]&lt; DATE(2015,9,18),"Before Crisis","During Crisis")</f>
        <v>During Crisis</v>
      </c>
      <c r="G899" s="27">
        <f t="shared" si="84"/>
        <v>42328</v>
      </c>
      <c r="H899" s="7" t="str">
        <f t="shared" si="85"/>
        <v>22:49:52</v>
      </c>
      <c r="I899" s="8" t="str">
        <f t="shared" si="86"/>
        <v>Evening</v>
      </c>
      <c r="J899" t="s">
        <v>3027</v>
      </c>
      <c r="K899" t="s">
        <v>2370</v>
      </c>
      <c r="L899" s="3">
        <v>0</v>
      </c>
      <c r="M899">
        <v>1</v>
      </c>
      <c r="N899">
        <v>1</v>
      </c>
      <c r="O899" s="4">
        <f t="shared" si="87"/>
        <v>2</v>
      </c>
      <c r="P899" s="5" t="str">
        <f t="shared" si="88"/>
        <v>Low engagement</v>
      </c>
      <c r="Q899" t="b">
        <v>0</v>
      </c>
      <c r="R899" t="b">
        <v>0</v>
      </c>
      <c r="S899" t="b">
        <v>0</v>
      </c>
      <c r="T899" s="24" t="str">
        <f t="shared" si="89"/>
        <v>Text only</v>
      </c>
    </row>
    <row r="900" spans="1:20" hidden="1" x14ac:dyDescent="0.2">
      <c r="A900" t="s">
        <v>3018</v>
      </c>
      <c r="B900" t="s">
        <v>2365</v>
      </c>
      <c r="C900" t="s">
        <v>2366</v>
      </c>
      <c r="D900" t="s">
        <v>3019</v>
      </c>
      <c r="E900" t="s">
        <v>3020</v>
      </c>
      <c r="F900" t="str">
        <f>IF(Table2[[#This Row],[Date posted]]&lt; DATE(2015,9,18),"Before Crisis","During Crisis")</f>
        <v>During Crisis</v>
      </c>
      <c r="G900" s="27">
        <f t="shared" si="84"/>
        <v>42328</v>
      </c>
      <c r="H900" s="7" t="str">
        <f t="shared" si="85"/>
        <v>23:25:03</v>
      </c>
      <c r="I900" s="8" t="str">
        <f t="shared" si="86"/>
        <v>Evening</v>
      </c>
      <c r="J900" t="s">
        <v>3017</v>
      </c>
      <c r="K900" t="s">
        <v>2370</v>
      </c>
      <c r="L900" s="3">
        <v>0</v>
      </c>
      <c r="M900" s="3">
        <v>0</v>
      </c>
      <c r="N900">
        <v>1</v>
      </c>
      <c r="O900" s="4">
        <f t="shared" si="87"/>
        <v>1</v>
      </c>
      <c r="P900" s="5" t="str">
        <f t="shared" si="88"/>
        <v>Low engagement</v>
      </c>
      <c r="Q900" t="b">
        <v>0</v>
      </c>
      <c r="R900" t="b">
        <v>0</v>
      </c>
      <c r="S900" t="b">
        <v>0</v>
      </c>
      <c r="T900" s="24" t="str">
        <f t="shared" si="89"/>
        <v>Text only</v>
      </c>
    </row>
    <row r="901" spans="1:20" hidden="1" x14ac:dyDescent="0.2">
      <c r="A901" t="s">
        <v>3014</v>
      </c>
      <c r="B901" t="s">
        <v>2365</v>
      </c>
      <c r="C901" t="s">
        <v>2366</v>
      </c>
      <c r="D901" t="s">
        <v>3015</v>
      </c>
      <c r="E901" t="s">
        <v>3016</v>
      </c>
      <c r="F901" t="str">
        <f>IF(Table2[[#This Row],[Date posted]]&lt; DATE(2015,9,18),"Before Crisis","During Crisis")</f>
        <v>During Crisis</v>
      </c>
      <c r="G901" s="27">
        <f t="shared" si="84"/>
        <v>42328</v>
      </c>
      <c r="H901" s="7" t="str">
        <f t="shared" si="85"/>
        <v>23:25:04</v>
      </c>
      <c r="I901" s="8" t="str">
        <f t="shared" si="86"/>
        <v>Evening</v>
      </c>
      <c r="J901" t="s">
        <v>3017</v>
      </c>
      <c r="K901" t="s">
        <v>2370</v>
      </c>
      <c r="L901">
        <v>1</v>
      </c>
      <c r="M901" s="3">
        <v>0</v>
      </c>
      <c r="N901">
        <v>1</v>
      </c>
      <c r="O901" s="4">
        <f t="shared" si="87"/>
        <v>2</v>
      </c>
      <c r="P901" s="5" t="str">
        <f t="shared" si="88"/>
        <v>Low engagement</v>
      </c>
      <c r="Q901" t="b">
        <v>0</v>
      </c>
      <c r="R901" t="b">
        <v>0</v>
      </c>
      <c r="S901" t="b">
        <v>0</v>
      </c>
      <c r="T901" s="24" t="str">
        <f t="shared" si="89"/>
        <v>Text only</v>
      </c>
    </row>
    <row r="902" spans="1:20" hidden="1" x14ac:dyDescent="0.2">
      <c r="A902" t="s">
        <v>3011</v>
      </c>
      <c r="B902" t="s">
        <v>2365</v>
      </c>
      <c r="C902" t="s">
        <v>2366</v>
      </c>
      <c r="D902" t="s">
        <v>3012</v>
      </c>
      <c r="E902" t="s">
        <v>3013</v>
      </c>
      <c r="F902" t="str">
        <f>IF(Table2[[#This Row],[Date posted]]&lt; DATE(2015,9,18),"Before Crisis","During Crisis")</f>
        <v>During Crisis</v>
      </c>
      <c r="G902" s="27">
        <f t="shared" si="84"/>
        <v>42331</v>
      </c>
      <c r="H902" s="7" t="str">
        <f t="shared" si="85"/>
        <v>18:41:07</v>
      </c>
      <c r="I902" s="8" t="str">
        <f t="shared" si="86"/>
        <v>Evening</v>
      </c>
      <c r="J902" t="s">
        <v>2370</v>
      </c>
      <c r="K902" t="s">
        <v>2370</v>
      </c>
      <c r="L902" s="3">
        <v>0</v>
      </c>
      <c r="M902">
        <v>1</v>
      </c>
      <c r="N902">
        <v>1</v>
      </c>
      <c r="O902" s="4">
        <f t="shared" si="87"/>
        <v>2</v>
      </c>
      <c r="P902" s="5" t="str">
        <f t="shared" si="88"/>
        <v>Low engagement</v>
      </c>
      <c r="Q902" t="b">
        <v>0</v>
      </c>
      <c r="R902" t="b">
        <v>0</v>
      </c>
      <c r="S902" t="b">
        <v>0</v>
      </c>
      <c r="T902" s="24" t="str">
        <f t="shared" si="89"/>
        <v>Text only</v>
      </c>
    </row>
    <row r="903" spans="1:20" hidden="1" x14ac:dyDescent="0.2">
      <c r="A903" t="s">
        <v>3008</v>
      </c>
      <c r="B903" t="s">
        <v>2365</v>
      </c>
      <c r="C903" t="s">
        <v>2366</v>
      </c>
      <c r="D903" t="s">
        <v>3009</v>
      </c>
      <c r="E903" t="s">
        <v>3010</v>
      </c>
      <c r="F903" t="str">
        <f>IF(Table2[[#This Row],[Date posted]]&lt; DATE(2015,9,18),"Before Crisis","During Crisis")</f>
        <v>During Crisis</v>
      </c>
      <c r="G903" s="27">
        <f t="shared" si="84"/>
        <v>42331</v>
      </c>
      <c r="H903" s="7" t="str">
        <f t="shared" si="85"/>
        <v>18:41:08</v>
      </c>
      <c r="I903" s="8" t="str">
        <f t="shared" si="86"/>
        <v>Evening</v>
      </c>
      <c r="J903" t="s">
        <v>2956</v>
      </c>
      <c r="K903" t="s">
        <v>2370</v>
      </c>
      <c r="L903">
        <v>1</v>
      </c>
      <c r="M903">
        <v>1</v>
      </c>
      <c r="N903">
        <v>1</v>
      </c>
      <c r="O903" s="4">
        <f t="shared" si="87"/>
        <v>3</v>
      </c>
      <c r="P903" s="5" t="str">
        <f t="shared" si="88"/>
        <v>Low engagement</v>
      </c>
      <c r="Q903" t="b">
        <v>0</v>
      </c>
      <c r="R903" t="b">
        <v>0</v>
      </c>
      <c r="S903" t="b">
        <v>0</v>
      </c>
      <c r="T903" s="24" t="str">
        <f t="shared" si="89"/>
        <v>Text only</v>
      </c>
    </row>
    <row r="904" spans="1:20" hidden="1" x14ac:dyDescent="0.2">
      <c r="A904" t="s">
        <v>3005</v>
      </c>
      <c r="B904" t="s">
        <v>2365</v>
      </c>
      <c r="C904" t="s">
        <v>2366</v>
      </c>
      <c r="D904" t="s">
        <v>3006</v>
      </c>
      <c r="E904" t="s">
        <v>3007</v>
      </c>
      <c r="F904" t="str">
        <f>IF(Table2[[#This Row],[Date posted]]&lt; DATE(2015,9,18),"Before Crisis","During Crisis")</f>
        <v>During Crisis</v>
      </c>
      <c r="G904" s="27">
        <f t="shared" si="84"/>
        <v>42331</v>
      </c>
      <c r="H904" s="7" t="str">
        <f t="shared" si="85"/>
        <v>18:44:46</v>
      </c>
      <c r="I904" s="8" t="str">
        <f t="shared" si="86"/>
        <v>Evening</v>
      </c>
      <c r="J904" t="s">
        <v>2956</v>
      </c>
      <c r="K904" t="s">
        <v>2370</v>
      </c>
      <c r="L904" s="3">
        <v>0</v>
      </c>
      <c r="M904">
        <v>1</v>
      </c>
      <c r="N904">
        <v>1</v>
      </c>
      <c r="O904" s="4">
        <f t="shared" si="87"/>
        <v>2</v>
      </c>
      <c r="P904" s="5" t="str">
        <f t="shared" si="88"/>
        <v>Low engagement</v>
      </c>
      <c r="Q904" t="b">
        <v>0</v>
      </c>
      <c r="R904" t="b">
        <v>0</v>
      </c>
      <c r="S904" t="b">
        <v>0</v>
      </c>
      <c r="T904" s="24" t="str">
        <f t="shared" si="89"/>
        <v>Text only</v>
      </c>
    </row>
    <row r="905" spans="1:20" hidden="1" x14ac:dyDescent="0.2">
      <c r="A905" t="s">
        <v>2999</v>
      </c>
      <c r="B905" t="s">
        <v>2365</v>
      </c>
      <c r="C905" t="s">
        <v>2366</v>
      </c>
      <c r="D905" t="s">
        <v>3000</v>
      </c>
      <c r="E905" t="s">
        <v>3001</v>
      </c>
      <c r="F905" t="str">
        <f>IF(Table2[[#This Row],[Date posted]]&lt; DATE(2015,9,18),"Before Crisis","During Crisis")</f>
        <v>During Crisis</v>
      </c>
      <c r="G905" s="27">
        <f t="shared" si="84"/>
        <v>42331</v>
      </c>
      <c r="H905" s="7" t="str">
        <f t="shared" si="85"/>
        <v>18:51:56</v>
      </c>
      <c r="I905" s="8" t="str">
        <f t="shared" si="86"/>
        <v>Evening</v>
      </c>
      <c r="J905" t="s">
        <v>3002</v>
      </c>
      <c r="K905" t="s">
        <v>2370</v>
      </c>
      <c r="L905" s="3">
        <v>0</v>
      </c>
      <c r="M905" s="3">
        <v>0</v>
      </c>
      <c r="N905">
        <v>1</v>
      </c>
      <c r="O905" s="4">
        <f t="shared" si="87"/>
        <v>1</v>
      </c>
      <c r="P905" s="5" t="str">
        <f t="shared" si="88"/>
        <v>Low engagement</v>
      </c>
      <c r="Q905" t="b">
        <v>0</v>
      </c>
      <c r="R905" t="b">
        <v>0</v>
      </c>
      <c r="S905" t="b">
        <v>0</v>
      </c>
      <c r="T905" s="24" t="str">
        <f t="shared" si="89"/>
        <v>Text only</v>
      </c>
    </row>
    <row r="906" spans="1:20" hidden="1" x14ac:dyDescent="0.2">
      <c r="A906" t="s">
        <v>3003</v>
      </c>
      <c r="B906" t="s">
        <v>2365</v>
      </c>
      <c r="C906" t="s">
        <v>2366</v>
      </c>
      <c r="D906" t="s">
        <v>3004</v>
      </c>
      <c r="E906" t="s">
        <v>3001</v>
      </c>
      <c r="F906" t="str">
        <f>IF(Table2[[#This Row],[Date posted]]&lt; DATE(2015,9,18),"Before Crisis","During Crisis")</f>
        <v>During Crisis</v>
      </c>
      <c r="G906" s="27">
        <f t="shared" si="84"/>
        <v>42331</v>
      </c>
      <c r="H906" s="7" t="str">
        <f t="shared" si="85"/>
        <v>18:51:56</v>
      </c>
      <c r="I906" s="8" t="str">
        <f t="shared" si="86"/>
        <v>Evening</v>
      </c>
      <c r="J906" t="s">
        <v>3002</v>
      </c>
      <c r="K906" t="s">
        <v>2370</v>
      </c>
      <c r="L906">
        <v>1</v>
      </c>
      <c r="M906" s="3">
        <v>0</v>
      </c>
      <c r="N906">
        <v>1</v>
      </c>
      <c r="O906" s="4">
        <f t="shared" si="87"/>
        <v>2</v>
      </c>
      <c r="P906" s="5" t="str">
        <f t="shared" si="88"/>
        <v>Low engagement</v>
      </c>
      <c r="Q906" t="b">
        <v>0</v>
      </c>
      <c r="R906" t="b">
        <v>0</v>
      </c>
      <c r="S906" t="b">
        <v>0</v>
      </c>
      <c r="T906" s="24" t="str">
        <f t="shared" si="89"/>
        <v>Text only</v>
      </c>
    </row>
    <row r="907" spans="1:20" hidden="1" x14ac:dyDescent="0.2">
      <c r="A907" t="s">
        <v>2993</v>
      </c>
      <c r="B907" t="s">
        <v>2365</v>
      </c>
      <c r="C907" t="s">
        <v>2366</v>
      </c>
      <c r="D907" t="s">
        <v>2994</v>
      </c>
      <c r="E907" t="s">
        <v>2995</v>
      </c>
      <c r="F907" t="str">
        <f>IF(Table2[[#This Row],[Date posted]]&lt; DATE(2015,9,18),"Before Crisis","During Crisis")</f>
        <v>During Crisis</v>
      </c>
      <c r="G907" s="27">
        <f t="shared" si="84"/>
        <v>42331</v>
      </c>
      <c r="H907" s="7" t="str">
        <f t="shared" si="85"/>
        <v>19:51:00</v>
      </c>
      <c r="I907" s="8" t="str">
        <f t="shared" si="86"/>
        <v>Evening</v>
      </c>
      <c r="J907" t="s">
        <v>2996</v>
      </c>
      <c r="K907" t="s">
        <v>2370</v>
      </c>
      <c r="L907" s="3">
        <v>0</v>
      </c>
      <c r="M907" s="3">
        <v>0</v>
      </c>
      <c r="N907">
        <v>1</v>
      </c>
      <c r="O907" s="4">
        <f t="shared" si="87"/>
        <v>1</v>
      </c>
      <c r="P907" s="5" t="str">
        <f t="shared" si="88"/>
        <v>Low engagement</v>
      </c>
      <c r="Q907" t="b">
        <v>0</v>
      </c>
      <c r="R907" t="b">
        <v>0</v>
      </c>
      <c r="S907" t="b">
        <v>0</v>
      </c>
      <c r="T907" s="24" t="str">
        <f t="shared" si="89"/>
        <v>Text only</v>
      </c>
    </row>
    <row r="908" spans="1:20" hidden="1" x14ac:dyDescent="0.2">
      <c r="A908" t="s">
        <v>2997</v>
      </c>
      <c r="B908" t="s">
        <v>2365</v>
      </c>
      <c r="C908" t="s">
        <v>2366</v>
      </c>
      <c r="D908" t="s">
        <v>2998</v>
      </c>
      <c r="E908" t="s">
        <v>2995</v>
      </c>
      <c r="F908" t="str">
        <f>IF(Table2[[#This Row],[Date posted]]&lt; DATE(2015,9,18),"Before Crisis","During Crisis")</f>
        <v>During Crisis</v>
      </c>
      <c r="G908" s="27">
        <f t="shared" si="84"/>
        <v>42331</v>
      </c>
      <c r="H908" s="7" t="str">
        <f t="shared" si="85"/>
        <v>19:51:00</v>
      </c>
      <c r="I908" s="8" t="str">
        <f t="shared" si="86"/>
        <v>Evening</v>
      </c>
      <c r="J908" t="s">
        <v>2996</v>
      </c>
      <c r="K908" t="s">
        <v>2370</v>
      </c>
      <c r="L908" s="3">
        <v>0</v>
      </c>
      <c r="M908" s="3">
        <v>0</v>
      </c>
      <c r="N908">
        <v>1</v>
      </c>
      <c r="O908" s="4">
        <f t="shared" si="87"/>
        <v>1</v>
      </c>
      <c r="P908" s="5" t="str">
        <f t="shared" si="88"/>
        <v>Low engagement</v>
      </c>
      <c r="Q908" t="b">
        <v>0</v>
      </c>
      <c r="R908" t="b">
        <v>0</v>
      </c>
      <c r="S908" t="b">
        <v>0</v>
      </c>
      <c r="T908" s="24" t="str">
        <f t="shared" si="89"/>
        <v>Text only</v>
      </c>
    </row>
    <row r="909" spans="1:20" hidden="1" x14ac:dyDescent="0.2">
      <c r="A909" t="s">
        <v>2989</v>
      </c>
      <c r="B909" t="s">
        <v>2365</v>
      </c>
      <c r="C909" t="s">
        <v>2366</v>
      </c>
      <c r="D909" t="s">
        <v>2990</v>
      </c>
      <c r="E909" t="s">
        <v>2991</v>
      </c>
      <c r="F909" t="str">
        <f>IF(Table2[[#This Row],[Date posted]]&lt; DATE(2015,9,18),"Before Crisis","During Crisis")</f>
        <v>During Crisis</v>
      </c>
      <c r="G909" s="27">
        <f t="shared" si="84"/>
        <v>42331</v>
      </c>
      <c r="H909" s="7" t="str">
        <f t="shared" si="85"/>
        <v>20:29:21</v>
      </c>
      <c r="I909" s="8" t="str">
        <f t="shared" si="86"/>
        <v>Evening</v>
      </c>
      <c r="J909" t="s">
        <v>2992</v>
      </c>
      <c r="K909" t="s">
        <v>2370</v>
      </c>
      <c r="L909">
        <v>1</v>
      </c>
      <c r="M909" s="3">
        <v>0</v>
      </c>
      <c r="N909">
        <v>1</v>
      </c>
      <c r="O909" s="4">
        <f t="shared" si="87"/>
        <v>2</v>
      </c>
      <c r="P909" s="5" t="str">
        <f t="shared" si="88"/>
        <v>Low engagement</v>
      </c>
      <c r="Q909" t="b">
        <v>0</v>
      </c>
      <c r="R909" t="b">
        <v>0</v>
      </c>
      <c r="S909" t="b">
        <v>1</v>
      </c>
      <c r="T909" s="24" t="str">
        <f t="shared" si="89"/>
        <v>Link</v>
      </c>
    </row>
    <row r="910" spans="1:20" hidden="1" x14ac:dyDescent="0.2">
      <c r="A910" t="s">
        <v>2986</v>
      </c>
      <c r="B910" t="s">
        <v>2365</v>
      </c>
      <c r="C910" t="s">
        <v>2366</v>
      </c>
      <c r="D910" t="s">
        <v>2987</v>
      </c>
      <c r="E910" t="s">
        <v>2988</v>
      </c>
      <c r="F910" t="str">
        <f>IF(Table2[[#This Row],[Date posted]]&lt; DATE(2015,9,18),"Before Crisis","During Crisis")</f>
        <v>During Crisis</v>
      </c>
      <c r="G910" s="27">
        <f t="shared" si="84"/>
        <v>42331</v>
      </c>
      <c r="H910" s="7" t="str">
        <f t="shared" si="85"/>
        <v>20:32:54</v>
      </c>
      <c r="I910" s="8" t="str">
        <f t="shared" si="86"/>
        <v>Evening</v>
      </c>
      <c r="J910" t="s">
        <v>2370</v>
      </c>
      <c r="K910" t="s">
        <v>2370</v>
      </c>
      <c r="L910" s="3">
        <v>0</v>
      </c>
      <c r="M910" s="3">
        <v>0</v>
      </c>
      <c r="N910">
        <v>1</v>
      </c>
      <c r="O910" s="4">
        <f t="shared" si="87"/>
        <v>1</v>
      </c>
      <c r="P910" s="5" t="str">
        <f t="shared" si="88"/>
        <v>Low engagement</v>
      </c>
      <c r="Q910" t="b">
        <v>0</v>
      </c>
      <c r="R910" t="b">
        <v>0</v>
      </c>
      <c r="S910" t="b">
        <v>0</v>
      </c>
      <c r="T910" s="24" t="str">
        <f t="shared" si="89"/>
        <v>Text only</v>
      </c>
    </row>
    <row r="911" spans="1:20" hidden="1" x14ac:dyDescent="0.2">
      <c r="A911" t="s">
        <v>2984</v>
      </c>
      <c r="B911" t="s">
        <v>2365</v>
      </c>
      <c r="C911" t="s">
        <v>2366</v>
      </c>
      <c r="D911" t="s">
        <v>2981</v>
      </c>
      <c r="E911" t="s">
        <v>2985</v>
      </c>
      <c r="F911" t="str">
        <f>IF(Table2[[#This Row],[Date posted]]&lt; DATE(2015,9,18),"Before Crisis","During Crisis")</f>
        <v>During Crisis</v>
      </c>
      <c r="G911" s="27">
        <f t="shared" si="84"/>
        <v>42331</v>
      </c>
      <c r="H911" s="7" t="str">
        <f t="shared" si="85"/>
        <v>21:15:36</v>
      </c>
      <c r="I911" s="8" t="str">
        <f t="shared" si="86"/>
        <v>Evening</v>
      </c>
      <c r="J911" t="s">
        <v>2983</v>
      </c>
      <c r="K911" t="s">
        <v>2370</v>
      </c>
      <c r="L911" s="3">
        <v>0</v>
      </c>
      <c r="M911" s="3">
        <v>0</v>
      </c>
      <c r="N911">
        <v>1</v>
      </c>
      <c r="O911" s="4">
        <f t="shared" si="87"/>
        <v>1</v>
      </c>
      <c r="P911" s="5" t="str">
        <f t="shared" si="88"/>
        <v>Low engagement</v>
      </c>
      <c r="Q911" t="b">
        <v>0</v>
      </c>
      <c r="R911" t="b">
        <v>0</v>
      </c>
      <c r="S911" t="b">
        <v>1</v>
      </c>
      <c r="T911" s="24" t="str">
        <f t="shared" si="89"/>
        <v>Link</v>
      </c>
    </row>
    <row r="912" spans="1:20" hidden="1" x14ac:dyDescent="0.2">
      <c r="A912" t="s">
        <v>2980</v>
      </c>
      <c r="B912" t="s">
        <v>2365</v>
      </c>
      <c r="C912" t="s">
        <v>2366</v>
      </c>
      <c r="D912" t="s">
        <v>2981</v>
      </c>
      <c r="E912" t="s">
        <v>2982</v>
      </c>
      <c r="F912" t="str">
        <f>IF(Table2[[#This Row],[Date posted]]&lt; DATE(2015,9,18),"Before Crisis","During Crisis")</f>
        <v>During Crisis</v>
      </c>
      <c r="G912" s="27">
        <f t="shared" si="84"/>
        <v>42332</v>
      </c>
      <c r="H912" s="7" t="str">
        <f t="shared" si="85"/>
        <v>17:06:42</v>
      </c>
      <c r="I912" s="8" t="str">
        <f t="shared" si="86"/>
        <v>Afternoon</v>
      </c>
      <c r="J912" t="s">
        <v>2983</v>
      </c>
      <c r="K912" t="s">
        <v>2370</v>
      </c>
      <c r="L912" s="3">
        <v>0</v>
      </c>
      <c r="M912" s="3">
        <v>0</v>
      </c>
      <c r="N912">
        <v>1</v>
      </c>
      <c r="O912" s="4">
        <f t="shared" si="87"/>
        <v>1</v>
      </c>
      <c r="P912" s="5" t="str">
        <f t="shared" si="88"/>
        <v>Low engagement</v>
      </c>
      <c r="Q912" t="b">
        <v>0</v>
      </c>
      <c r="R912" t="b">
        <v>0</v>
      </c>
      <c r="S912" t="b">
        <v>1</v>
      </c>
      <c r="T912" s="24" t="str">
        <f t="shared" si="89"/>
        <v>Link</v>
      </c>
    </row>
    <row r="913" spans="1:20" hidden="1" x14ac:dyDescent="0.2">
      <c r="A913" t="s">
        <v>2978</v>
      </c>
      <c r="B913" t="s">
        <v>2365</v>
      </c>
      <c r="C913" t="s">
        <v>2366</v>
      </c>
      <c r="D913" t="s">
        <v>2979</v>
      </c>
      <c r="E913" t="s">
        <v>2976</v>
      </c>
      <c r="F913" t="str">
        <f>IF(Table2[[#This Row],[Date posted]]&lt; DATE(2015,9,18),"Before Crisis","During Crisis")</f>
        <v>During Crisis</v>
      </c>
      <c r="G913" s="27">
        <f t="shared" si="84"/>
        <v>42332</v>
      </c>
      <c r="H913" s="7" t="str">
        <f t="shared" si="85"/>
        <v>17:06:43</v>
      </c>
      <c r="I913" s="8" t="str">
        <f t="shared" si="86"/>
        <v>Afternoon</v>
      </c>
      <c r="J913" t="s">
        <v>2977</v>
      </c>
      <c r="K913" t="s">
        <v>2370</v>
      </c>
      <c r="L913">
        <v>1</v>
      </c>
      <c r="M913" s="3">
        <v>0</v>
      </c>
      <c r="N913">
        <v>1</v>
      </c>
      <c r="O913" s="4">
        <f t="shared" si="87"/>
        <v>2</v>
      </c>
      <c r="P913" s="5" t="str">
        <f t="shared" si="88"/>
        <v>Low engagement</v>
      </c>
      <c r="Q913" t="b">
        <v>0</v>
      </c>
      <c r="R913" t="b">
        <v>0</v>
      </c>
      <c r="S913" t="b">
        <v>0</v>
      </c>
      <c r="T913" s="24" t="str">
        <f t="shared" si="89"/>
        <v>Text only</v>
      </c>
    </row>
    <row r="914" spans="1:20" hidden="1" x14ac:dyDescent="0.2">
      <c r="A914" t="s">
        <v>2968</v>
      </c>
      <c r="B914" t="s">
        <v>2365</v>
      </c>
      <c r="C914" t="s">
        <v>2366</v>
      </c>
      <c r="D914" t="s">
        <v>2969</v>
      </c>
      <c r="E914" t="s">
        <v>2970</v>
      </c>
      <c r="F914" t="str">
        <f>IF(Table2[[#This Row],[Date posted]]&lt; DATE(2015,9,18),"Before Crisis","During Crisis")</f>
        <v>During Crisis</v>
      </c>
      <c r="G914" s="27">
        <f t="shared" si="84"/>
        <v>42332</v>
      </c>
      <c r="H914" s="7" t="str">
        <f t="shared" si="85"/>
        <v>17:17:02</v>
      </c>
      <c r="I914" s="8" t="str">
        <f t="shared" si="86"/>
        <v>Afternoon</v>
      </c>
      <c r="J914" t="s">
        <v>2971</v>
      </c>
      <c r="K914" t="s">
        <v>2370</v>
      </c>
      <c r="L914" s="3">
        <v>0</v>
      </c>
      <c r="M914" s="3">
        <v>0</v>
      </c>
      <c r="N914">
        <v>1</v>
      </c>
      <c r="O914" s="4">
        <f t="shared" si="87"/>
        <v>1</v>
      </c>
      <c r="P914" s="5" t="str">
        <f t="shared" si="88"/>
        <v>Low engagement</v>
      </c>
      <c r="Q914" t="b">
        <v>0</v>
      </c>
      <c r="R914" t="b">
        <v>0</v>
      </c>
      <c r="S914" t="b">
        <v>0</v>
      </c>
      <c r="T914" s="24" t="str">
        <f t="shared" si="89"/>
        <v>Text only</v>
      </c>
    </row>
    <row r="915" spans="1:20" hidden="1" x14ac:dyDescent="0.2">
      <c r="A915" t="s">
        <v>2960</v>
      </c>
      <c r="B915" t="s">
        <v>2365</v>
      </c>
      <c r="C915" t="s">
        <v>2366</v>
      </c>
      <c r="D915" t="s">
        <v>2961</v>
      </c>
      <c r="E915" t="s">
        <v>2962</v>
      </c>
      <c r="F915" t="str">
        <f>IF(Table2[[#This Row],[Date posted]]&lt; DATE(2015,9,18),"Before Crisis","During Crisis")</f>
        <v>During Crisis</v>
      </c>
      <c r="G915" s="27">
        <f t="shared" si="84"/>
        <v>42332</v>
      </c>
      <c r="H915" s="7" t="str">
        <f t="shared" si="85"/>
        <v>17:17:03</v>
      </c>
      <c r="I915" s="8" t="str">
        <f t="shared" si="86"/>
        <v>Afternoon</v>
      </c>
      <c r="J915" t="s">
        <v>2963</v>
      </c>
      <c r="K915" t="s">
        <v>2370</v>
      </c>
      <c r="L915" s="3">
        <v>0</v>
      </c>
      <c r="M915">
        <v>1</v>
      </c>
      <c r="N915">
        <v>1</v>
      </c>
      <c r="O915" s="4">
        <f t="shared" si="87"/>
        <v>2</v>
      </c>
      <c r="P915" s="5" t="str">
        <f t="shared" si="88"/>
        <v>Low engagement</v>
      </c>
      <c r="Q915" t="b">
        <v>0</v>
      </c>
      <c r="R915" t="b">
        <v>0</v>
      </c>
      <c r="S915" t="b">
        <v>0</v>
      </c>
      <c r="T915" s="24" t="str">
        <f t="shared" si="89"/>
        <v>Text only</v>
      </c>
    </row>
    <row r="916" spans="1:20" hidden="1" x14ac:dyDescent="0.2">
      <c r="A916" t="s">
        <v>2964</v>
      </c>
      <c r="B916" t="s">
        <v>2365</v>
      </c>
      <c r="C916" t="s">
        <v>2366</v>
      </c>
      <c r="D916" t="s">
        <v>2965</v>
      </c>
      <c r="E916" t="s">
        <v>2962</v>
      </c>
      <c r="F916" t="str">
        <f>IF(Table2[[#This Row],[Date posted]]&lt; DATE(2015,9,18),"Before Crisis","During Crisis")</f>
        <v>During Crisis</v>
      </c>
      <c r="G916" s="27">
        <f t="shared" si="84"/>
        <v>42332</v>
      </c>
      <c r="H916" s="7" t="str">
        <f t="shared" si="85"/>
        <v>17:17:03</v>
      </c>
      <c r="I916" s="8" t="str">
        <f t="shared" si="86"/>
        <v>Afternoon</v>
      </c>
      <c r="J916" t="s">
        <v>2963</v>
      </c>
      <c r="K916" t="s">
        <v>2370</v>
      </c>
      <c r="L916" s="3">
        <v>0</v>
      </c>
      <c r="M916" s="3">
        <v>0</v>
      </c>
      <c r="N916">
        <v>1</v>
      </c>
      <c r="O916" s="4">
        <f t="shared" si="87"/>
        <v>1</v>
      </c>
      <c r="P916" s="5" t="str">
        <f t="shared" si="88"/>
        <v>Low engagement</v>
      </c>
      <c r="Q916" t="b">
        <v>0</v>
      </c>
      <c r="R916" t="b">
        <v>0</v>
      </c>
      <c r="S916" t="b">
        <v>0</v>
      </c>
      <c r="T916" s="24" t="str">
        <f t="shared" si="89"/>
        <v>Text only</v>
      </c>
    </row>
    <row r="917" spans="1:20" hidden="1" x14ac:dyDescent="0.2">
      <c r="A917" t="s">
        <v>2966</v>
      </c>
      <c r="B917" t="s">
        <v>2365</v>
      </c>
      <c r="C917" t="s">
        <v>2366</v>
      </c>
      <c r="D917" t="s">
        <v>2967</v>
      </c>
      <c r="E917" t="s">
        <v>2962</v>
      </c>
      <c r="F917" t="str">
        <f>IF(Table2[[#This Row],[Date posted]]&lt; DATE(2015,9,18),"Before Crisis","During Crisis")</f>
        <v>During Crisis</v>
      </c>
      <c r="G917" s="27">
        <f t="shared" si="84"/>
        <v>42332</v>
      </c>
      <c r="H917" s="7" t="str">
        <f t="shared" si="85"/>
        <v>17:17:03</v>
      </c>
      <c r="I917" s="8" t="str">
        <f t="shared" si="86"/>
        <v>Afternoon</v>
      </c>
      <c r="J917" t="s">
        <v>2370</v>
      </c>
      <c r="K917" t="s">
        <v>2370</v>
      </c>
      <c r="L917" s="3">
        <v>0</v>
      </c>
      <c r="M917" s="3">
        <v>0</v>
      </c>
      <c r="N917">
        <v>1</v>
      </c>
      <c r="O917" s="4">
        <f t="shared" si="87"/>
        <v>1</v>
      </c>
      <c r="P917" s="5" t="str">
        <f t="shared" si="88"/>
        <v>Low engagement</v>
      </c>
      <c r="Q917" t="b">
        <v>0</v>
      </c>
      <c r="R917" t="b">
        <v>0</v>
      </c>
      <c r="S917" t="b">
        <v>0</v>
      </c>
      <c r="T917" s="24" t="str">
        <f t="shared" si="89"/>
        <v>Text only</v>
      </c>
    </row>
    <row r="918" spans="1:20" hidden="1" x14ac:dyDescent="0.2">
      <c r="A918" t="s">
        <v>2957</v>
      </c>
      <c r="B918" t="s">
        <v>2365</v>
      </c>
      <c r="C918" t="s">
        <v>2366</v>
      </c>
      <c r="D918" t="s">
        <v>2958</v>
      </c>
      <c r="E918" t="s">
        <v>2959</v>
      </c>
      <c r="F918" t="str">
        <f>IF(Table2[[#This Row],[Date posted]]&lt; DATE(2015,9,18),"Before Crisis","During Crisis")</f>
        <v>During Crisis</v>
      </c>
      <c r="G918" s="27">
        <f t="shared" si="84"/>
        <v>42332</v>
      </c>
      <c r="H918" s="7" t="str">
        <f t="shared" si="85"/>
        <v>17:17:04</v>
      </c>
      <c r="I918" s="8" t="str">
        <f t="shared" si="86"/>
        <v>Afternoon</v>
      </c>
      <c r="J918" t="s">
        <v>2370</v>
      </c>
      <c r="K918" t="s">
        <v>2370</v>
      </c>
      <c r="L918" s="3">
        <v>0</v>
      </c>
      <c r="M918" s="3">
        <v>0</v>
      </c>
      <c r="N918">
        <v>1</v>
      </c>
      <c r="O918" s="4">
        <f t="shared" si="87"/>
        <v>1</v>
      </c>
      <c r="P918" s="5" t="str">
        <f t="shared" si="88"/>
        <v>Low engagement</v>
      </c>
      <c r="Q918" t="b">
        <v>0</v>
      </c>
      <c r="R918" t="b">
        <v>0</v>
      </c>
      <c r="S918" t="b">
        <v>0</v>
      </c>
      <c r="T918" s="24" t="str">
        <f t="shared" si="89"/>
        <v>Text only</v>
      </c>
    </row>
    <row r="919" spans="1:20" hidden="1" x14ac:dyDescent="0.2">
      <c r="A919" t="s">
        <v>2951</v>
      </c>
      <c r="B919" t="s">
        <v>2365</v>
      </c>
      <c r="C919" t="s">
        <v>2366</v>
      </c>
      <c r="D919" t="s">
        <v>2952</v>
      </c>
      <c r="E919" t="s">
        <v>2953</v>
      </c>
      <c r="F919" t="str">
        <f>IF(Table2[[#This Row],[Date posted]]&lt; DATE(2015,9,18),"Before Crisis","During Crisis")</f>
        <v>During Crisis</v>
      </c>
      <c r="G919" s="27">
        <f t="shared" si="84"/>
        <v>42332</v>
      </c>
      <c r="H919" s="7" t="str">
        <f t="shared" si="85"/>
        <v>17:20:32</v>
      </c>
      <c r="I919" s="8" t="str">
        <f t="shared" si="86"/>
        <v>Afternoon</v>
      </c>
      <c r="J919" t="s">
        <v>2370</v>
      </c>
      <c r="K919" t="s">
        <v>2370</v>
      </c>
      <c r="L919" s="3">
        <v>0</v>
      </c>
      <c r="M919" s="3">
        <v>0</v>
      </c>
      <c r="N919">
        <v>1</v>
      </c>
      <c r="O919" s="4">
        <f t="shared" si="87"/>
        <v>1</v>
      </c>
      <c r="P919" s="5" t="str">
        <f t="shared" si="88"/>
        <v>Low engagement</v>
      </c>
      <c r="Q919" t="b">
        <v>0</v>
      </c>
      <c r="R919" t="b">
        <v>0</v>
      </c>
      <c r="S919" t="b">
        <v>0</v>
      </c>
      <c r="T919" s="24" t="str">
        <f t="shared" si="89"/>
        <v>Text only</v>
      </c>
    </row>
    <row r="920" spans="1:20" hidden="1" x14ac:dyDescent="0.2">
      <c r="A920" t="s">
        <v>2948</v>
      </c>
      <c r="B920" t="s">
        <v>2365</v>
      </c>
      <c r="C920" t="s">
        <v>2366</v>
      </c>
      <c r="D920" t="s">
        <v>2949</v>
      </c>
      <c r="E920" t="s">
        <v>2950</v>
      </c>
      <c r="F920" t="str">
        <f>IF(Table2[[#This Row],[Date posted]]&lt; DATE(2015,9,18),"Before Crisis","During Crisis")</f>
        <v>During Crisis</v>
      </c>
      <c r="G920" s="27">
        <f t="shared" si="84"/>
        <v>42332</v>
      </c>
      <c r="H920" s="7" t="str">
        <f t="shared" si="85"/>
        <v>17:52:25</v>
      </c>
      <c r="I920" s="8" t="str">
        <f t="shared" si="86"/>
        <v>Afternoon</v>
      </c>
      <c r="J920" t="s">
        <v>2947</v>
      </c>
      <c r="K920" t="s">
        <v>2370</v>
      </c>
      <c r="L920" s="3">
        <v>0</v>
      </c>
      <c r="M920" s="3">
        <v>0</v>
      </c>
      <c r="N920">
        <v>1</v>
      </c>
      <c r="O920" s="4">
        <f t="shared" si="87"/>
        <v>1</v>
      </c>
      <c r="P920" s="5" t="str">
        <f t="shared" si="88"/>
        <v>Low engagement</v>
      </c>
      <c r="Q920" t="b">
        <v>0</v>
      </c>
      <c r="R920" t="b">
        <v>0</v>
      </c>
      <c r="S920" t="b">
        <v>0</v>
      </c>
      <c r="T920" s="24" t="str">
        <f t="shared" si="89"/>
        <v>Text only</v>
      </c>
    </row>
    <row r="921" spans="1:20" hidden="1" x14ac:dyDescent="0.2">
      <c r="A921" t="s">
        <v>2921</v>
      </c>
      <c r="B921" t="s">
        <v>2365</v>
      </c>
      <c r="C921" t="s">
        <v>2366</v>
      </c>
      <c r="D921" t="s">
        <v>2922</v>
      </c>
      <c r="E921" t="s">
        <v>2923</v>
      </c>
      <c r="F921" t="str">
        <f>IF(Table2[[#This Row],[Date posted]]&lt; DATE(2015,9,18),"Before Crisis","During Crisis")</f>
        <v>During Crisis</v>
      </c>
      <c r="G921" s="27">
        <f t="shared" si="84"/>
        <v>42333</v>
      </c>
      <c r="H921" s="7" t="str">
        <f t="shared" si="85"/>
        <v>20:07:50</v>
      </c>
      <c r="I921" s="8" t="str">
        <f t="shared" si="86"/>
        <v>Evening</v>
      </c>
      <c r="J921" t="s">
        <v>2370</v>
      </c>
      <c r="K921" t="s">
        <v>2370</v>
      </c>
      <c r="L921" s="3">
        <v>0</v>
      </c>
      <c r="M921" s="3">
        <v>0</v>
      </c>
      <c r="N921">
        <v>1</v>
      </c>
      <c r="O921" s="4">
        <f t="shared" si="87"/>
        <v>1</v>
      </c>
      <c r="P921" s="5" t="str">
        <f t="shared" si="88"/>
        <v>Low engagement</v>
      </c>
      <c r="Q921" t="b">
        <v>0</v>
      </c>
      <c r="R921" t="b">
        <v>0</v>
      </c>
      <c r="S921" t="b">
        <v>0</v>
      </c>
      <c r="T921" s="24" t="str">
        <f t="shared" si="89"/>
        <v>Text only</v>
      </c>
    </row>
    <row r="922" spans="1:20" hidden="1" x14ac:dyDescent="0.2">
      <c r="A922" t="s">
        <v>2918</v>
      </c>
      <c r="B922" t="s">
        <v>2365</v>
      </c>
      <c r="C922" t="s">
        <v>2366</v>
      </c>
      <c r="D922" t="s">
        <v>2919</v>
      </c>
      <c r="E922" t="s">
        <v>2920</v>
      </c>
      <c r="F922" t="str">
        <f>IF(Table2[[#This Row],[Date posted]]&lt; DATE(2015,9,18),"Before Crisis","During Crisis")</f>
        <v>During Crisis</v>
      </c>
      <c r="G922" s="27">
        <f t="shared" si="84"/>
        <v>42333</v>
      </c>
      <c r="H922" s="7" t="str">
        <f t="shared" si="85"/>
        <v>21:00:02</v>
      </c>
      <c r="I922" s="8" t="str">
        <f t="shared" si="86"/>
        <v>Evening</v>
      </c>
      <c r="J922" t="s">
        <v>2370</v>
      </c>
      <c r="K922" t="s">
        <v>2370</v>
      </c>
      <c r="L922" s="3">
        <v>0</v>
      </c>
      <c r="M922" s="3">
        <v>0</v>
      </c>
      <c r="N922">
        <v>1</v>
      </c>
      <c r="O922" s="4">
        <f t="shared" si="87"/>
        <v>1</v>
      </c>
      <c r="P922" s="5" t="str">
        <f t="shared" si="88"/>
        <v>Low engagement</v>
      </c>
      <c r="Q922" t="b">
        <v>0</v>
      </c>
      <c r="R922" t="b">
        <v>0</v>
      </c>
      <c r="S922" t="b">
        <v>0</v>
      </c>
      <c r="T922" s="24" t="str">
        <f t="shared" si="89"/>
        <v>Text only</v>
      </c>
    </row>
    <row r="923" spans="1:20" hidden="1" x14ac:dyDescent="0.2">
      <c r="A923" t="s">
        <v>2915</v>
      </c>
      <c r="B923" t="s">
        <v>2365</v>
      </c>
      <c r="C923" t="s">
        <v>2366</v>
      </c>
      <c r="D923" t="s">
        <v>2916</v>
      </c>
      <c r="E923" t="s">
        <v>2917</v>
      </c>
      <c r="F923" t="str">
        <f>IF(Table2[[#This Row],[Date posted]]&lt; DATE(2015,9,18),"Before Crisis","During Crisis")</f>
        <v>During Crisis</v>
      </c>
      <c r="G923" s="27">
        <f t="shared" si="84"/>
        <v>42333</v>
      </c>
      <c r="H923" s="7" t="str">
        <f t="shared" si="85"/>
        <v>21:14:16</v>
      </c>
      <c r="I923" s="8" t="str">
        <f t="shared" si="86"/>
        <v>Evening</v>
      </c>
      <c r="J923" t="s">
        <v>2370</v>
      </c>
      <c r="K923" t="s">
        <v>2370</v>
      </c>
      <c r="L923">
        <v>1</v>
      </c>
      <c r="M923">
        <v>1</v>
      </c>
      <c r="N923">
        <v>1</v>
      </c>
      <c r="O923" s="4">
        <f t="shared" si="87"/>
        <v>3</v>
      </c>
      <c r="P923" s="5" t="str">
        <f t="shared" si="88"/>
        <v>Low engagement</v>
      </c>
      <c r="Q923" t="b">
        <v>0</v>
      </c>
      <c r="R923" t="b">
        <v>0</v>
      </c>
      <c r="S923" t="b">
        <v>0</v>
      </c>
      <c r="T923" s="24" t="str">
        <f t="shared" si="89"/>
        <v>Text only</v>
      </c>
    </row>
    <row r="924" spans="1:20" hidden="1" x14ac:dyDescent="0.2">
      <c r="A924" t="s">
        <v>2907</v>
      </c>
      <c r="B924" t="s">
        <v>2365</v>
      </c>
      <c r="C924" t="s">
        <v>2366</v>
      </c>
      <c r="D924" t="s">
        <v>2908</v>
      </c>
      <c r="E924" t="s">
        <v>2909</v>
      </c>
      <c r="F924" t="str">
        <f>IF(Table2[[#This Row],[Date posted]]&lt; DATE(2015,9,18),"Before Crisis","During Crisis")</f>
        <v>During Crisis</v>
      </c>
      <c r="G924" s="27">
        <f t="shared" si="84"/>
        <v>42335</v>
      </c>
      <c r="H924" s="7" t="str">
        <f t="shared" si="85"/>
        <v>23:26:44</v>
      </c>
      <c r="I924" s="8" t="str">
        <f t="shared" si="86"/>
        <v>Evening</v>
      </c>
      <c r="J924" t="s">
        <v>2910</v>
      </c>
      <c r="K924" t="s">
        <v>2370</v>
      </c>
      <c r="L924" s="3">
        <v>0</v>
      </c>
      <c r="M924" s="3">
        <v>0</v>
      </c>
      <c r="N924">
        <v>1</v>
      </c>
      <c r="O924" s="4">
        <f t="shared" si="87"/>
        <v>1</v>
      </c>
      <c r="P924" s="5" t="str">
        <f t="shared" si="88"/>
        <v>Low engagement</v>
      </c>
      <c r="Q924" t="b">
        <v>0</v>
      </c>
      <c r="R924" t="b">
        <v>0</v>
      </c>
      <c r="S924" t="b">
        <v>0</v>
      </c>
      <c r="T924" s="24" t="str">
        <f t="shared" si="89"/>
        <v>Text only</v>
      </c>
    </row>
    <row r="925" spans="1:20" hidden="1" x14ac:dyDescent="0.2">
      <c r="A925" t="s">
        <v>2903</v>
      </c>
      <c r="B925" t="s">
        <v>2365</v>
      </c>
      <c r="C925" t="s">
        <v>2366</v>
      </c>
      <c r="D925" t="s">
        <v>2904</v>
      </c>
      <c r="E925" t="s">
        <v>2905</v>
      </c>
      <c r="F925" t="str">
        <f>IF(Table2[[#This Row],[Date posted]]&lt; DATE(2015,9,18),"Before Crisis","During Crisis")</f>
        <v>During Crisis</v>
      </c>
      <c r="G925" s="27">
        <f t="shared" si="84"/>
        <v>42335</v>
      </c>
      <c r="H925" s="7" t="str">
        <f t="shared" si="85"/>
        <v>23:26:45</v>
      </c>
      <c r="I925" s="8" t="str">
        <f t="shared" si="86"/>
        <v>Evening</v>
      </c>
      <c r="J925" t="s">
        <v>2906</v>
      </c>
      <c r="K925" t="s">
        <v>2370</v>
      </c>
      <c r="L925" s="3">
        <v>0</v>
      </c>
      <c r="M925" s="3">
        <v>0</v>
      </c>
      <c r="N925">
        <v>1</v>
      </c>
      <c r="O925" s="4">
        <f t="shared" si="87"/>
        <v>1</v>
      </c>
      <c r="P925" s="5" t="str">
        <f t="shared" si="88"/>
        <v>Low engagement</v>
      </c>
      <c r="Q925" t="b">
        <v>0</v>
      </c>
      <c r="R925" t="b">
        <v>0</v>
      </c>
      <c r="S925" t="b">
        <v>0</v>
      </c>
      <c r="T925" s="24" t="str">
        <f t="shared" si="89"/>
        <v>Text only</v>
      </c>
    </row>
    <row r="926" spans="1:20" hidden="1" x14ac:dyDescent="0.2">
      <c r="A926" t="s">
        <v>2899</v>
      </c>
      <c r="B926" t="s">
        <v>2365</v>
      </c>
      <c r="C926" t="s">
        <v>2366</v>
      </c>
      <c r="D926" t="s">
        <v>2900</v>
      </c>
      <c r="E926" t="s">
        <v>2901</v>
      </c>
      <c r="F926" t="str">
        <f>IF(Table2[[#This Row],[Date posted]]&lt; DATE(2015,9,18),"Before Crisis","During Crisis")</f>
        <v>During Crisis</v>
      </c>
      <c r="G926" s="27">
        <f t="shared" si="84"/>
        <v>42335</v>
      </c>
      <c r="H926" s="7" t="str">
        <f t="shared" si="85"/>
        <v>23:26:46</v>
      </c>
      <c r="I926" s="8" t="str">
        <f t="shared" si="86"/>
        <v>Evening</v>
      </c>
      <c r="J926" t="s">
        <v>2902</v>
      </c>
      <c r="K926" t="s">
        <v>2370</v>
      </c>
      <c r="L926" s="3">
        <v>0</v>
      </c>
      <c r="M926">
        <v>1</v>
      </c>
      <c r="N926">
        <v>1</v>
      </c>
      <c r="O926" s="4">
        <f t="shared" si="87"/>
        <v>2</v>
      </c>
      <c r="P926" s="5" t="str">
        <f t="shared" si="88"/>
        <v>Low engagement</v>
      </c>
      <c r="Q926" t="b">
        <v>0</v>
      </c>
      <c r="R926" t="b">
        <v>0</v>
      </c>
      <c r="S926" t="b">
        <v>0</v>
      </c>
      <c r="T926" s="24" t="str">
        <f t="shared" si="89"/>
        <v>Text only</v>
      </c>
    </row>
    <row r="927" spans="1:20" hidden="1" x14ac:dyDescent="0.2">
      <c r="A927" t="s">
        <v>2897</v>
      </c>
      <c r="B927" t="s">
        <v>2365</v>
      </c>
      <c r="C927" t="s">
        <v>2366</v>
      </c>
      <c r="D927" t="s">
        <v>2898</v>
      </c>
      <c r="E927" t="s">
        <v>2895</v>
      </c>
      <c r="F927" t="str">
        <f>IF(Table2[[#This Row],[Date posted]]&lt; DATE(2015,9,18),"Before Crisis","During Crisis")</f>
        <v>During Crisis</v>
      </c>
      <c r="G927" s="27">
        <f t="shared" si="84"/>
        <v>42335</v>
      </c>
      <c r="H927" s="7" t="str">
        <f t="shared" si="85"/>
        <v>23:26:47</v>
      </c>
      <c r="I927" s="8" t="str">
        <f t="shared" si="86"/>
        <v>Evening</v>
      </c>
      <c r="J927" t="s">
        <v>2896</v>
      </c>
      <c r="K927" t="s">
        <v>2370</v>
      </c>
      <c r="L927" s="3">
        <v>0</v>
      </c>
      <c r="M927">
        <v>1</v>
      </c>
      <c r="N927">
        <v>1</v>
      </c>
      <c r="O927" s="4">
        <f t="shared" si="87"/>
        <v>2</v>
      </c>
      <c r="P927" s="5" t="str">
        <f t="shared" si="88"/>
        <v>Low engagement</v>
      </c>
      <c r="Q927" t="b">
        <v>0</v>
      </c>
      <c r="R927" t="b">
        <v>0</v>
      </c>
      <c r="S927" t="b">
        <v>0</v>
      </c>
      <c r="T927" s="24" t="str">
        <f t="shared" si="89"/>
        <v>Text only</v>
      </c>
    </row>
    <row r="928" spans="1:20" hidden="1" x14ac:dyDescent="0.2">
      <c r="A928" t="s">
        <v>2885</v>
      </c>
      <c r="B928" t="s">
        <v>2365</v>
      </c>
      <c r="C928" t="s">
        <v>2366</v>
      </c>
      <c r="D928" t="s">
        <v>2886</v>
      </c>
      <c r="E928" t="s">
        <v>2887</v>
      </c>
      <c r="F928" t="str">
        <f>IF(Table2[[#This Row],[Date posted]]&lt; DATE(2015,9,18),"Before Crisis","During Crisis")</f>
        <v>During Crisis</v>
      </c>
      <c r="G928" s="27">
        <f t="shared" si="84"/>
        <v>42338</v>
      </c>
      <c r="H928" s="7" t="str">
        <f t="shared" si="85"/>
        <v>14:16:05</v>
      </c>
      <c r="I928" s="8" t="str">
        <f t="shared" si="86"/>
        <v>Afternoon</v>
      </c>
      <c r="J928" t="s">
        <v>2888</v>
      </c>
      <c r="K928" t="s">
        <v>2370</v>
      </c>
      <c r="L928" s="3">
        <v>0</v>
      </c>
      <c r="M928" s="3">
        <v>0</v>
      </c>
      <c r="N928">
        <v>1</v>
      </c>
      <c r="O928" s="4">
        <f t="shared" si="87"/>
        <v>1</v>
      </c>
      <c r="P928" s="5" t="str">
        <f t="shared" si="88"/>
        <v>Low engagement</v>
      </c>
      <c r="Q928" t="b">
        <v>0</v>
      </c>
      <c r="R928" t="b">
        <v>0</v>
      </c>
      <c r="S928" t="b">
        <v>1</v>
      </c>
      <c r="T928" s="24" t="str">
        <f t="shared" si="89"/>
        <v>Link</v>
      </c>
    </row>
    <row r="929" spans="1:20" hidden="1" x14ac:dyDescent="0.2">
      <c r="A929" t="s">
        <v>2868</v>
      </c>
      <c r="B929" t="s">
        <v>2365</v>
      </c>
      <c r="C929" t="s">
        <v>2366</v>
      </c>
      <c r="D929" t="s">
        <v>2869</v>
      </c>
      <c r="E929" t="s">
        <v>2870</v>
      </c>
      <c r="F929" t="str">
        <f>IF(Table2[[#This Row],[Date posted]]&lt; DATE(2015,9,18),"Before Crisis","During Crisis")</f>
        <v>During Crisis</v>
      </c>
      <c r="G929" s="27">
        <f t="shared" si="84"/>
        <v>42338</v>
      </c>
      <c r="H929" s="7" t="str">
        <f t="shared" si="85"/>
        <v>17:16:59</v>
      </c>
      <c r="I929" s="8" t="str">
        <f t="shared" si="86"/>
        <v>Afternoon</v>
      </c>
      <c r="J929" t="s">
        <v>2871</v>
      </c>
      <c r="K929" t="s">
        <v>2370</v>
      </c>
      <c r="L929" s="3">
        <v>0</v>
      </c>
      <c r="M929">
        <v>1</v>
      </c>
      <c r="N929">
        <v>1</v>
      </c>
      <c r="O929" s="4">
        <f t="shared" si="87"/>
        <v>2</v>
      </c>
      <c r="P929" s="5" t="str">
        <f t="shared" si="88"/>
        <v>Low engagement</v>
      </c>
      <c r="Q929" t="b">
        <v>0</v>
      </c>
      <c r="R929" t="b">
        <v>0</v>
      </c>
      <c r="S929" t="b">
        <v>0</v>
      </c>
      <c r="T929" s="24" t="str">
        <f t="shared" si="89"/>
        <v>Text only</v>
      </c>
    </row>
    <row r="930" spans="1:20" hidden="1" x14ac:dyDescent="0.2">
      <c r="A930" t="s">
        <v>2866</v>
      </c>
      <c r="B930" t="s">
        <v>2365</v>
      </c>
      <c r="C930" t="s">
        <v>2366</v>
      </c>
      <c r="D930" t="s">
        <v>2867</v>
      </c>
      <c r="E930" t="s">
        <v>2865</v>
      </c>
      <c r="F930" t="str">
        <f>IF(Table2[[#This Row],[Date posted]]&lt; DATE(2015,9,18),"Before Crisis","During Crisis")</f>
        <v>During Crisis</v>
      </c>
      <c r="G930" s="27">
        <f t="shared" si="84"/>
        <v>42338</v>
      </c>
      <c r="H930" s="7" t="str">
        <f t="shared" si="85"/>
        <v>17:24:27</v>
      </c>
      <c r="I930" s="8" t="str">
        <f t="shared" si="86"/>
        <v>Afternoon</v>
      </c>
      <c r="J930" t="s">
        <v>2385</v>
      </c>
      <c r="K930" t="s">
        <v>2370</v>
      </c>
      <c r="L930" s="3">
        <v>0</v>
      </c>
      <c r="M930" s="3">
        <v>0</v>
      </c>
      <c r="N930">
        <v>1</v>
      </c>
      <c r="O930" s="4">
        <f t="shared" si="87"/>
        <v>1</v>
      </c>
      <c r="P930" s="5" t="str">
        <f t="shared" si="88"/>
        <v>Low engagement</v>
      </c>
      <c r="Q930" t="b">
        <v>0</v>
      </c>
      <c r="R930" t="b">
        <v>0</v>
      </c>
      <c r="S930" t="b">
        <v>0</v>
      </c>
      <c r="T930" s="24" t="str">
        <f t="shared" si="89"/>
        <v>Text only</v>
      </c>
    </row>
    <row r="931" spans="1:20" hidden="1" x14ac:dyDescent="0.2">
      <c r="A931" t="s">
        <v>2858</v>
      </c>
      <c r="B931" t="s">
        <v>2365</v>
      </c>
      <c r="C931" t="s">
        <v>2366</v>
      </c>
      <c r="D931" t="s">
        <v>2859</v>
      </c>
      <c r="E931" t="s">
        <v>2860</v>
      </c>
      <c r="F931" t="str">
        <f>IF(Table2[[#This Row],[Date posted]]&lt; DATE(2015,9,18),"Before Crisis","During Crisis")</f>
        <v>During Crisis</v>
      </c>
      <c r="G931" s="27">
        <f t="shared" si="84"/>
        <v>42338</v>
      </c>
      <c r="H931" s="7" t="str">
        <f t="shared" si="85"/>
        <v>17:31:27</v>
      </c>
      <c r="I931" s="8" t="str">
        <f t="shared" si="86"/>
        <v>Afternoon</v>
      </c>
      <c r="J931" t="s">
        <v>2370</v>
      </c>
      <c r="K931" t="s">
        <v>2370</v>
      </c>
      <c r="L931" s="3">
        <v>0</v>
      </c>
      <c r="M931" s="3">
        <v>0</v>
      </c>
      <c r="N931">
        <v>1</v>
      </c>
      <c r="O931" s="4">
        <f t="shared" si="87"/>
        <v>1</v>
      </c>
      <c r="P931" s="5" t="str">
        <f t="shared" si="88"/>
        <v>Low engagement</v>
      </c>
      <c r="Q931" t="b">
        <v>0</v>
      </c>
      <c r="R931" t="b">
        <v>0</v>
      </c>
      <c r="S931" t="b">
        <v>0</v>
      </c>
      <c r="T931" s="24" t="str">
        <f t="shared" si="89"/>
        <v>Text only</v>
      </c>
    </row>
    <row r="932" spans="1:20" hidden="1" x14ac:dyDescent="0.2">
      <c r="A932" t="s">
        <v>2847</v>
      </c>
      <c r="B932" t="s">
        <v>2365</v>
      </c>
      <c r="C932" t="s">
        <v>2366</v>
      </c>
      <c r="D932" t="s">
        <v>2848</v>
      </c>
      <c r="E932" t="s">
        <v>2849</v>
      </c>
      <c r="F932" t="str">
        <f>IF(Table2[[#This Row],[Date posted]]&lt; DATE(2015,9,18),"Before Crisis","During Crisis")</f>
        <v>During Crisis</v>
      </c>
      <c r="G932" s="27">
        <f t="shared" si="84"/>
        <v>42338</v>
      </c>
      <c r="H932" s="7" t="str">
        <f t="shared" si="85"/>
        <v>21:08:06</v>
      </c>
      <c r="I932" s="8" t="str">
        <f t="shared" si="86"/>
        <v>Evening</v>
      </c>
      <c r="J932" t="s">
        <v>2674</v>
      </c>
      <c r="K932" t="s">
        <v>2370</v>
      </c>
      <c r="L932" s="3">
        <v>0</v>
      </c>
      <c r="M932" s="3">
        <v>0</v>
      </c>
      <c r="N932">
        <v>1</v>
      </c>
      <c r="O932" s="4">
        <f t="shared" si="87"/>
        <v>1</v>
      </c>
      <c r="P932" s="5" t="str">
        <f t="shared" si="88"/>
        <v>Low engagement</v>
      </c>
      <c r="Q932" t="b">
        <v>0</v>
      </c>
      <c r="R932" t="b">
        <v>0</v>
      </c>
      <c r="S932" t="b">
        <v>0</v>
      </c>
      <c r="T932" s="24" t="str">
        <f t="shared" si="89"/>
        <v>Text only</v>
      </c>
    </row>
    <row r="933" spans="1:20" hidden="1" x14ac:dyDescent="0.2">
      <c r="A933" t="s">
        <v>2843</v>
      </c>
      <c r="B933" t="s">
        <v>2365</v>
      </c>
      <c r="C933" t="s">
        <v>2366</v>
      </c>
      <c r="D933" t="s">
        <v>2844</v>
      </c>
      <c r="E933" t="s">
        <v>2845</v>
      </c>
      <c r="F933" t="str">
        <f>IF(Table2[[#This Row],[Date posted]]&lt; DATE(2015,9,18),"Before Crisis","During Crisis")</f>
        <v>During Crisis</v>
      </c>
      <c r="G933" s="27">
        <f t="shared" si="84"/>
        <v>42339</v>
      </c>
      <c r="H933" s="7" t="str">
        <f t="shared" si="85"/>
        <v>16:19:30</v>
      </c>
      <c r="I933" s="8" t="str">
        <f t="shared" si="86"/>
        <v>Afternoon</v>
      </c>
      <c r="J933" t="s">
        <v>2846</v>
      </c>
      <c r="K933" t="s">
        <v>2370</v>
      </c>
      <c r="L933" s="3">
        <v>0</v>
      </c>
      <c r="M933" s="3">
        <v>0</v>
      </c>
      <c r="N933">
        <v>1</v>
      </c>
      <c r="O933" s="4">
        <f t="shared" si="87"/>
        <v>1</v>
      </c>
      <c r="P933" s="5" t="str">
        <f t="shared" si="88"/>
        <v>Low engagement</v>
      </c>
      <c r="Q933" t="b">
        <v>0</v>
      </c>
      <c r="R933" t="b">
        <v>0</v>
      </c>
      <c r="S933" t="b">
        <v>0</v>
      </c>
      <c r="T933" s="24" t="str">
        <f t="shared" si="89"/>
        <v>Text only</v>
      </c>
    </row>
    <row r="934" spans="1:20" hidden="1" x14ac:dyDescent="0.2">
      <c r="A934" t="s">
        <v>2839</v>
      </c>
      <c r="B934" t="s">
        <v>2365</v>
      </c>
      <c r="C934" t="s">
        <v>2366</v>
      </c>
      <c r="D934" t="s">
        <v>2840</v>
      </c>
      <c r="E934" t="s">
        <v>2841</v>
      </c>
      <c r="F934" t="str">
        <f>IF(Table2[[#This Row],[Date posted]]&lt; DATE(2015,9,18),"Before Crisis","During Crisis")</f>
        <v>During Crisis</v>
      </c>
      <c r="G934" s="27">
        <f t="shared" si="84"/>
        <v>42339</v>
      </c>
      <c r="H934" s="7" t="str">
        <f t="shared" si="85"/>
        <v>16:22:47</v>
      </c>
      <c r="I934" s="8" t="str">
        <f t="shared" si="86"/>
        <v>Afternoon</v>
      </c>
      <c r="J934" t="s">
        <v>2842</v>
      </c>
      <c r="K934" t="s">
        <v>2370</v>
      </c>
      <c r="L934" s="3">
        <v>0</v>
      </c>
      <c r="M934" s="3">
        <v>0</v>
      </c>
      <c r="N934">
        <v>1</v>
      </c>
      <c r="O934" s="4">
        <f t="shared" si="87"/>
        <v>1</v>
      </c>
      <c r="P934" s="5" t="str">
        <f t="shared" si="88"/>
        <v>Low engagement</v>
      </c>
      <c r="Q934" t="b">
        <v>0</v>
      </c>
      <c r="R934" t="b">
        <v>0</v>
      </c>
      <c r="S934" t="b">
        <v>0</v>
      </c>
      <c r="T934" s="24" t="str">
        <f t="shared" si="89"/>
        <v>Text only</v>
      </c>
    </row>
    <row r="935" spans="1:20" hidden="1" x14ac:dyDescent="0.2">
      <c r="A935" t="s">
        <v>2832</v>
      </c>
      <c r="B935" t="s">
        <v>2365</v>
      </c>
      <c r="C935" t="s">
        <v>2366</v>
      </c>
      <c r="D935" t="s">
        <v>2833</v>
      </c>
      <c r="E935" t="s">
        <v>2834</v>
      </c>
      <c r="F935" t="str">
        <f>IF(Table2[[#This Row],[Date posted]]&lt; DATE(2015,9,18),"Before Crisis","During Crisis")</f>
        <v>During Crisis</v>
      </c>
      <c r="G935" s="27">
        <f t="shared" si="84"/>
        <v>42339</v>
      </c>
      <c r="H935" s="7" t="str">
        <f t="shared" si="85"/>
        <v>21:24:16</v>
      </c>
      <c r="I935" s="8" t="str">
        <f t="shared" si="86"/>
        <v>Evening</v>
      </c>
      <c r="J935" t="s">
        <v>2682</v>
      </c>
      <c r="K935" t="s">
        <v>2370</v>
      </c>
      <c r="L935" s="3">
        <v>0</v>
      </c>
      <c r="M935">
        <v>1</v>
      </c>
      <c r="N935">
        <v>1</v>
      </c>
      <c r="O935" s="4">
        <f t="shared" si="87"/>
        <v>2</v>
      </c>
      <c r="P935" s="5" t="str">
        <f t="shared" si="88"/>
        <v>Low engagement</v>
      </c>
      <c r="Q935" t="b">
        <v>0</v>
      </c>
      <c r="R935" t="b">
        <v>0</v>
      </c>
      <c r="S935" t="b">
        <v>0</v>
      </c>
      <c r="T935" s="24" t="str">
        <f t="shared" si="89"/>
        <v>Text only</v>
      </c>
    </row>
    <row r="936" spans="1:20" hidden="1" x14ac:dyDescent="0.2">
      <c r="A936" t="s">
        <v>2827</v>
      </c>
      <c r="B936" t="s">
        <v>2365</v>
      </c>
      <c r="C936" t="s">
        <v>2366</v>
      </c>
      <c r="D936" t="s">
        <v>2828</v>
      </c>
      <c r="E936" t="s">
        <v>2829</v>
      </c>
      <c r="F936" t="str">
        <f>IF(Table2[[#This Row],[Date posted]]&lt; DATE(2015,9,18),"Before Crisis","During Crisis")</f>
        <v>During Crisis</v>
      </c>
      <c r="G936" s="27">
        <f t="shared" si="84"/>
        <v>42339</v>
      </c>
      <c r="H936" s="7" t="str">
        <f t="shared" si="85"/>
        <v>21:24:17</v>
      </c>
      <c r="I936" s="8" t="str">
        <f t="shared" si="86"/>
        <v>Evening</v>
      </c>
      <c r="J936" t="s">
        <v>2370</v>
      </c>
      <c r="K936" t="s">
        <v>2370</v>
      </c>
      <c r="L936" s="3">
        <v>0</v>
      </c>
      <c r="M936" s="3">
        <v>0</v>
      </c>
      <c r="N936">
        <v>1</v>
      </c>
      <c r="O936" s="4">
        <f t="shared" si="87"/>
        <v>1</v>
      </c>
      <c r="P936" s="5" t="str">
        <f t="shared" si="88"/>
        <v>Low engagement</v>
      </c>
      <c r="Q936" t="b">
        <v>0</v>
      </c>
      <c r="R936" t="b">
        <v>0</v>
      </c>
      <c r="S936" t="b">
        <v>0</v>
      </c>
      <c r="T936" s="24" t="str">
        <f t="shared" si="89"/>
        <v>Text only</v>
      </c>
    </row>
    <row r="937" spans="1:20" hidden="1" x14ac:dyDescent="0.2">
      <c r="A937" t="s">
        <v>2830</v>
      </c>
      <c r="B937" t="s">
        <v>2365</v>
      </c>
      <c r="C937" t="s">
        <v>2366</v>
      </c>
      <c r="D937" t="s">
        <v>2831</v>
      </c>
      <c r="E937" t="s">
        <v>2829</v>
      </c>
      <c r="F937" t="str">
        <f>IF(Table2[[#This Row],[Date posted]]&lt; DATE(2015,9,18),"Before Crisis","During Crisis")</f>
        <v>During Crisis</v>
      </c>
      <c r="G937" s="27">
        <f t="shared" si="84"/>
        <v>42339</v>
      </c>
      <c r="H937" s="7" t="str">
        <f t="shared" si="85"/>
        <v>21:24:17</v>
      </c>
      <c r="I937" s="8" t="str">
        <f t="shared" si="86"/>
        <v>Evening</v>
      </c>
      <c r="J937" t="s">
        <v>2682</v>
      </c>
      <c r="K937" t="s">
        <v>2370</v>
      </c>
      <c r="L937" s="3">
        <v>0</v>
      </c>
      <c r="M937" s="3">
        <v>0</v>
      </c>
      <c r="N937">
        <v>1</v>
      </c>
      <c r="O937" s="4">
        <f t="shared" si="87"/>
        <v>1</v>
      </c>
      <c r="P937" s="5" t="str">
        <f t="shared" si="88"/>
        <v>Low engagement</v>
      </c>
      <c r="Q937" t="b">
        <v>0</v>
      </c>
      <c r="R937" t="b">
        <v>0</v>
      </c>
      <c r="S937" t="b">
        <v>0</v>
      </c>
      <c r="T937" s="24" t="str">
        <f t="shared" si="89"/>
        <v>Text only</v>
      </c>
    </row>
    <row r="938" spans="1:20" hidden="1" x14ac:dyDescent="0.2">
      <c r="A938" t="s">
        <v>2791</v>
      </c>
      <c r="B938" t="s">
        <v>2365</v>
      </c>
      <c r="C938" t="s">
        <v>2366</v>
      </c>
      <c r="D938" t="s">
        <v>2792</v>
      </c>
      <c r="E938" t="s">
        <v>2793</v>
      </c>
      <c r="F938" t="str">
        <f>IF(Table2[[#This Row],[Date posted]]&lt; DATE(2015,9,18),"Before Crisis","During Crisis")</f>
        <v>During Crisis</v>
      </c>
      <c r="G938" s="27">
        <f t="shared" si="84"/>
        <v>42341</v>
      </c>
      <c r="H938" s="7" t="str">
        <f t="shared" si="85"/>
        <v>17:39:53</v>
      </c>
      <c r="I938" s="8" t="str">
        <f t="shared" si="86"/>
        <v>Afternoon</v>
      </c>
      <c r="J938" t="s">
        <v>2370</v>
      </c>
      <c r="K938" t="s">
        <v>2370</v>
      </c>
      <c r="L938" s="3">
        <v>0</v>
      </c>
      <c r="M938" s="3">
        <v>0</v>
      </c>
      <c r="N938">
        <v>1</v>
      </c>
      <c r="O938" s="4">
        <f t="shared" si="87"/>
        <v>1</v>
      </c>
      <c r="P938" s="5" t="str">
        <f t="shared" si="88"/>
        <v>Low engagement</v>
      </c>
      <c r="Q938" t="b">
        <v>0</v>
      </c>
      <c r="R938" t="b">
        <v>0</v>
      </c>
      <c r="S938" t="b">
        <v>0</v>
      </c>
      <c r="T938" s="24" t="str">
        <f t="shared" si="89"/>
        <v>Text only</v>
      </c>
    </row>
    <row r="939" spans="1:20" hidden="1" x14ac:dyDescent="0.2">
      <c r="A939" t="s">
        <v>2787</v>
      </c>
      <c r="B939" t="s">
        <v>2365</v>
      </c>
      <c r="C939" t="s">
        <v>2366</v>
      </c>
      <c r="D939" t="s">
        <v>2788</v>
      </c>
      <c r="E939" t="s">
        <v>2789</v>
      </c>
      <c r="F939" t="str">
        <f>IF(Table2[[#This Row],[Date posted]]&lt; DATE(2015,9,18),"Before Crisis","During Crisis")</f>
        <v>During Crisis</v>
      </c>
      <c r="G939" s="27">
        <f t="shared" si="84"/>
        <v>42341</v>
      </c>
      <c r="H939" s="7" t="str">
        <f t="shared" si="85"/>
        <v>17:47:01</v>
      </c>
      <c r="I939" s="8" t="str">
        <f t="shared" si="86"/>
        <v>Afternoon</v>
      </c>
      <c r="J939" t="s">
        <v>2790</v>
      </c>
      <c r="K939" t="s">
        <v>2370</v>
      </c>
      <c r="L939" s="3">
        <v>0</v>
      </c>
      <c r="M939" s="3">
        <v>0</v>
      </c>
      <c r="N939">
        <v>1</v>
      </c>
      <c r="O939" s="4">
        <f t="shared" si="87"/>
        <v>1</v>
      </c>
      <c r="P939" s="5" t="str">
        <f t="shared" si="88"/>
        <v>Low engagement</v>
      </c>
      <c r="Q939" t="b">
        <v>0</v>
      </c>
      <c r="R939" t="b">
        <v>0</v>
      </c>
      <c r="S939" t="b">
        <v>0</v>
      </c>
      <c r="T939" s="24" t="str">
        <f t="shared" si="89"/>
        <v>Text only</v>
      </c>
    </row>
    <row r="940" spans="1:20" hidden="1" x14ac:dyDescent="0.2">
      <c r="A940" t="s">
        <v>2784</v>
      </c>
      <c r="B940" t="s">
        <v>2365</v>
      </c>
      <c r="C940" t="s">
        <v>2366</v>
      </c>
      <c r="D940" t="s">
        <v>2785</v>
      </c>
      <c r="E940" t="s">
        <v>2786</v>
      </c>
      <c r="F940" t="str">
        <f>IF(Table2[[#This Row],[Date posted]]&lt; DATE(2015,9,18),"Before Crisis","During Crisis")</f>
        <v>During Crisis</v>
      </c>
      <c r="G940" s="27">
        <f t="shared" si="84"/>
        <v>42341</v>
      </c>
      <c r="H940" s="7" t="str">
        <f t="shared" si="85"/>
        <v>18:18:07</v>
      </c>
      <c r="I940" s="8" t="str">
        <f t="shared" si="86"/>
        <v>Evening</v>
      </c>
      <c r="J940" t="s">
        <v>2783</v>
      </c>
      <c r="K940" t="s">
        <v>2370</v>
      </c>
      <c r="L940" s="3">
        <v>0</v>
      </c>
      <c r="M940" s="3">
        <v>0</v>
      </c>
      <c r="N940">
        <v>1</v>
      </c>
      <c r="O940" s="4">
        <f t="shared" si="87"/>
        <v>1</v>
      </c>
      <c r="P940" s="5" t="str">
        <f t="shared" si="88"/>
        <v>Low engagement</v>
      </c>
      <c r="Q940" t="b">
        <v>0</v>
      </c>
      <c r="R940" t="b">
        <v>0</v>
      </c>
      <c r="S940" t="b">
        <v>0</v>
      </c>
      <c r="T940" s="24" t="str">
        <f t="shared" si="89"/>
        <v>Text only</v>
      </c>
    </row>
    <row r="941" spans="1:20" hidden="1" x14ac:dyDescent="0.2">
      <c r="A941" t="s">
        <v>2781</v>
      </c>
      <c r="B941" t="s">
        <v>2365</v>
      </c>
      <c r="C941" t="s">
        <v>2366</v>
      </c>
      <c r="D941" t="s">
        <v>2782</v>
      </c>
      <c r="E941" t="s">
        <v>2777</v>
      </c>
      <c r="F941" t="str">
        <f>IF(Table2[[#This Row],[Date posted]]&lt; DATE(2015,9,18),"Before Crisis","During Crisis")</f>
        <v>During Crisis</v>
      </c>
      <c r="G941" s="27">
        <f t="shared" si="84"/>
        <v>42341</v>
      </c>
      <c r="H941" s="7" t="str">
        <f t="shared" si="85"/>
        <v>18:18:08</v>
      </c>
      <c r="I941" s="8" t="str">
        <f t="shared" si="86"/>
        <v>Evening</v>
      </c>
      <c r="J941" t="s">
        <v>2783</v>
      </c>
      <c r="K941" t="s">
        <v>2370</v>
      </c>
      <c r="L941" s="3">
        <v>0</v>
      </c>
      <c r="M941" s="3">
        <v>0</v>
      </c>
      <c r="N941">
        <v>1</v>
      </c>
      <c r="O941" s="4">
        <f t="shared" si="87"/>
        <v>1</v>
      </c>
      <c r="P941" s="5" t="str">
        <f t="shared" si="88"/>
        <v>Low engagement</v>
      </c>
      <c r="Q941" t="b">
        <v>0</v>
      </c>
      <c r="R941" t="b">
        <v>0</v>
      </c>
      <c r="S941" t="b">
        <v>1</v>
      </c>
      <c r="T941" s="24" t="str">
        <f t="shared" si="89"/>
        <v>Link</v>
      </c>
    </row>
    <row r="942" spans="1:20" hidden="1" x14ac:dyDescent="0.2">
      <c r="A942" t="s">
        <v>2757</v>
      </c>
      <c r="B942" t="s">
        <v>2365</v>
      </c>
      <c r="C942" t="s">
        <v>2366</v>
      </c>
      <c r="D942" t="s">
        <v>2758</v>
      </c>
      <c r="E942" t="s">
        <v>2759</v>
      </c>
      <c r="F942" t="str">
        <f>IF(Table2[[#This Row],[Date posted]]&lt; DATE(2015,9,18),"Before Crisis","During Crisis")</f>
        <v>During Crisis</v>
      </c>
      <c r="G942" s="27">
        <f t="shared" si="84"/>
        <v>42342</v>
      </c>
      <c r="H942" s="7" t="str">
        <f t="shared" si="85"/>
        <v>16:06:29</v>
      </c>
      <c r="I942" s="8" t="str">
        <f t="shared" si="86"/>
        <v>Afternoon</v>
      </c>
      <c r="J942" t="s">
        <v>2760</v>
      </c>
      <c r="K942" t="s">
        <v>2370</v>
      </c>
      <c r="L942" s="3">
        <v>0</v>
      </c>
      <c r="M942" s="3">
        <v>0</v>
      </c>
      <c r="N942">
        <v>1</v>
      </c>
      <c r="O942" s="4">
        <f t="shared" si="87"/>
        <v>1</v>
      </c>
      <c r="P942" s="5" t="str">
        <f t="shared" si="88"/>
        <v>Low engagement</v>
      </c>
      <c r="Q942" t="b">
        <v>0</v>
      </c>
      <c r="R942" t="b">
        <v>0</v>
      </c>
      <c r="S942" t="b">
        <v>0</v>
      </c>
      <c r="T942" s="24" t="str">
        <f t="shared" si="89"/>
        <v>Text only</v>
      </c>
    </row>
    <row r="943" spans="1:20" hidden="1" x14ac:dyDescent="0.2">
      <c r="A943" t="s">
        <v>2710</v>
      </c>
      <c r="B943" t="s">
        <v>2365</v>
      </c>
      <c r="C943" t="s">
        <v>2366</v>
      </c>
      <c r="D943" t="s">
        <v>2711</v>
      </c>
      <c r="E943" t="s">
        <v>2712</v>
      </c>
      <c r="F943" t="str">
        <f>IF(Table2[[#This Row],[Date posted]]&lt; DATE(2015,9,18),"Before Crisis","During Crisis")</f>
        <v>During Crisis</v>
      </c>
      <c r="G943" s="27">
        <f t="shared" si="84"/>
        <v>42345</v>
      </c>
      <c r="H943" s="7" t="str">
        <f t="shared" si="85"/>
        <v>16:18:44</v>
      </c>
      <c r="I943" s="8" t="str">
        <f t="shared" si="86"/>
        <v>Afternoon</v>
      </c>
      <c r="J943" t="s">
        <v>2370</v>
      </c>
      <c r="K943" t="s">
        <v>2370</v>
      </c>
      <c r="L943" s="3">
        <v>0</v>
      </c>
      <c r="M943" s="3">
        <v>0</v>
      </c>
      <c r="N943">
        <v>1</v>
      </c>
      <c r="O943" s="4">
        <f t="shared" si="87"/>
        <v>1</v>
      </c>
      <c r="P943" s="5" t="str">
        <f t="shared" si="88"/>
        <v>Low engagement</v>
      </c>
      <c r="Q943" t="b">
        <v>0</v>
      </c>
      <c r="R943" t="b">
        <v>0</v>
      </c>
      <c r="S943" t="b">
        <v>0</v>
      </c>
      <c r="T943" s="24" t="str">
        <f t="shared" si="89"/>
        <v>Text only</v>
      </c>
    </row>
    <row r="944" spans="1:20" hidden="1" x14ac:dyDescent="0.2">
      <c r="A944" t="s">
        <v>2713</v>
      </c>
      <c r="B944" t="s">
        <v>2365</v>
      </c>
      <c r="C944" t="s">
        <v>2366</v>
      </c>
      <c r="D944" t="s">
        <v>2714</v>
      </c>
      <c r="E944" t="s">
        <v>2712</v>
      </c>
      <c r="F944" t="str">
        <f>IF(Table2[[#This Row],[Date posted]]&lt; DATE(2015,9,18),"Before Crisis","During Crisis")</f>
        <v>During Crisis</v>
      </c>
      <c r="G944" s="27">
        <f t="shared" si="84"/>
        <v>42345</v>
      </c>
      <c r="H944" s="7" t="str">
        <f t="shared" si="85"/>
        <v>16:18:44</v>
      </c>
      <c r="I944" s="8" t="str">
        <f t="shared" si="86"/>
        <v>Afternoon</v>
      </c>
      <c r="J944" t="s">
        <v>2370</v>
      </c>
      <c r="K944" t="s">
        <v>2370</v>
      </c>
      <c r="L944" s="3">
        <v>0</v>
      </c>
      <c r="M944" s="3">
        <v>0</v>
      </c>
      <c r="N944">
        <v>1</v>
      </c>
      <c r="O944" s="4">
        <f t="shared" si="87"/>
        <v>1</v>
      </c>
      <c r="P944" s="5" t="str">
        <f t="shared" si="88"/>
        <v>Low engagement</v>
      </c>
      <c r="Q944" t="b">
        <v>0</v>
      </c>
      <c r="R944" t="b">
        <v>0</v>
      </c>
      <c r="S944" t="b">
        <v>0</v>
      </c>
      <c r="T944" s="24" t="str">
        <f t="shared" si="89"/>
        <v>Text only</v>
      </c>
    </row>
    <row r="945" spans="1:20" hidden="1" x14ac:dyDescent="0.2">
      <c r="A945" t="s">
        <v>2707</v>
      </c>
      <c r="B945" t="s">
        <v>2365</v>
      </c>
      <c r="C945" t="s">
        <v>2366</v>
      </c>
      <c r="D945" t="s">
        <v>2708</v>
      </c>
      <c r="E945" t="s">
        <v>2709</v>
      </c>
      <c r="F945" t="str">
        <f>IF(Table2[[#This Row],[Date posted]]&lt; DATE(2015,9,18),"Before Crisis","During Crisis")</f>
        <v>During Crisis</v>
      </c>
      <c r="G945" s="27">
        <f t="shared" si="84"/>
        <v>42345</v>
      </c>
      <c r="H945" s="7" t="str">
        <f t="shared" si="85"/>
        <v>16:25:58</v>
      </c>
      <c r="I945" s="8" t="str">
        <f t="shared" si="86"/>
        <v>Afternoon</v>
      </c>
      <c r="J945" t="s">
        <v>2682</v>
      </c>
      <c r="K945" t="s">
        <v>2370</v>
      </c>
      <c r="L945" s="3">
        <v>0</v>
      </c>
      <c r="M945">
        <v>2</v>
      </c>
      <c r="N945">
        <v>1</v>
      </c>
      <c r="O945" s="4">
        <f t="shared" si="87"/>
        <v>3</v>
      </c>
      <c r="P945" s="5" t="str">
        <f t="shared" si="88"/>
        <v>Low engagement</v>
      </c>
      <c r="Q945" t="b">
        <v>0</v>
      </c>
      <c r="R945" t="b">
        <v>0</v>
      </c>
      <c r="S945" t="b">
        <v>0</v>
      </c>
      <c r="T945" s="24" t="str">
        <f t="shared" si="89"/>
        <v>Text only</v>
      </c>
    </row>
    <row r="946" spans="1:20" hidden="1" x14ac:dyDescent="0.2">
      <c r="A946" t="s">
        <v>2700</v>
      </c>
      <c r="B946" t="s">
        <v>2365</v>
      </c>
      <c r="C946" t="s">
        <v>2366</v>
      </c>
      <c r="D946" t="s">
        <v>2701</v>
      </c>
      <c r="E946" t="s">
        <v>2702</v>
      </c>
      <c r="F946" t="str">
        <f>IF(Table2[[#This Row],[Date posted]]&lt; DATE(2015,9,18),"Before Crisis","During Crisis")</f>
        <v>During Crisis</v>
      </c>
      <c r="G946" s="27">
        <f t="shared" si="84"/>
        <v>42345</v>
      </c>
      <c r="H946" s="7" t="str">
        <f t="shared" si="85"/>
        <v>18:19:54</v>
      </c>
      <c r="I946" s="8" t="str">
        <f t="shared" si="86"/>
        <v>Evening</v>
      </c>
      <c r="J946" t="s">
        <v>2370</v>
      </c>
      <c r="K946" t="s">
        <v>2370</v>
      </c>
      <c r="L946" s="3">
        <v>0</v>
      </c>
      <c r="M946" s="3">
        <v>0</v>
      </c>
      <c r="N946">
        <v>1</v>
      </c>
      <c r="O946" s="4">
        <f t="shared" si="87"/>
        <v>1</v>
      </c>
      <c r="P946" s="5" t="str">
        <f t="shared" si="88"/>
        <v>Low engagement</v>
      </c>
      <c r="Q946" t="b">
        <v>0</v>
      </c>
      <c r="R946" t="b">
        <v>0</v>
      </c>
      <c r="S946" t="b">
        <v>1</v>
      </c>
      <c r="T946" s="24" t="str">
        <f t="shared" si="89"/>
        <v>Link</v>
      </c>
    </row>
    <row r="947" spans="1:20" hidden="1" x14ac:dyDescent="0.2">
      <c r="A947" t="s">
        <v>2697</v>
      </c>
      <c r="B947" t="s">
        <v>2365</v>
      </c>
      <c r="C947" t="s">
        <v>2366</v>
      </c>
      <c r="D947" t="s">
        <v>2698</v>
      </c>
      <c r="E947" t="s">
        <v>2699</v>
      </c>
      <c r="F947" t="str">
        <f>IF(Table2[[#This Row],[Date posted]]&lt; DATE(2015,9,18),"Before Crisis","During Crisis")</f>
        <v>During Crisis</v>
      </c>
      <c r="G947" s="27">
        <f t="shared" si="84"/>
        <v>42345</v>
      </c>
      <c r="H947" s="7" t="str">
        <f t="shared" si="85"/>
        <v>18:23:24</v>
      </c>
      <c r="I947" s="8" t="str">
        <f t="shared" si="86"/>
        <v>Evening</v>
      </c>
      <c r="J947" t="s">
        <v>2635</v>
      </c>
      <c r="K947" t="s">
        <v>2370</v>
      </c>
      <c r="L947">
        <v>1</v>
      </c>
      <c r="M947">
        <v>1</v>
      </c>
      <c r="N947">
        <v>1</v>
      </c>
      <c r="O947" s="4">
        <f t="shared" si="87"/>
        <v>3</v>
      </c>
      <c r="P947" s="5" t="str">
        <f t="shared" si="88"/>
        <v>Low engagement</v>
      </c>
      <c r="Q947" t="b">
        <v>0</v>
      </c>
      <c r="R947" t="b">
        <v>0</v>
      </c>
      <c r="S947" t="b">
        <v>0</v>
      </c>
      <c r="T947" s="24" t="str">
        <f t="shared" si="89"/>
        <v>Text only</v>
      </c>
    </row>
    <row r="948" spans="1:20" hidden="1" x14ac:dyDescent="0.2">
      <c r="A948" t="s">
        <v>2694</v>
      </c>
      <c r="B948" t="s">
        <v>2365</v>
      </c>
      <c r="C948" t="s">
        <v>2366</v>
      </c>
      <c r="D948" t="s">
        <v>2695</v>
      </c>
      <c r="E948" t="s">
        <v>2696</v>
      </c>
      <c r="F948" t="str">
        <f>IF(Table2[[#This Row],[Date posted]]&lt; DATE(2015,9,18),"Before Crisis","During Crisis")</f>
        <v>During Crisis</v>
      </c>
      <c r="G948" s="27">
        <f t="shared" si="84"/>
        <v>42345</v>
      </c>
      <c r="H948" s="7" t="str">
        <f t="shared" si="85"/>
        <v>18:30:31</v>
      </c>
      <c r="I948" s="8" t="str">
        <f t="shared" si="86"/>
        <v>Evening</v>
      </c>
      <c r="J948" t="s">
        <v>2635</v>
      </c>
      <c r="K948" t="s">
        <v>2370</v>
      </c>
      <c r="L948" s="3">
        <v>0</v>
      </c>
      <c r="M948">
        <v>4</v>
      </c>
      <c r="N948">
        <v>1</v>
      </c>
      <c r="O948" s="4">
        <f t="shared" si="87"/>
        <v>5</v>
      </c>
      <c r="P948" s="5" t="str">
        <f t="shared" si="88"/>
        <v>Moderate engagement</v>
      </c>
      <c r="Q948" t="b">
        <v>0</v>
      </c>
      <c r="R948" t="b">
        <v>0</v>
      </c>
      <c r="S948" t="b">
        <v>0</v>
      </c>
      <c r="T948" s="24" t="str">
        <f t="shared" si="89"/>
        <v>Text only</v>
      </c>
    </row>
    <row r="949" spans="1:20" hidden="1" x14ac:dyDescent="0.2">
      <c r="A949" t="s">
        <v>2691</v>
      </c>
      <c r="B949" t="s">
        <v>2365</v>
      </c>
      <c r="C949" t="s">
        <v>2366</v>
      </c>
      <c r="D949" t="s">
        <v>2692</v>
      </c>
      <c r="E949" t="s">
        <v>2693</v>
      </c>
      <c r="F949" t="str">
        <f>IF(Table2[[#This Row],[Date posted]]&lt; DATE(2015,9,18),"Before Crisis","During Crisis")</f>
        <v>During Crisis</v>
      </c>
      <c r="G949" s="27">
        <f t="shared" si="84"/>
        <v>42345</v>
      </c>
      <c r="H949" s="7" t="str">
        <f t="shared" si="85"/>
        <v>18:37:47</v>
      </c>
      <c r="I949" s="8" t="str">
        <f t="shared" si="86"/>
        <v>Evening</v>
      </c>
      <c r="J949" t="s">
        <v>2690</v>
      </c>
      <c r="K949" t="s">
        <v>2370</v>
      </c>
      <c r="L949" s="3">
        <v>0</v>
      </c>
      <c r="M949" s="3">
        <v>0</v>
      </c>
      <c r="N949">
        <v>1</v>
      </c>
      <c r="O949" s="4">
        <f t="shared" si="87"/>
        <v>1</v>
      </c>
      <c r="P949" s="5" t="str">
        <f t="shared" si="88"/>
        <v>Low engagement</v>
      </c>
      <c r="Q949" t="b">
        <v>0</v>
      </c>
      <c r="R949" t="b">
        <v>0</v>
      </c>
      <c r="S949" t="b">
        <v>0</v>
      </c>
      <c r="T949" s="24" t="str">
        <f t="shared" si="89"/>
        <v>Text only</v>
      </c>
    </row>
    <row r="950" spans="1:20" hidden="1" x14ac:dyDescent="0.2">
      <c r="A950" t="s">
        <v>2687</v>
      </c>
      <c r="B950" t="s">
        <v>2365</v>
      </c>
      <c r="C950" t="s">
        <v>2366</v>
      </c>
      <c r="D950" t="s">
        <v>2688</v>
      </c>
      <c r="E950" t="s">
        <v>2689</v>
      </c>
      <c r="F950" t="str">
        <f>IF(Table2[[#This Row],[Date posted]]&lt; DATE(2015,9,18),"Before Crisis","During Crisis")</f>
        <v>During Crisis</v>
      </c>
      <c r="G950" s="27">
        <f t="shared" si="84"/>
        <v>42345</v>
      </c>
      <c r="H950" s="7" t="str">
        <f t="shared" si="85"/>
        <v>18:48:16</v>
      </c>
      <c r="I950" s="8" t="str">
        <f t="shared" si="86"/>
        <v>Evening</v>
      </c>
      <c r="J950" t="s">
        <v>2690</v>
      </c>
      <c r="K950" t="s">
        <v>2370</v>
      </c>
      <c r="L950" s="3">
        <v>0</v>
      </c>
      <c r="M950" s="3">
        <v>0</v>
      </c>
      <c r="N950">
        <v>1</v>
      </c>
      <c r="O950" s="4">
        <f t="shared" si="87"/>
        <v>1</v>
      </c>
      <c r="P950" s="5" t="str">
        <f t="shared" si="88"/>
        <v>Low engagement</v>
      </c>
      <c r="Q950" t="b">
        <v>0</v>
      </c>
      <c r="R950" t="b">
        <v>0</v>
      </c>
      <c r="S950" t="b">
        <v>0</v>
      </c>
      <c r="T950" s="24" t="str">
        <f t="shared" si="89"/>
        <v>Text only</v>
      </c>
    </row>
    <row r="951" spans="1:20" hidden="1" x14ac:dyDescent="0.2">
      <c r="A951" t="s">
        <v>2683</v>
      </c>
      <c r="B951" t="s">
        <v>2365</v>
      </c>
      <c r="C951" t="s">
        <v>2366</v>
      </c>
      <c r="D951" t="s">
        <v>2684</v>
      </c>
      <c r="E951" t="s">
        <v>2685</v>
      </c>
      <c r="F951" t="str">
        <f>IF(Table2[[#This Row],[Date posted]]&lt; DATE(2015,9,18),"Before Crisis","During Crisis")</f>
        <v>During Crisis</v>
      </c>
      <c r="G951" s="27">
        <f t="shared" si="84"/>
        <v>42345</v>
      </c>
      <c r="H951" s="7" t="str">
        <f t="shared" si="85"/>
        <v>18:48:17</v>
      </c>
      <c r="I951" s="8" t="str">
        <f t="shared" si="86"/>
        <v>Evening</v>
      </c>
      <c r="J951" t="s">
        <v>2686</v>
      </c>
      <c r="K951" t="s">
        <v>2370</v>
      </c>
      <c r="L951">
        <v>1</v>
      </c>
      <c r="M951">
        <v>1</v>
      </c>
      <c r="N951">
        <v>1</v>
      </c>
      <c r="O951" s="4">
        <f t="shared" si="87"/>
        <v>3</v>
      </c>
      <c r="P951" s="5" t="str">
        <f t="shared" si="88"/>
        <v>Low engagement</v>
      </c>
      <c r="Q951" t="b">
        <v>0</v>
      </c>
      <c r="R951" t="b">
        <v>0</v>
      </c>
      <c r="S951" t="b">
        <v>0</v>
      </c>
      <c r="T951" s="24" t="str">
        <f t="shared" si="89"/>
        <v>Text only</v>
      </c>
    </row>
    <row r="952" spans="1:20" hidden="1" x14ac:dyDescent="0.2">
      <c r="A952" t="s">
        <v>2679</v>
      </c>
      <c r="B952" t="s">
        <v>2365</v>
      </c>
      <c r="C952" t="s">
        <v>2366</v>
      </c>
      <c r="D952" t="s">
        <v>2680</v>
      </c>
      <c r="E952" t="s">
        <v>2681</v>
      </c>
      <c r="F952" t="str">
        <f>IF(Table2[[#This Row],[Date posted]]&lt; DATE(2015,9,18),"Before Crisis","During Crisis")</f>
        <v>During Crisis</v>
      </c>
      <c r="G952" s="27">
        <f t="shared" si="84"/>
        <v>42345</v>
      </c>
      <c r="H952" s="7" t="str">
        <f t="shared" si="85"/>
        <v>20:04:03</v>
      </c>
      <c r="I952" s="8" t="str">
        <f t="shared" si="86"/>
        <v>Evening</v>
      </c>
      <c r="J952" t="s">
        <v>2682</v>
      </c>
      <c r="K952" t="s">
        <v>2370</v>
      </c>
      <c r="L952" s="3">
        <v>0</v>
      </c>
      <c r="M952" s="3">
        <v>0</v>
      </c>
      <c r="N952">
        <v>1</v>
      </c>
      <c r="O952" s="4">
        <f t="shared" si="87"/>
        <v>1</v>
      </c>
      <c r="P952" s="5" t="str">
        <f t="shared" si="88"/>
        <v>Low engagement</v>
      </c>
      <c r="Q952" t="b">
        <v>0</v>
      </c>
      <c r="R952" t="b">
        <v>0</v>
      </c>
      <c r="S952" t="b">
        <v>0</v>
      </c>
      <c r="T952" s="24" t="str">
        <f t="shared" si="89"/>
        <v>Text only</v>
      </c>
    </row>
    <row r="953" spans="1:20" hidden="1" x14ac:dyDescent="0.2">
      <c r="A953" t="s">
        <v>2657</v>
      </c>
      <c r="B953" t="s">
        <v>2365</v>
      </c>
      <c r="C953" t="s">
        <v>2366</v>
      </c>
      <c r="D953" t="s">
        <v>2658</v>
      </c>
      <c r="E953" t="s">
        <v>2659</v>
      </c>
      <c r="F953" t="str">
        <f>IF(Table2[[#This Row],[Date posted]]&lt; DATE(2015,9,18),"Before Crisis","During Crisis")</f>
        <v>During Crisis</v>
      </c>
      <c r="G953" s="27">
        <f t="shared" si="84"/>
        <v>42346</v>
      </c>
      <c r="H953" s="7" t="str">
        <f t="shared" si="85"/>
        <v>17:07:08</v>
      </c>
      <c r="I953" s="8" t="str">
        <f t="shared" si="86"/>
        <v>Afternoon</v>
      </c>
      <c r="J953" t="s">
        <v>2370</v>
      </c>
      <c r="K953" t="s">
        <v>2370</v>
      </c>
      <c r="L953" s="3">
        <v>0</v>
      </c>
      <c r="M953" s="3">
        <v>0</v>
      </c>
      <c r="N953">
        <v>1</v>
      </c>
      <c r="O953" s="4">
        <f t="shared" si="87"/>
        <v>1</v>
      </c>
      <c r="P953" s="5" t="str">
        <f t="shared" si="88"/>
        <v>Low engagement</v>
      </c>
      <c r="Q953" t="b">
        <v>0</v>
      </c>
      <c r="R953" t="b">
        <v>0</v>
      </c>
      <c r="S953" t="b">
        <v>0</v>
      </c>
      <c r="T953" s="24" t="str">
        <f t="shared" si="89"/>
        <v>Text only</v>
      </c>
    </row>
    <row r="954" spans="1:20" hidden="1" x14ac:dyDescent="0.2">
      <c r="A954" t="s">
        <v>2660</v>
      </c>
      <c r="B954" t="s">
        <v>2365</v>
      </c>
      <c r="C954" t="s">
        <v>2366</v>
      </c>
      <c r="D954" t="s">
        <v>2661</v>
      </c>
      <c r="E954" t="s">
        <v>2659</v>
      </c>
      <c r="F954" t="str">
        <f>IF(Table2[[#This Row],[Date posted]]&lt; DATE(2015,9,18),"Before Crisis","During Crisis")</f>
        <v>During Crisis</v>
      </c>
      <c r="G954" s="27">
        <f t="shared" si="84"/>
        <v>42346</v>
      </c>
      <c r="H954" s="7" t="str">
        <f t="shared" si="85"/>
        <v>17:07:08</v>
      </c>
      <c r="I954" s="8" t="str">
        <f t="shared" si="86"/>
        <v>Afternoon</v>
      </c>
      <c r="J954" t="s">
        <v>2662</v>
      </c>
      <c r="K954" t="s">
        <v>2370</v>
      </c>
      <c r="L954" s="3">
        <v>0</v>
      </c>
      <c r="M954" s="3">
        <v>0</v>
      </c>
      <c r="N954">
        <v>1</v>
      </c>
      <c r="O954" s="4">
        <f t="shared" si="87"/>
        <v>1</v>
      </c>
      <c r="P954" s="5" t="str">
        <f t="shared" si="88"/>
        <v>Low engagement</v>
      </c>
      <c r="Q954" t="b">
        <v>0</v>
      </c>
      <c r="R954" t="b">
        <v>0</v>
      </c>
      <c r="S954" t="b">
        <v>0</v>
      </c>
      <c r="T954" s="24" t="str">
        <f t="shared" si="89"/>
        <v>Text only</v>
      </c>
    </row>
    <row r="955" spans="1:20" hidden="1" x14ac:dyDescent="0.2">
      <c r="A955" t="s">
        <v>2651</v>
      </c>
      <c r="B955" t="s">
        <v>2365</v>
      </c>
      <c r="C955" t="s">
        <v>2366</v>
      </c>
      <c r="D955" t="s">
        <v>2652</v>
      </c>
      <c r="E955" t="s">
        <v>2653</v>
      </c>
      <c r="F955" t="str">
        <f>IF(Table2[[#This Row],[Date posted]]&lt; DATE(2015,9,18),"Before Crisis","During Crisis")</f>
        <v>During Crisis</v>
      </c>
      <c r="G955" s="27">
        <f t="shared" si="84"/>
        <v>42346</v>
      </c>
      <c r="H955" s="7" t="str">
        <f t="shared" si="85"/>
        <v>17:10:38</v>
      </c>
      <c r="I955" s="8" t="str">
        <f t="shared" si="86"/>
        <v>Afternoon</v>
      </c>
      <c r="J955" t="s">
        <v>2654</v>
      </c>
      <c r="K955" t="s">
        <v>2370</v>
      </c>
      <c r="L955" s="3">
        <v>0</v>
      </c>
      <c r="M955" s="3">
        <v>0</v>
      </c>
      <c r="N955">
        <v>1</v>
      </c>
      <c r="O955" s="4">
        <f t="shared" si="87"/>
        <v>1</v>
      </c>
      <c r="P955" s="5" t="str">
        <f t="shared" si="88"/>
        <v>Low engagement</v>
      </c>
      <c r="Q955" t="b">
        <v>0</v>
      </c>
      <c r="R955" t="b">
        <v>0</v>
      </c>
      <c r="S955" t="b">
        <v>0</v>
      </c>
      <c r="T955" s="24" t="str">
        <f t="shared" si="89"/>
        <v>Text only</v>
      </c>
    </row>
    <row r="956" spans="1:20" hidden="1" x14ac:dyDescent="0.2">
      <c r="A956" t="s">
        <v>2655</v>
      </c>
      <c r="B956" t="s">
        <v>2365</v>
      </c>
      <c r="C956" t="s">
        <v>2366</v>
      </c>
      <c r="D956" t="s">
        <v>2656</v>
      </c>
      <c r="E956" t="s">
        <v>2653</v>
      </c>
      <c r="F956" t="str">
        <f>IF(Table2[[#This Row],[Date posted]]&lt; DATE(2015,9,18),"Before Crisis","During Crisis")</f>
        <v>During Crisis</v>
      </c>
      <c r="G956" s="27">
        <f t="shared" si="84"/>
        <v>42346</v>
      </c>
      <c r="H956" s="7" t="str">
        <f t="shared" si="85"/>
        <v>17:10:38</v>
      </c>
      <c r="I956" s="8" t="str">
        <f t="shared" si="86"/>
        <v>Afternoon</v>
      </c>
      <c r="J956" t="s">
        <v>2654</v>
      </c>
      <c r="K956" t="s">
        <v>2370</v>
      </c>
      <c r="L956" s="3">
        <v>0</v>
      </c>
      <c r="M956" s="3">
        <v>0</v>
      </c>
      <c r="N956">
        <v>1</v>
      </c>
      <c r="O956" s="4">
        <f t="shared" si="87"/>
        <v>1</v>
      </c>
      <c r="P956" s="5" t="str">
        <f t="shared" si="88"/>
        <v>Low engagement</v>
      </c>
      <c r="Q956" t="b">
        <v>0</v>
      </c>
      <c r="R956" t="b">
        <v>0</v>
      </c>
      <c r="S956" t="b">
        <v>0</v>
      </c>
      <c r="T956" s="24" t="str">
        <f t="shared" si="89"/>
        <v>Text only</v>
      </c>
    </row>
    <row r="957" spans="1:20" hidden="1" x14ac:dyDescent="0.2">
      <c r="A957" t="s">
        <v>2640</v>
      </c>
      <c r="B957" t="s">
        <v>2365</v>
      </c>
      <c r="C957" t="s">
        <v>2366</v>
      </c>
      <c r="D957" t="s">
        <v>2641</v>
      </c>
      <c r="E957" t="s">
        <v>2642</v>
      </c>
      <c r="F957" t="str">
        <f>IF(Table2[[#This Row],[Date posted]]&lt; DATE(2015,9,18),"Before Crisis","During Crisis")</f>
        <v>During Crisis</v>
      </c>
      <c r="G957" s="27">
        <f t="shared" si="84"/>
        <v>42346</v>
      </c>
      <c r="H957" s="7" t="str">
        <f t="shared" si="85"/>
        <v>19:06:12</v>
      </c>
      <c r="I957" s="8" t="str">
        <f t="shared" si="86"/>
        <v>Evening</v>
      </c>
      <c r="J957" t="s">
        <v>2643</v>
      </c>
      <c r="K957" t="s">
        <v>2370</v>
      </c>
      <c r="L957" s="3">
        <v>0</v>
      </c>
      <c r="M957" s="3">
        <v>0</v>
      </c>
      <c r="N957">
        <v>1</v>
      </c>
      <c r="O957" s="4">
        <f t="shared" si="87"/>
        <v>1</v>
      </c>
      <c r="P957" s="5" t="str">
        <f t="shared" si="88"/>
        <v>Low engagement</v>
      </c>
      <c r="Q957" t="b">
        <v>0</v>
      </c>
      <c r="R957" t="b">
        <v>0</v>
      </c>
      <c r="S957" t="b">
        <v>0</v>
      </c>
      <c r="T957" s="24" t="str">
        <f t="shared" si="89"/>
        <v>Text only</v>
      </c>
    </row>
    <row r="958" spans="1:20" hidden="1" x14ac:dyDescent="0.2">
      <c r="A958" t="s">
        <v>2636</v>
      </c>
      <c r="B958" t="s">
        <v>2365</v>
      </c>
      <c r="C958" t="s">
        <v>2366</v>
      </c>
      <c r="D958" t="s">
        <v>2637</v>
      </c>
      <c r="E958" t="s">
        <v>2638</v>
      </c>
      <c r="F958" t="str">
        <f>IF(Table2[[#This Row],[Date posted]]&lt; DATE(2015,9,18),"Before Crisis","During Crisis")</f>
        <v>During Crisis</v>
      </c>
      <c r="G958" s="27">
        <f t="shared" si="84"/>
        <v>42346</v>
      </c>
      <c r="H958" s="7" t="str">
        <f t="shared" si="85"/>
        <v>20:38:36</v>
      </c>
      <c r="I958" s="8" t="str">
        <f t="shared" si="86"/>
        <v>Evening</v>
      </c>
      <c r="J958" t="s">
        <v>2639</v>
      </c>
      <c r="K958" t="s">
        <v>2370</v>
      </c>
      <c r="L958" s="3">
        <v>0</v>
      </c>
      <c r="M958">
        <v>1</v>
      </c>
      <c r="N958">
        <v>1</v>
      </c>
      <c r="O958" s="4">
        <f t="shared" si="87"/>
        <v>2</v>
      </c>
      <c r="P958" s="5" t="str">
        <f t="shared" si="88"/>
        <v>Low engagement</v>
      </c>
      <c r="Q958" t="b">
        <v>0</v>
      </c>
      <c r="R958" t="b">
        <v>0</v>
      </c>
      <c r="S958" t="b">
        <v>0</v>
      </c>
      <c r="T958" s="24" t="str">
        <f t="shared" si="89"/>
        <v>Text only</v>
      </c>
    </row>
    <row r="959" spans="1:20" hidden="1" x14ac:dyDescent="0.2">
      <c r="A959" t="s">
        <v>2619</v>
      </c>
      <c r="B959" t="s">
        <v>2365</v>
      </c>
      <c r="C959" t="s">
        <v>2366</v>
      </c>
      <c r="D959" t="s">
        <v>2620</v>
      </c>
      <c r="E959" t="s">
        <v>2621</v>
      </c>
      <c r="F959" t="str">
        <f>IF(Table2[[#This Row],[Date posted]]&lt; DATE(2015,9,18),"Before Crisis","During Crisis")</f>
        <v>During Crisis</v>
      </c>
      <c r="G959" s="27">
        <f t="shared" si="84"/>
        <v>42347</v>
      </c>
      <c r="H959" s="7" t="str">
        <f t="shared" si="85"/>
        <v>18:20:21</v>
      </c>
      <c r="I959" s="8" t="str">
        <f t="shared" si="86"/>
        <v>Evening</v>
      </c>
      <c r="J959" t="s">
        <v>2618</v>
      </c>
      <c r="K959" t="s">
        <v>2370</v>
      </c>
      <c r="L959" s="3">
        <v>0</v>
      </c>
      <c r="M959" s="3">
        <v>0</v>
      </c>
      <c r="N959">
        <v>1</v>
      </c>
      <c r="O959" s="4">
        <f t="shared" si="87"/>
        <v>1</v>
      </c>
      <c r="P959" s="5" t="str">
        <f t="shared" si="88"/>
        <v>Low engagement</v>
      </c>
      <c r="Q959" t="b">
        <v>0</v>
      </c>
      <c r="R959" t="b">
        <v>0</v>
      </c>
      <c r="S959" t="b">
        <v>0</v>
      </c>
      <c r="T959" s="24" t="str">
        <f t="shared" si="89"/>
        <v>Text only</v>
      </c>
    </row>
    <row r="960" spans="1:20" hidden="1" x14ac:dyDescent="0.2">
      <c r="A960" t="s">
        <v>2562</v>
      </c>
      <c r="B960" t="s">
        <v>2365</v>
      </c>
      <c r="C960" t="s">
        <v>2366</v>
      </c>
      <c r="D960" t="s">
        <v>2563</v>
      </c>
      <c r="E960" t="s">
        <v>2564</v>
      </c>
      <c r="F960" t="str">
        <f>IF(Table2[[#This Row],[Date posted]]&lt; DATE(2015,9,18),"Before Crisis","During Crisis")</f>
        <v>During Crisis</v>
      </c>
      <c r="G960" s="27">
        <f t="shared" si="84"/>
        <v>42348</v>
      </c>
      <c r="H960" s="7" t="str">
        <f t="shared" si="85"/>
        <v>17:37:21</v>
      </c>
      <c r="I960" s="8" t="str">
        <f t="shared" si="86"/>
        <v>Afternoon</v>
      </c>
      <c r="J960" t="s">
        <v>2565</v>
      </c>
      <c r="K960" t="s">
        <v>2370</v>
      </c>
      <c r="L960" s="3">
        <v>0</v>
      </c>
      <c r="M960" s="3">
        <v>0</v>
      </c>
      <c r="N960">
        <v>1</v>
      </c>
      <c r="O960" s="4">
        <f t="shared" si="87"/>
        <v>1</v>
      </c>
      <c r="P960" s="5" t="str">
        <f t="shared" si="88"/>
        <v>Low engagement</v>
      </c>
      <c r="Q960" t="b">
        <v>0</v>
      </c>
      <c r="R960" t="b">
        <v>0</v>
      </c>
      <c r="S960" t="b">
        <v>0</v>
      </c>
      <c r="T960" s="24" t="str">
        <f t="shared" si="89"/>
        <v>Text only</v>
      </c>
    </row>
    <row r="961" spans="1:20" hidden="1" x14ac:dyDescent="0.2">
      <c r="A961" t="s">
        <v>2494</v>
      </c>
      <c r="B961" t="s">
        <v>2365</v>
      </c>
      <c r="C961" t="s">
        <v>2366</v>
      </c>
      <c r="D961" t="s">
        <v>2495</v>
      </c>
      <c r="E961" t="s">
        <v>2496</v>
      </c>
      <c r="F961" t="str">
        <f>IF(Table2[[#This Row],[Date posted]]&lt; DATE(2015,9,18),"Before Crisis","During Crisis")</f>
        <v>During Crisis</v>
      </c>
      <c r="G961" s="27">
        <f t="shared" si="84"/>
        <v>42352</v>
      </c>
      <c r="H961" s="7" t="str">
        <f t="shared" si="85"/>
        <v>22:07:33</v>
      </c>
      <c r="I961" s="8" t="str">
        <f t="shared" si="86"/>
        <v>Evening</v>
      </c>
      <c r="J961" t="s">
        <v>2370</v>
      </c>
      <c r="K961" t="s">
        <v>2370</v>
      </c>
      <c r="L961" s="3">
        <v>0</v>
      </c>
      <c r="M961" s="3">
        <v>0</v>
      </c>
      <c r="N961">
        <v>1</v>
      </c>
      <c r="O961" s="4">
        <f t="shared" si="87"/>
        <v>1</v>
      </c>
      <c r="P961" s="5" t="str">
        <f t="shared" si="88"/>
        <v>Low engagement</v>
      </c>
      <c r="Q961" t="b">
        <v>0</v>
      </c>
      <c r="R961" t="b">
        <v>0</v>
      </c>
      <c r="S961" t="b">
        <v>0</v>
      </c>
      <c r="T961" s="24" t="str">
        <f t="shared" si="89"/>
        <v>Text only</v>
      </c>
    </row>
    <row r="962" spans="1:20" hidden="1" x14ac:dyDescent="0.2">
      <c r="A962" t="s">
        <v>2490</v>
      </c>
      <c r="B962" t="s">
        <v>2365</v>
      </c>
      <c r="C962" t="s">
        <v>2366</v>
      </c>
      <c r="D962" t="s">
        <v>2491</v>
      </c>
      <c r="E962" t="s">
        <v>2492</v>
      </c>
      <c r="F962" t="str">
        <f>IF(Table2[[#This Row],[Date posted]]&lt; DATE(2015,9,18),"Before Crisis","During Crisis")</f>
        <v>During Crisis</v>
      </c>
      <c r="G962" s="27">
        <f t="shared" ref="G962:G1025" si="90">DATEVALUE(LEFT(E962,10))</f>
        <v>42352</v>
      </c>
      <c r="H962" s="7" t="str">
        <f t="shared" ref="H962:H1025" si="91">MID(E962,12,8)</f>
        <v>22:14:35</v>
      </c>
      <c r="I962" s="8" t="str">
        <f t="shared" ref="I962:I1025" si="92">IF(HOUR(H962)&lt;7,"Early morning",
IF(HOUR(H962)&lt;11,"Morning",
IF(HOUR(H962)&lt;14,"Mid-day",
IF(HOUR(H962)&lt;18,"Afternoon","Evening"))))</f>
        <v>Evening</v>
      </c>
      <c r="J962" t="s">
        <v>2493</v>
      </c>
      <c r="K962" t="s">
        <v>2370</v>
      </c>
      <c r="L962" s="3">
        <v>0</v>
      </c>
      <c r="M962" s="3">
        <v>0</v>
      </c>
      <c r="N962">
        <v>1</v>
      </c>
      <c r="O962" s="4">
        <f t="shared" ref="O962:O1025" si="93">L962+M962+N962</f>
        <v>1</v>
      </c>
      <c r="P962" s="5" t="str">
        <f t="shared" ref="P962:P1025" si="94">IF(O962&lt;1,"No engagement", IF(O962&lt;5,"Low engagement", IF(O962&lt;10,"Moderate engagement", "High engagement")))</f>
        <v>Low engagement</v>
      </c>
      <c r="Q962" t="b">
        <v>0</v>
      </c>
      <c r="R962" t="b">
        <v>0</v>
      </c>
      <c r="S962" t="b">
        <v>1</v>
      </c>
      <c r="T962" s="24" t="str">
        <f t="shared" ref="T962:T1025" si="95">IF(Q962=TRUE,"Photo",
    IF(R962=TRUE,"Video",
        IF(S962=TRUE,"Link","Text only")))</f>
        <v>Link</v>
      </c>
    </row>
    <row r="963" spans="1:20" hidden="1" x14ac:dyDescent="0.2">
      <c r="A963" t="s">
        <v>2484</v>
      </c>
      <c r="B963" t="s">
        <v>2365</v>
      </c>
      <c r="C963" t="s">
        <v>2366</v>
      </c>
      <c r="D963" t="s">
        <v>2485</v>
      </c>
      <c r="E963" t="s">
        <v>2486</v>
      </c>
      <c r="F963" t="str">
        <f>IF(Table2[[#This Row],[Date posted]]&lt; DATE(2015,9,18),"Before Crisis","During Crisis")</f>
        <v>During Crisis</v>
      </c>
      <c r="G963" s="27">
        <f t="shared" si="90"/>
        <v>42352</v>
      </c>
      <c r="H963" s="7" t="str">
        <f t="shared" si="91"/>
        <v>22:32:15</v>
      </c>
      <c r="I963" s="8" t="str">
        <f t="shared" si="92"/>
        <v>Evening</v>
      </c>
      <c r="J963" t="s">
        <v>2370</v>
      </c>
      <c r="K963" t="s">
        <v>2370</v>
      </c>
      <c r="L963" s="3">
        <v>0</v>
      </c>
      <c r="M963" s="3">
        <v>0</v>
      </c>
      <c r="N963">
        <v>1</v>
      </c>
      <c r="O963" s="4">
        <f t="shared" si="93"/>
        <v>1</v>
      </c>
      <c r="P963" s="5" t="str">
        <f t="shared" si="94"/>
        <v>Low engagement</v>
      </c>
      <c r="Q963" t="b">
        <v>0</v>
      </c>
      <c r="R963" t="b">
        <v>0</v>
      </c>
      <c r="S963" t="b">
        <v>1</v>
      </c>
      <c r="T963" s="24" t="str">
        <f t="shared" si="95"/>
        <v>Link</v>
      </c>
    </row>
    <row r="964" spans="1:20" hidden="1" x14ac:dyDescent="0.2">
      <c r="A964" t="s">
        <v>2473</v>
      </c>
      <c r="B964" t="s">
        <v>2365</v>
      </c>
      <c r="C964" t="s">
        <v>2366</v>
      </c>
      <c r="D964" t="s">
        <v>2474</v>
      </c>
      <c r="E964" t="s">
        <v>2472</v>
      </c>
      <c r="F964" t="str">
        <f>IF(Table2[[#This Row],[Date posted]]&lt; DATE(2015,9,18),"Before Crisis","During Crisis")</f>
        <v>During Crisis</v>
      </c>
      <c r="G964" s="27">
        <f t="shared" si="90"/>
        <v>42353</v>
      </c>
      <c r="H964" s="7" t="str">
        <f t="shared" si="91"/>
        <v>16:44:24</v>
      </c>
      <c r="I964" s="8" t="str">
        <f t="shared" si="92"/>
        <v>Afternoon</v>
      </c>
      <c r="J964" t="s">
        <v>2475</v>
      </c>
      <c r="K964" t="s">
        <v>2370</v>
      </c>
      <c r="L964" s="3">
        <v>0</v>
      </c>
      <c r="M964">
        <v>2</v>
      </c>
      <c r="N964">
        <v>1</v>
      </c>
      <c r="O964" s="4">
        <f t="shared" si="93"/>
        <v>3</v>
      </c>
      <c r="P964" s="5" t="str">
        <f t="shared" si="94"/>
        <v>Low engagement</v>
      </c>
      <c r="Q964" t="b">
        <v>0</v>
      </c>
      <c r="R964" t="b">
        <v>0</v>
      </c>
      <c r="S964" t="b">
        <v>0</v>
      </c>
      <c r="T964" s="24" t="str">
        <f t="shared" si="95"/>
        <v>Text only</v>
      </c>
    </row>
    <row r="965" spans="1:20" hidden="1" x14ac:dyDescent="0.2">
      <c r="A965" t="s">
        <v>2450</v>
      </c>
      <c r="B965" t="s">
        <v>2365</v>
      </c>
      <c r="C965" t="s">
        <v>2366</v>
      </c>
      <c r="D965" t="s">
        <v>2451</v>
      </c>
      <c r="E965" t="s">
        <v>2452</v>
      </c>
      <c r="F965" t="str">
        <f>IF(Table2[[#This Row],[Date posted]]&lt; DATE(2015,9,18),"Before Crisis","During Crisis")</f>
        <v>During Crisis</v>
      </c>
      <c r="G965" s="27">
        <f t="shared" si="90"/>
        <v>42353</v>
      </c>
      <c r="H965" s="7" t="str">
        <f t="shared" si="91"/>
        <v>17:09:19</v>
      </c>
      <c r="I965" s="8" t="str">
        <f t="shared" si="92"/>
        <v>Afternoon</v>
      </c>
      <c r="J965" t="s">
        <v>2370</v>
      </c>
      <c r="K965" t="s">
        <v>2370</v>
      </c>
      <c r="L965" s="3">
        <v>0</v>
      </c>
      <c r="M965" s="3">
        <v>0</v>
      </c>
      <c r="N965">
        <v>1</v>
      </c>
      <c r="O965" s="4">
        <f t="shared" si="93"/>
        <v>1</v>
      </c>
      <c r="P965" s="5" t="str">
        <f t="shared" si="94"/>
        <v>Low engagement</v>
      </c>
      <c r="Q965" t="b">
        <v>0</v>
      </c>
      <c r="R965" t="b">
        <v>0</v>
      </c>
      <c r="S965" t="b">
        <v>0</v>
      </c>
      <c r="T965" s="24" t="str">
        <f t="shared" si="95"/>
        <v>Text only</v>
      </c>
    </row>
    <row r="966" spans="1:20" hidden="1" x14ac:dyDescent="0.2">
      <c r="A966" t="s">
        <v>2434</v>
      </c>
      <c r="B966" t="s">
        <v>2365</v>
      </c>
      <c r="C966" t="s">
        <v>2366</v>
      </c>
      <c r="D966" t="s">
        <v>2435</v>
      </c>
      <c r="E966" t="s">
        <v>2436</v>
      </c>
      <c r="F966" t="str">
        <f>IF(Table2[[#This Row],[Date posted]]&lt; DATE(2015,9,18),"Before Crisis","During Crisis")</f>
        <v>During Crisis</v>
      </c>
      <c r="G966" s="27">
        <f t="shared" si="90"/>
        <v>42353</v>
      </c>
      <c r="H966" s="7" t="str">
        <f t="shared" si="91"/>
        <v>19:10:55</v>
      </c>
      <c r="I966" s="8" t="str">
        <f t="shared" si="92"/>
        <v>Evening</v>
      </c>
      <c r="J966" t="s">
        <v>2370</v>
      </c>
      <c r="K966" t="s">
        <v>2370</v>
      </c>
      <c r="L966" s="3">
        <v>0</v>
      </c>
      <c r="M966" s="3">
        <v>0</v>
      </c>
      <c r="N966">
        <v>1</v>
      </c>
      <c r="O966" s="4">
        <f t="shared" si="93"/>
        <v>1</v>
      </c>
      <c r="P966" s="5" t="str">
        <f t="shared" si="94"/>
        <v>Low engagement</v>
      </c>
      <c r="Q966" t="b">
        <v>0</v>
      </c>
      <c r="R966" t="b">
        <v>0</v>
      </c>
      <c r="S966" t="b">
        <v>0</v>
      </c>
      <c r="T966" s="24" t="str">
        <f t="shared" si="95"/>
        <v>Text only</v>
      </c>
    </row>
    <row r="967" spans="1:20" hidden="1" x14ac:dyDescent="0.2">
      <c r="A967" t="s">
        <v>2427</v>
      </c>
      <c r="B967" t="s">
        <v>2365</v>
      </c>
      <c r="C967" t="s">
        <v>2366</v>
      </c>
      <c r="D967" t="s">
        <v>2428</v>
      </c>
      <c r="E967" t="s">
        <v>2429</v>
      </c>
      <c r="F967" t="str">
        <f>IF(Table2[[#This Row],[Date posted]]&lt; DATE(2015,9,18),"Before Crisis","During Crisis")</f>
        <v>During Crisis</v>
      </c>
      <c r="G967" s="27">
        <f t="shared" si="90"/>
        <v>42353</v>
      </c>
      <c r="H967" s="7" t="str">
        <f t="shared" si="91"/>
        <v>19:10:56</v>
      </c>
      <c r="I967" s="8" t="str">
        <f t="shared" si="92"/>
        <v>Evening</v>
      </c>
      <c r="J967" t="s">
        <v>2430</v>
      </c>
      <c r="K967" t="s">
        <v>2370</v>
      </c>
      <c r="L967">
        <v>1</v>
      </c>
      <c r="M967" s="3">
        <v>0</v>
      </c>
      <c r="N967">
        <v>1</v>
      </c>
      <c r="O967" s="4">
        <f t="shared" si="93"/>
        <v>2</v>
      </c>
      <c r="P967" s="5" t="str">
        <f t="shared" si="94"/>
        <v>Low engagement</v>
      </c>
      <c r="Q967" t="b">
        <v>0</v>
      </c>
      <c r="R967" t="b">
        <v>0</v>
      </c>
      <c r="S967" t="b">
        <v>0</v>
      </c>
      <c r="T967" s="24" t="str">
        <f t="shared" si="95"/>
        <v>Text only</v>
      </c>
    </row>
    <row r="968" spans="1:20" hidden="1" x14ac:dyDescent="0.2">
      <c r="A968" t="s">
        <v>2431</v>
      </c>
      <c r="B968" t="s">
        <v>2365</v>
      </c>
      <c r="C968" t="s">
        <v>2366</v>
      </c>
      <c r="D968" t="s">
        <v>2432</v>
      </c>
      <c r="E968" t="s">
        <v>2429</v>
      </c>
      <c r="F968" t="str">
        <f>IF(Table2[[#This Row],[Date posted]]&lt; DATE(2015,9,18),"Before Crisis","During Crisis")</f>
        <v>During Crisis</v>
      </c>
      <c r="G968" s="27">
        <f t="shared" si="90"/>
        <v>42353</v>
      </c>
      <c r="H968" s="7" t="str">
        <f t="shared" si="91"/>
        <v>19:10:56</v>
      </c>
      <c r="I968" s="8" t="str">
        <f t="shared" si="92"/>
        <v>Evening</v>
      </c>
      <c r="J968" t="s">
        <v>2433</v>
      </c>
      <c r="K968" t="s">
        <v>2370</v>
      </c>
      <c r="L968" s="3">
        <v>0</v>
      </c>
      <c r="M968" s="3">
        <v>0</v>
      </c>
      <c r="N968">
        <v>1</v>
      </c>
      <c r="O968" s="4">
        <f t="shared" si="93"/>
        <v>1</v>
      </c>
      <c r="P968" s="5" t="str">
        <f t="shared" si="94"/>
        <v>Low engagement</v>
      </c>
      <c r="Q968" t="b">
        <v>0</v>
      </c>
      <c r="R968" t="b">
        <v>0</v>
      </c>
      <c r="S968" t="b">
        <v>0</v>
      </c>
      <c r="T968" s="24" t="str">
        <f t="shared" si="95"/>
        <v>Text only</v>
      </c>
    </row>
    <row r="969" spans="1:20" hidden="1" x14ac:dyDescent="0.2">
      <c r="A969" t="s">
        <v>2423</v>
      </c>
      <c r="B969" t="s">
        <v>2365</v>
      </c>
      <c r="C969" t="s">
        <v>2366</v>
      </c>
      <c r="D969" t="s">
        <v>2424</v>
      </c>
      <c r="E969" t="s">
        <v>2425</v>
      </c>
      <c r="F969" t="str">
        <f>IF(Table2[[#This Row],[Date posted]]&lt; DATE(2015,9,18),"Before Crisis","During Crisis")</f>
        <v>During Crisis</v>
      </c>
      <c r="G969" s="27">
        <f t="shared" si="90"/>
        <v>42353</v>
      </c>
      <c r="H969" s="7" t="str">
        <f t="shared" si="91"/>
        <v>19:28:43</v>
      </c>
      <c r="I969" s="8" t="str">
        <f t="shared" si="92"/>
        <v>Evening</v>
      </c>
      <c r="J969" t="s">
        <v>2426</v>
      </c>
      <c r="K969" t="s">
        <v>2370</v>
      </c>
      <c r="L969">
        <v>1</v>
      </c>
      <c r="M969">
        <v>1</v>
      </c>
      <c r="N969">
        <v>1</v>
      </c>
      <c r="O969" s="4">
        <f t="shared" si="93"/>
        <v>3</v>
      </c>
      <c r="P969" s="5" t="str">
        <f t="shared" si="94"/>
        <v>Low engagement</v>
      </c>
      <c r="Q969" t="b">
        <v>0</v>
      </c>
      <c r="R969" t="b">
        <v>0</v>
      </c>
      <c r="S969" t="b">
        <v>0</v>
      </c>
      <c r="T969" s="24" t="str">
        <f t="shared" si="95"/>
        <v>Text only</v>
      </c>
    </row>
    <row r="970" spans="1:20" hidden="1" x14ac:dyDescent="0.2">
      <c r="A970" t="s">
        <v>2397</v>
      </c>
      <c r="B970" t="s">
        <v>2365</v>
      </c>
      <c r="C970" t="s">
        <v>2366</v>
      </c>
      <c r="D970" t="s">
        <v>2398</v>
      </c>
      <c r="E970" t="s">
        <v>2399</v>
      </c>
      <c r="F970" t="str">
        <f>IF(Table2[[#This Row],[Date posted]]&lt; DATE(2015,9,18),"Before Crisis","During Crisis")</f>
        <v>During Crisis</v>
      </c>
      <c r="G970" s="27">
        <f t="shared" si="90"/>
        <v>42354</v>
      </c>
      <c r="H970" s="7" t="str">
        <f t="shared" si="91"/>
        <v>17:23:18</v>
      </c>
      <c r="I970" s="8" t="str">
        <f t="shared" si="92"/>
        <v>Afternoon</v>
      </c>
      <c r="J970" t="s">
        <v>2370</v>
      </c>
      <c r="K970" t="s">
        <v>2370</v>
      </c>
      <c r="L970" s="3">
        <v>0</v>
      </c>
      <c r="M970">
        <v>2</v>
      </c>
      <c r="N970">
        <v>1</v>
      </c>
      <c r="O970" s="4">
        <f t="shared" si="93"/>
        <v>3</v>
      </c>
      <c r="P970" s="5" t="str">
        <f t="shared" si="94"/>
        <v>Low engagement</v>
      </c>
      <c r="Q970" t="b">
        <v>0</v>
      </c>
      <c r="R970" t="b">
        <v>0</v>
      </c>
      <c r="S970" t="b">
        <v>0</v>
      </c>
      <c r="T970" s="24" t="str">
        <f t="shared" si="95"/>
        <v>Text only</v>
      </c>
    </row>
    <row r="971" spans="1:20" hidden="1" x14ac:dyDescent="0.2">
      <c r="A971" t="s">
        <v>2390</v>
      </c>
      <c r="B971" t="s">
        <v>2365</v>
      </c>
      <c r="C971" t="s">
        <v>2366</v>
      </c>
      <c r="D971" t="s">
        <v>2391</v>
      </c>
      <c r="E971" t="s">
        <v>2392</v>
      </c>
      <c r="F971" t="str">
        <f>IF(Table2[[#This Row],[Date posted]]&lt; DATE(2015,9,18),"Before Crisis","During Crisis")</f>
        <v>During Crisis</v>
      </c>
      <c r="G971" s="27">
        <f t="shared" si="90"/>
        <v>42354</v>
      </c>
      <c r="H971" s="7" t="str">
        <f t="shared" si="91"/>
        <v>17:23:20</v>
      </c>
      <c r="I971" s="8" t="str">
        <f t="shared" si="92"/>
        <v>Afternoon</v>
      </c>
      <c r="J971" t="s">
        <v>2393</v>
      </c>
      <c r="K971" t="s">
        <v>2370</v>
      </c>
      <c r="L971" s="3">
        <v>0</v>
      </c>
      <c r="M971" s="3">
        <v>0</v>
      </c>
      <c r="N971">
        <v>1</v>
      </c>
      <c r="O971" s="4">
        <f t="shared" si="93"/>
        <v>1</v>
      </c>
      <c r="P971" s="5" t="str">
        <f t="shared" si="94"/>
        <v>Low engagement</v>
      </c>
      <c r="Q971" t="b">
        <v>0</v>
      </c>
      <c r="R971" t="b">
        <v>0</v>
      </c>
      <c r="S971" t="b">
        <v>0</v>
      </c>
      <c r="T971" s="24" t="str">
        <f t="shared" si="95"/>
        <v>Text only</v>
      </c>
    </row>
    <row r="972" spans="1:20" hidden="1" x14ac:dyDescent="0.2">
      <c r="A972" t="s">
        <v>2386</v>
      </c>
      <c r="B972" t="s">
        <v>2365</v>
      </c>
      <c r="C972" t="s">
        <v>2366</v>
      </c>
      <c r="D972" t="s">
        <v>2387</v>
      </c>
      <c r="E972" t="s">
        <v>2388</v>
      </c>
      <c r="F972" t="str">
        <f>IF(Table2[[#This Row],[Date posted]]&lt; DATE(2015,9,18),"Before Crisis","During Crisis")</f>
        <v>During Crisis</v>
      </c>
      <c r="G972" s="27">
        <f t="shared" si="90"/>
        <v>42354</v>
      </c>
      <c r="H972" s="7" t="str">
        <f t="shared" si="91"/>
        <v>19:24:17</v>
      </c>
      <c r="I972" s="8" t="str">
        <f t="shared" si="92"/>
        <v>Evening</v>
      </c>
      <c r="J972" t="s">
        <v>2389</v>
      </c>
      <c r="K972" t="s">
        <v>2370</v>
      </c>
      <c r="L972" s="3">
        <v>0</v>
      </c>
      <c r="M972" s="3">
        <v>0</v>
      </c>
      <c r="N972">
        <v>1</v>
      </c>
      <c r="O972" s="4">
        <f t="shared" si="93"/>
        <v>1</v>
      </c>
      <c r="P972" s="5" t="str">
        <f t="shared" si="94"/>
        <v>Low engagement</v>
      </c>
      <c r="Q972" t="b">
        <v>0</v>
      </c>
      <c r="R972" t="b">
        <v>0</v>
      </c>
      <c r="S972" t="b">
        <v>1</v>
      </c>
      <c r="T972" s="24" t="str">
        <f t="shared" si="95"/>
        <v>Link</v>
      </c>
    </row>
    <row r="973" spans="1:20" hidden="1" x14ac:dyDescent="0.2">
      <c r="A973" t="s">
        <v>2378</v>
      </c>
      <c r="B973" t="s">
        <v>2365</v>
      </c>
      <c r="C973" t="s">
        <v>2366</v>
      </c>
      <c r="D973" t="s">
        <v>2379</v>
      </c>
      <c r="E973" t="s">
        <v>2380</v>
      </c>
      <c r="F973" t="str">
        <f>IF(Table2[[#This Row],[Date posted]]&lt; DATE(2015,9,18),"Before Crisis","During Crisis")</f>
        <v>During Crisis</v>
      </c>
      <c r="G973" s="27">
        <f t="shared" si="90"/>
        <v>42354</v>
      </c>
      <c r="H973" s="7" t="str">
        <f t="shared" si="91"/>
        <v>21:23:23</v>
      </c>
      <c r="I973" s="8" t="str">
        <f t="shared" si="92"/>
        <v>Evening</v>
      </c>
      <c r="J973" t="s">
        <v>2381</v>
      </c>
      <c r="K973" t="s">
        <v>2370</v>
      </c>
      <c r="L973" s="3">
        <v>0</v>
      </c>
      <c r="M973" s="3">
        <v>0</v>
      </c>
      <c r="N973">
        <v>1</v>
      </c>
      <c r="O973" s="4">
        <f t="shared" si="93"/>
        <v>1</v>
      </c>
      <c r="P973" s="5" t="str">
        <f t="shared" si="94"/>
        <v>Low engagement</v>
      </c>
      <c r="Q973" t="b">
        <v>0</v>
      </c>
      <c r="R973" t="b">
        <v>0</v>
      </c>
      <c r="S973" t="b">
        <v>0</v>
      </c>
      <c r="T973" s="24" t="str">
        <f t="shared" si="95"/>
        <v>Text only</v>
      </c>
    </row>
    <row r="974" spans="1:20" hidden="1" x14ac:dyDescent="0.2">
      <c r="A974" t="s">
        <v>2375</v>
      </c>
      <c r="B974" t="s">
        <v>2365</v>
      </c>
      <c r="C974" t="s">
        <v>2366</v>
      </c>
      <c r="D974" t="s">
        <v>2376</v>
      </c>
      <c r="E974" t="s">
        <v>2377</v>
      </c>
      <c r="F974" t="str">
        <f>IF(Table2[[#This Row],[Date posted]]&lt; DATE(2015,9,18),"Before Crisis","During Crisis")</f>
        <v>During Crisis</v>
      </c>
      <c r="G974" s="27">
        <f t="shared" si="90"/>
        <v>42354</v>
      </c>
      <c r="H974" s="7" t="str">
        <f t="shared" si="91"/>
        <v>21:23:24</v>
      </c>
      <c r="I974" s="8" t="str">
        <f t="shared" si="92"/>
        <v>Evening</v>
      </c>
      <c r="J974" t="s">
        <v>2370</v>
      </c>
      <c r="K974" t="s">
        <v>2370</v>
      </c>
      <c r="L974" s="3">
        <v>0</v>
      </c>
      <c r="M974" s="3">
        <v>0</v>
      </c>
      <c r="N974">
        <v>1</v>
      </c>
      <c r="O974" s="4">
        <f t="shared" si="93"/>
        <v>1</v>
      </c>
      <c r="P974" s="5" t="str">
        <f t="shared" si="94"/>
        <v>Low engagement</v>
      </c>
      <c r="Q974" t="b">
        <v>0</v>
      </c>
      <c r="R974" t="b">
        <v>0</v>
      </c>
      <c r="S974" t="b">
        <v>0</v>
      </c>
      <c r="T974" s="24" t="str">
        <f t="shared" si="95"/>
        <v>Text only</v>
      </c>
    </row>
    <row r="975" spans="1:20" hidden="1" x14ac:dyDescent="0.2">
      <c r="A975" t="s">
        <v>7284</v>
      </c>
      <c r="B975" t="s">
        <v>2365</v>
      </c>
      <c r="C975" t="s">
        <v>2366</v>
      </c>
      <c r="D975" t="s">
        <v>7285</v>
      </c>
      <c r="E975" t="s">
        <v>7286</v>
      </c>
      <c r="F975" t="str">
        <f>IF(Table2[[#This Row],[Date posted]]&lt; DATE(2015,9,18),"Before Crisis","During Crisis")</f>
        <v>Before Crisis</v>
      </c>
      <c r="G975" s="27">
        <f t="shared" si="90"/>
        <v>42173</v>
      </c>
      <c r="H975" s="7" t="str">
        <f t="shared" si="91"/>
        <v>13:42:04</v>
      </c>
      <c r="I975" s="8" t="str">
        <f t="shared" si="92"/>
        <v>Mid-day</v>
      </c>
      <c r="J975" t="s">
        <v>7283</v>
      </c>
      <c r="K975" t="s">
        <v>2370</v>
      </c>
      <c r="L975">
        <v>1</v>
      </c>
      <c r="M975" s="3">
        <v>0</v>
      </c>
      <c r="N975" s="3">
        <v>0</v>
      </c>
      <c r="O975" s="4">
        <f t="shared" si="93"/>
        <v>1</v>
      </c>
      <c r="P975" s="5" t="str">
        <f t="shared" si="94"/>
        <v>Low engagement</v>
      </c>
      <c r="Q975" t="b">
        <v>0</v>
      </c>
      <c r="R975" t="b">
        <v>0</v>
      </c>
      <c r="S975" t="b">
        <v>0</v>
      </c>
      <c r="T975" s="24" t="str">
        <f t="shared" si="95"/>
        <v>Text only</v>
      </c>
    </row>
    <row r="976" spans="1:20" hidden="1" x14ac:dyDescent="0.2">
      <c r="A976" t="s">
        <v>7287</v>
      </c>
      <c r="B976" t="s">
        <v>2365</v>
      </c>
      <c r="C976" t="s">
        <v>2366</v>
      </c>
      <c r="D976" t="s">
        <v>7288</v>
      </c>
      <c r="E976" t="s">
        <v>7286</v>
      </c>
      <c r="F976" t="str">
        <f>IF(Table2[[#This Row],[Date posted]]&lt; DATE(2015,9,18),"Before Crisis","During Crisis")</f>
        <v>Before Crisis</v>
      </c>
      <c r="G976" s="27">
        <f t="shared" si="90"/>
        <v>42173</v>
      </c>
      <c r="H976" s="7" t="str">
        <f t="shared" si="91"/>
        <v>13:42:04</v>
      </c>
      <c r="I976" s="8" t="str">
        <f t="shared" si="92"/>
        <v>Mid-day</v>
      </c>
      <c r="J976" t="s">
        <v>7289</v>
      </c>
      <c r="K976" t="s">
        <v>2370</v>
      </c>
      <c r="L976">
        <v>1</v>
      </c>
      <c r="M976" s="3">
        <v>0</v>
      </c>
      <c r="N976" s="3">
        <v>0</v>
      </c>
      <c r="O976" s="4">
        <f t="shared" si="93"/>
        <v>1</v>
      </c>
      <c r="P976" s="5" t="str">
        <f t="shared" si="94"/>
        <v>Low engagement</v>
      </c>
      <c r="Q976" t="b">
        <v>0</v>
      </c>
      <c r="R976" t="b">
        <v>0</v>
      </c>
      <c r="S976" t="b">
        <v>0</v>
      </c>
      <c r="T976" s="24" t="str">
        <f t="shared" si="95"/>
        <v>Text only</v>
      </c>
    </row>
    <row r="977" spans="1:20" hidden="1" x14ac:dyDescent="0.2">
      <c r="A977" t="s">
        <v>7280</v>
      </c>
      <c r="B977" t="s">
        <v>2365</v>
      </c>
      <c r="C977" t="s">
        <v>2366</v>
      </c>
      <c r="D977" t="s">
        <v>7281</v>
      </c>
      <c r="E977" t="s">
        <v>7282</v>
      </c>
      <c r="F977" t="str">
        <f>IF(Table2[[#This Row],[Date posted]]&lt; DATE(2015,9,18),"Before Crisis","During Crisis")</f>
        <v>Before Crisis</v>
      </c>
      <c r="G977" s="27">
        <f t="shared" si="90"/>
        <v>42173</v>
      </c>
      <c r="H977" s="7" t="str">
        <f t="shared" si="91"/>
        <v>13:42:05</v>
      </c>
      <c r="I977" s="8" t="str">
        <f t="shared" si="92"/>
        <v>Mid-day</v>
      </c>
      <c r="J977" t="s">
        <v>7283</v>
      </c>
      <c r="K977" t="s">
        <v>2370</v>
      </c>
      <c r="L977">
        <v>1</v>
      </c>
      <c r="M977" s="3">
        <v>0</v>
      </c>
      <c r="N977" s="3">
        <v>0</v>
      </c>
      <c r="O977" s="4">
        <f t="shared" si="93"/>
        <v>1</v>
      </c>
      <c r="P977" s="5" t="str">
        <f t="shared" si="94"/>
        <v>Low engagement</v>
      </c>
      <c r="Q977" t="b">
        <v>0</v>
      </c>
      <c r="R977" t="b">
        <v>0</v>
      </c>
      <c r="S977" t="b">
        <v>0</v>
      </c>
      <c r="T977" s="24" t="str">
        <f t="shared" si="95"/>
        <v>Text only</v>
      </c>
    </row>
    <row r="978" spans="1:20" hidden="1" x14ac:dyDescent="0.2">
      <c r="A978" t="s">
        <v>7263</v>
      </c>
      <c r="B978" t="s">
        <v>2365</v>
      </c>
      <c r="C978" t="s">
        <v>2366</v>
      </c>
      <c r="D978" t="s">
        <v>7264</v>
      </c>
      <c r="E978" t="s">
        <v>7265</v>
      </c>
      <c r="F978" t="str">
        <f>IF(Table2[[#This Row],[Date posted]]&lt; DATE(2015,9,18),"Before Crisis","During Crisis")</f>
        <v>Before Crisis</v>
      </c>
      <c r="G978" s="27">
        <f t="shared" si="90"/>
        <v>42174</v>
      </c>
      <c r="H978" s="7" t="str">
        <f t="shared" si="91"/>
        <v>15:11:48</v>
      </c>
      <c r="I978" s="8" t="str">
        <f t="shared" si="92"/>
        <v>Afternoon</v>
      </c>
      <c r="J978" t="s">
        <v>7266</v>
      </c>
      <c r="K978" t="s">
        <v>2370</v>
      </c>
      <c r="L978" s="3">
        <v>0</v>
      </c>
      <c r="M978" s="3">
        <v>0</v>
      </c>
      <c r="N978" s="3">
        <v>0</v>
      </c>
      <c r="O978" s="4">
        <f t="shared" si="93"/>
        <v>0</v>
      </c>
      <c r="P978" s="5" t="str">
        <f t="shared" si="94"/>
        <v>No engagement</v>
      </c>
      <c r="Q978" t="b">
        <v>0</v>
      </c>
      <c r="R978" t="b">
        <v>0</v>
      </c>
      <c r="S978" t="b">
        <v>0</v>
      </c>
      <c r="T978" s="24" t="str">
        <f t="shared" si="95"/>
        <v>Text only</v>
      </c>
    </row>
    <row r="979" spans="1:20" hidden="1" x14ac:dyDescent="0.2">
      <c r="A979" t="s">
        <v>7260</v>
      </c>
      <c r="B979" t="s">
        <v>2365</v>
      </c>
      <c r="C979" t="s">
        <v>2366</v>
      </c>
      <c r="D979" t="s">
        <v>7261</v>
      </c>
      <c r="E979" t="s">
        <v>7262</v>
      </c>
      <c r="F979" t="str">
        <f>IF(Table2[[#This Row],[Date posted]]&lt; DATE(2015,9,18),"Before Crisis","During Crisis")</f>
        <v>Before Crisis</v>
      </c>
      <c r="G979" s="27">
        <f t="shared" si="90"/>
        <v>42174</v>
      </c>
      <c r="H979" s="7" t="str">
        <f t="shared" si="91"/>
        <v>15:19:55</v>
      </c>
      <c r="I979" s="8" t="str">
        <f t="shared" si="92"/>
        <v>Afternoon</v>
      </c>
      <c r="J979" t="s">
        <v>2370</v>
      </c>
      <c r="K979" t="s">
        <v>2370</v>
      </c>
      <c r="L979" s="3">
        <v>0</v>
      </c>
      <c r="M979" s="3">
        <v>0</v>
      </c>
      <c r="N979" s="3">
        <v>0</v>
      </c>
      <c r="O979" s="4">
        <f t="shared" si="93"/>
        <v>0</v>
      </c>
      <c r="P979" s="5" t="str">
        <f t="shared" si="94"/>
        <v>No engagement</v>
      </c>
      <c r="Q979" t="b">
        <v>0</v>
      </c>
      <c r="R979" t="b">
        <v>0</v>
      </c>
      <c r="S979" t="b">
        <v>0</v>
      </c>
      <c r="T979" s="24" t="str">
        <f t="shared" si="95"/>
        <v>Text only</v>
      </c>
    </row>
    <row r="980" spans="1:20" x14ac:dyDescent="0.2">
      <c r="A980" t="s">
        <v>7239</v>
      </c>
      <c r="B980" t="s">
        <v>2365</v>
      </c>
      <c r="C980" t="s">
        <v>2366</v>
      </c>
      <c r="D980" t="s">
        <v>7240</v>
      </c>
      <c r="E980" t="s">
        <v>7241</v>
      </c>
      <c r="F980" t="str">
        <f>IF(Table2[[#This Row],[Date posted]]&lt; DATE(2015,9,18),"Before Crisis","During Crisis")</f>
        <v>Before Crisis</v>
      </c>
      <c r="G980" s="27">
        <f t="shared" si="90"/>
        <v>42175</v>
      </c>
      <c r="H980" s="7" t="str">
        <f t="shared" si="91"/>
        <v>00:51:25</v>
      </c>
      <c r="I980" s="8" t="str">
        <f t="shared" si="92"/>
        <v>Early morning</v>
      </c>
      <c r="J980" t="s">
        <v>5123</v>
      </c>
      <c r="K980" t="s">
        <v>2370</v>
      </c>
      <c r="L980" s="3">
        <v>0</v>
      </c>
      <c r="M980" s="3">
        <v>0</v>
      </c>
      <c r="N980" s="3">
        <v>0</v>
      </c>
      <c r="O980" s="4">
        <f t="shared" si="93"/>
        <v>0</v>
      </c>
      <c r="P980" s="5" t="str">
        <f t="shared" si="94"/>
        <v>No engagement</v>
      </c>
      <c r="Q980" t="b">
        <v>0</v>
      </c>
      <c r="R980" t="b">
        <v>0</v>
      </c>
      <c r="S980" t="b">
        <v>0</v>
      </c>
      <c r="T980" s="24" t="str">
        <f t="shared" si="95"/>
        <v>Text only</v>
      </c>
    </row>
    <row r="981" spans="1:20" x14ac:dyDescent="0.2">
      <c r="A981" t="s">
        <v>7236</v>
      </c>
      <c r="B981" t="s">
        <v>2365</v>
      </c>
      <c r="C981" t="s">
        <v>2366</v>
      </c>
      <c r="D981" t="s">
        <v>7237</v>
      </c>
      <c r="E981" t="s">
        <v>7238</v>
      </c>
      <c r="F981" t="str">
        <f>IF(Table2[[#This Row],[Date posted]]&lt; DATE(2015,9,18),"Before Crisis","During Crisis")</f>
        <v>Before Crisis</v>
      </c>
      <c r="G981" s="27">
        <f t="shared" si="90"/>
        <v>42175</v>
      </c>
      <c r="H981" s="7" t="str">
        <f t="shared" si="91"/>
        <v>00:58:56</v>
      </c>
      <c r="I981" s="8" t="str">
        <f t="shared" si="92"/>
        <v>Early morning</v>
      </c>
      <c r="J981" t="s">
        <v>2370</v>
      </c>
      <c r="K981" t="s">
        <v>2370</v>
      </c>
      <c r="L981" s="3">
        <v>0</v>
      </c>
      <c r="M981" s="3">
        <v>0</v>
      </c>
      <c r="N981" s="3">
        <v>0</v>
      </c>
      <c r="O981" s="4">
        <f t="shared" si="93"/>
        <v>0</v>
      </c>
      <c r="P981" s="5" t="str">
        <f t="shared" si="94"/>
        <v>No engagement</v>
      </c>
      <c r="Q981" t="b">
        <v>0</v>
      </c>
      <c r="R981" t="b">
        <v>0</v>
      </c>
      <c r="S981" t="b">
        <v>0</v>
      </c>
      <c r="T981" s="24" t="str">
        <f t="shared" si="95"/>
        <v>Text only</v>
      </c>
    </row>
    <row r="982" spans="1:20" x14ac:dyDescent="0.2">
      <c r="A982" t="s">
        <v>7232</v>
      </c>
      <c r="B982" t="s">
        <v>2365</v>
      </c>
      <c r="C982" t="s">
        <v>2366</v>
      </c>
      <c r="D982" t="s">
        <v>7233</v>
      </c>
      <c r="E982" t="s">
        <v>7234</v>
      </c>
      <c r="F982" t="str">
        <f>IF(Table2[[#This Row],[Date posted]]&lt; DATE(2015,9,18),"Before Crisis","During Crisis")</f>
        <v>Before Crisis</v>
      </c>
      <c r="G982" s="27">
        <f t="shared" si="90"/>
        <v>42175</v>
      </c>
      <c r="H982" s="7" t="str">
        <f t="shared" si="91"/>
        <v>00:58:57</v>
      </c>
      <c r="I982" s="8" t="str">
        <f t="shared" si="92"/>
        <v>Early morning</v>
      </c>
      <c r="J982" t="s">
        <v>7235</v>
      </c>
      <c r="K982" t="s">
        <v>2370</v>
      </c>
      <c r="L982" s="3">
        <v>0</v>
      </c>
      <c r="M982">
        <v>1</v>
      </c>
      <c r="N982" s="3">
        <v>0</v>
      </c>
      <c r="O982" s="4">
        <f t="shared" si="93"/>
        <v>1</v>
      </c>
      <c r="P982" s="5" t="str">
        <f t="shared" si="94"/>
        <v>Low engagement</v>
      </c>
      <c r="Q982" t="b">
        <v>0</v>
      </c>
      <c r="R982" t="b">
        <v>0</v>
      </c>
      <c r="S982" t="b">
        <v>0</v>
      </c>
      <c r="T982" s="24" t="str">
        <f t="shared" si="95"/>
        <v>Text only</v>
      </c>
    </row>
    <row r="983" spans="1:20" x14ac:dyDescent="0.2">
      <c r="A983" t="s">
        <v>7230</v>
      </c>
      <c r="B983" t="s">
        <v>2365</v>
      </c>
      <c r="C983" t="s">
        <v>2366</v>
      </c>
      <c r="D983" t="s">
        <v>7231</v>
      </c>
      <c r="E983" t="s">
        <v>7228</v>
      </c>
      <c r="F983" t="str">
        <f>IF(Table2[[#This Row],[Date posted]]&lt; DATE(2015,9,18),"Before Crisis","During Crisis")</f>
        <v>Before Crisis</v>
      </c>
      <c r="G983" s="27">
        <f t="shared" si="90"/>
        <v>42175</v>
      </c>
      <c r="H983" s="7" t="str">
        <f t="shared" si="91"/>
        <v>00:58:59</v>
      </c>
      <c r="I983" s="8" t="str">
        <f t="shared" si="92"/>
        <v>Early morning</v>
      </c>
      <c r="J983" t="s">
        <v>5609</v>
      </c>
      <c r="K983" t="s">
        <v>2370</v>
      </c>
      <c r="L983" s="3">
        <v>0</v>
      </c>
      <c r="M983">
        <v>1</v>
      </c>
      <c r="N983" s="3">
        <v>0</v>
      </c>
      <c r="O983" s="4">
        <f t="shared" si="93"/>
        <v>1</v>
      </c>
      <c r="P983" s="5" t="str">
        <f t="shared" si="94"/>
        <v>Low engagement</v>
      </c>
      <c r="Q983" t="b">
        <v>0</v>
      </c>
      <c r="R983" t="b">
        <v>0</v>
      </c>
      <c r="S983" t="b">
        <v>1</v>
      </c>
      <c r="T983" s="24" t="str">
        <f t="shared" si="95"/>
        <v>Link</v>
      </c>
    </row>
    <row r="984" spans="1:20" hidden="1" x14ac:dyDescent="0.2">
      <c r="A984" t="s">
        <v>7144</v>
      </c>
      <c r="B984" t="s">
        <v>2365</v>
      </c>
      <c r="C984" t="s">
        <v>2366</v>
      </c>
      <c r="D984" t="s">
        <v>7145</v>
      </c>
      <c r="E984" t="s">
        <v>7146</v>
      </c>
      <c r="F984" t="str">
        <f>IF(Table2[[#This Row],[Date posted]]&lt; DATE(2015,9,18),"Before Crisis","During Crisis")</f>
        <v>Before Crisis</v>
      </c>
      <c r="G984" s="27">
        <f t="shared" si="90"/>
        <v>42177</v>
      </c>
      <c r="H984" s="7" t="str">
        <f t="shared" si="91"/>
        <v>17:53:44</v>
      </c>
      <c r="I984" s="8" t="str">
        <f t="shared" si="92"/>
        <v>Afternoon</v>
      </c>
      <c r="J984" t="s">
        <v>2370</v>
      </c>
      <c r="K984" t="s">
        <v>2370</v>
      </c>
      <c r="L984" s="3">
        <v>0</v>
      </c>
      <c r="M984" s="3">
        <v>0</v>
      </c>
      <c r="N984" s="3">
        <v>0</v>
      </c>
      <c r="O984" s="4">
        <f t="shared" si="93"/>
        <v>0</v>
      </c>
      <c r="P984" s="5" t="str">
        <f t="shared" si="94"/>
        <v>No engagement</v>
      </c>
      <c r="Q984" t="b">
        <v>0</v>
      </c>
      <c r="R984" t="b">
        <v>0</v>
      </c>
      <c r="S984" t="b">
        <v>0</v>
      </c>
      <c r="T984" s="24" t="str">
        <f t="shared" si="95"/>
        <v>Text only</v>
      </c>
    </row>
    <row r="985" spans="1:20" hidden="1" x14ac:dyDescent="0.2">
      <c r="A985" t="s">
        <v>7139</v>
      </c>
      <c r="B985" t="s">
        <v>2365</v>
      </c>
      <c r="C985" t="s">
        <v>2366</v>
      </c>
      <c r="D985" t="s">
        <v>7140</v>
      </c>
      <c r="E985" t="s">
        <v>7141</v>
      </c>
      <c r="F985" t="str">
        <f>IF(Table2[[#This Row],[Date posted]]&lt; DATE(2015,9,18),"Before Crisis","During Crisis")</f>
        <v>Before Crisis</v>
      </c>
      <c r="G985" s="27">
        <f t="shared" si="90"/>
        <v>42177</v>
      </c>
      <c r="H985" s="7" t="str">
        <f t="shared" si="91"/>
        <v>18:00:25</v>
      </c>
      <c r="I985" s="8" t="str">
        <f t="shared" si="92"/>
        <v>Evening</v>
      </c>
      <c r="J985" t="s">
        <v>2370</v>
      </c>
      <c r="K985" t="s">
        <v>2370</v>
      </c>
      <c r="L985" s="3">
        <v>0</v>
      </c>
      <c r="M985" s="3">
        <v>0</v>
      </c>
      <c r="N985" s="3">
        <v>0</v>
      </c>
      <c r="O985" s="4">
        <f t="shared" si="93"/>
        <v>0</v>
      </c>
      <c r="P985" s="5" t="str">
        <f t="shared" si="94"/>
        <v>No engagement</v>
      </c>
      <c r="Q985" t="b">
        <v>0</v>
      </c>
      <c r="R985" t="b">
        <v>0</v>
      </c>
      <c r="S985" t="b">
        <v>0</v>
      </c>
      <c r="T985" s="24" t="str">
        <f t="shared" si="95"/>
        <v>Text only</v>
      </c>
    </row>
    <row r="986" spans="1:20" hidden="1" x14ac:dyDescent="0.2">
      <c r="A986" t="s">
        <v>7142</v>
      </c>
      <c r="B986" t="s">
        <v>2365</v>
      </c>
      <c r="C986" t="s">
        <v>2366</v>
      </c>
      <c r="D986" t="s">
        <v>7143</v>
      </c>
      <c r="E986" t="s">
        <v>7141</v>
      </c>
      <c r="F986" t="str">
        <f>IF(Table2[[#This Row],[Date posted]]&lt; DATE(2015,9,18),"Before Crisis","During Crisis")</f>
        <v>Before Crisis</v>
      </c>
      <c r="G986" s="27">
        <f t="shared" si="90"/>
        <v>42177</v>
      </c>
      <c r="H986" s="7" t="str">
        <f t="shared" si="91"/>
        <v>18:00:25</v>
      </c>
      <c r="I986" s="8" t="str">
        <f t="shared" si="92"/>
        <v>Evening</v>
      </c>
      <c r="J986" t="s">
        <v>2370</v>
      </c>
      <c r="K986" t="s">
        <v>2370</v>
      </c>
      <c r="L986">
        <v>1</v>
      </c>
      <c r="M986" s="3">
        <v>0</v>
      </c>
      <c r="N986" s="3">
        <v>0</v>
      </c>
      <c r="O986" s="4">
        <f t="shared" si="93"/>
        <v>1</v>
      </c>
      <c r="P986" s="5" t="str">
        <f t="shared" si="94"/>
        <v>Low engagement</v>
      </c>
      <c r="Q986" t="b">
        <v>0</v>
      </c>
      <c r="R986" t="b">
        <v>0</v>
      </c>
      <c r="S986" t="b">
        <v>0</v>
      </c>
      <c r="T986" s="24" t="str">
        <f t="shared" si="95"/>
        <v>Text only</v>
      </c>
    </row>
    <row r="987" spans="1:20" hidden="1" x14ac:dyDescent="0.2">
      <c r="A987" t="s">
        <v>7132</v>
      </c>
      <c r="B987" t="s">
        <v>2365</v>
      </c>
      <c r="C987" t="s">
        <v>2366</v>
      </c>
      <c r="D987" t="s">
        <v>7133</v>
      </c>
      <c r="E987" t="s">
        <v>7134</v>
      </c>
      <c r="F987" t="str">
        <f>IF(Table2[[#This Row],[Date posted]]&lt; DATE(2015,9,18),"Before Crisis","During Crisis")</f>
        <v>Before Crisis</v>
      </c>
      <c r="G987" s="27">
        <f t="shared" si="90"/>
        <v>42177</v>
      </c>
      <c r="H987" s="7" t="str">
        <f t="shared" si="91"/>
        <v>18:00:26</v>
      </c>
      <c r="I987" s="8" t="str">
        <f t="shared" si="92"/>
        <v>Evening</v>
      </c>
      <c r="J987" t="s">
        <v>7135</v>
      </c>
      <c r="K987" t="s">
        <v>2370</v>
      </c>
      <c r="L987" s="3">
        <v>0</v>
      </c>
      <c r="M987">
        <v>1</v>
      </c>
      <c r="N987" s="3">
        <v>0</v>
      </c>
      <c r="O987" s="4">
        <f t="shared" si="93"/>
        <v>1</v>
      </c>
      <c r="P987" s="5" t="str">
        <f t="shared" si="94"/>
        <v>Low engagement</v>
      </c>
      <c r="Q987" t="b">
        <v>0</v>
      </c>
      <c r="R987" t="b">
        <v>0</v>
      </c>
      <c r="S987" t="b">
        <v>0</v>
      </c>
      <c r="T987" s="24" t="str">
        <f t="shared" si="95"/>
        <v>Text only</v>
      </c>
    </row>
    <row r="988" spans="1:20" hidden="1" x14ac:dyDescent="0.2">
      <c r="A988" t="s">
        <v>7136</v>
      </c>
      <c r="B988" t="s">
        <v>2365</v>
      </c>
      <c r="C988" t="s">
        <v>2366</v>
      </c>
      <c r="D988" t="s">
        <v>7137</v>
      </c>
      <c r="E988" t="s">
        <v>7134</v>
      </c>
      <c r="F988" t="str">
        <f>IF(Table2[[#This Row],[Date posted]]&lt; DATE(2015,9,18),"Before Crisis","During Crisis")</f>
        <v>Before Crisis</v>
      </c>
      <c r="G988" s="27">
        <f t="shared" si="90"/>
        <v>42177</v>
      </c>
      <c r="H988" s="7" t="str">
        <f t="shared" si="91"/>
        <v>18:00:26</v>
      </c>
      <c r="I988" s="8" t="str">
        <f t="shared" si="92"/>
        <v>Evening</v>
      </c>
      <c r="J988" t="s">
        <v>7138</v>
      </c>
      <c r="K988" t="s">
        <v>2370</v>
      </c>
      <c r="L988" s="3">
        <v>0</v>
      </c>
      <c r="M988" s="3">
        <v>0</v>
      </c>
      <c r="N988" s="3">
        <v>0</v>
      </c>
      <c r="O988" s="4">
        <f t="shared" si="93"/>
        <v>0</v>
      </c>
      <c r="P988" s="5" t="str">
        <f t="shared" si="94"/>
        <v>No engagement</v>
      </c>
      <c r="Q988" t="b">
        <v>0</v>
      </c>
      <c r="R988" t="b">
        <v>0</v>
      </c>
      <c r="S988" t="b">
        <v>1</v>
      </c>
      <c r="T988" s="24" t="str">
        <f t="shared" si="95"/>
        <v>Link</v>
      </c>
    </row>
    <row r="989" spans="1:20" hidden="1" x14ac:dyDescent="0.2">
      <c r="A989" t="s">
        <v>7128</v>
      </c>
      <c r="B989" t="s">
        <v>2365</v>
      </c>
      <c r="C989" t="s">
        <v>2366</v>
      </c>
      <c r="D989" t="s">
        <v>7129</v>
      </c>
      <c r="E989" t="s">
        <v>7130</v>
      </c>
      <c r="F989" t="str">
        <f>IF(Table2[[#This Row],[Date posted]]&lt; DATE(2015,9,18),"Before Crisis","During Crisis")</f>
        <v>Before Crisis</v>
      </c>
      <c r="G989" s="27">
        <f t="shared" si="90"/>
        <v>42177</v>
      </c>
      <c r="H989" s="7" t="str">
        <f t="shared" si="91"/>
        <v>18:00:27</v>
      </c>
      <c r="I989" s="8" t="str">
        <f t="shared" si="92"/>
        <v>Evening</v>
      </c>
      <c r="J989" t="s">
        <v>7131</v>
      </c>
      <c r="K989" t="s">
        <v>2370</v>
      </c>
      <c r="L989" s="3">
        <v>0</v>
      </c>
      <c r="M989" s="3">
        <v>0</v>
      </c>
      <c r="N989" s="3">
        <v>0</v>
      </c>
      <c r="O989" s="4">
        <f t="shared" si="93"/>
        <v>0</v>
      </c>
      <c r="P989" s="5" t="str">
        <f t="shared" si="94"/>
        <v>No engagement</v>
      </c>
      <c r="Q989" t="b">
        <v>0</v>
      </c>
      <c r="R989" t="b">
        <v>0</v>
      </c>
      <c r="S989" t="b">
        <v>0</v>
      </c>
      <c r="T989" s="24" t="str">
        <f t="shared" si="95"/>
        <v>Text only</v>
      </c>
    </row>
    <row r="990" spans="1:20" hidden="1" x14ac:dyDescent="0.2">
      <c r="A990" t="s">
        <v>7124</v>
      </c>
      <c r="B990" t="s">
        <v>2365</v>
      </c>
      <c r="C990" t="s">
        <v>2366</v>
      </c>
      <c r="D990" t="s">
        <v>7125</v>
      </c>
      <c r="E990" t="s">
        <v>7126</v>
      </c>
      <c r="F990" t="str">
        <f>IF(Table2[[#This Row],[Date posted]]&lt; DATE(2015,9,18),"Before Crisis","During Crisis")</f>
        <v>Before Crisis</v>
      </c>
      <c r="G990" s="27">
        <f t="shared" si="90"/>
        <v>42177</v>
      </c>
      <c r="H990" s="7" t="str">
        <f t="shared" si="91"/>
        <v>18:53:20</v>
      </c>
      <c r="I990" s="8" t="str">
        <f t="shared" si="92"/>
        <v>Evening</v>
      </c>
      <c r="J990" t="s">
        <v>7127</v>
      </c>
      <c r="K990" t="s">
        <v>2370</v>
      </c>
      <c r="L990" s="3">
        <v>0</v>
      </c>
      <c r="M990" s="3">
        <v>0</v>
      </c>
      <c r="N990" s="3">
        <v>0</v>
      </c>
      <c r="O990" s="4">
        <f t="shared" si="93"/>
        <v>0</v>
      </c>
      <c r="P990" s="5" t="str">
        <f t="shared" si="94"/>
        <v>No engagement</v>
      </c>
      <c r="Q990" t="b">
        <v>0</v>
      </c>
      <c r="R990" t="b">
        <v>0</v>
      </c>
      <c r="S990" t="b">
        <v>0</v>
      </c>
      <c r="T990" s="24" t="str">
        <f t="shared" si="95"/>
        <v>Text only</v>
      </c>
    </row>
    <row r="991" spans="1:20" hidden="1" x14ac:dyDescent="0.2">
      <c r="A991" t="s">
        <v>7121</v>
      </c>
      <c r="B991" t="s">
        <v>2365</v>
      </c>
      <c r="C991" t="s">
        <v>2366</v>
      </c>
      <c r="D991" t="s">
        <v>7122</v>
      </c>
      <c r="E991" t="s">
        <v>7123</v>
      </c>
      <c r="F991" t="str">
        <f>IF(Table2[[#This Row],[Date posted]]&lt; DATE(2015,9,18),"Before Crisis","During Crisis")</f>
        <v>Before Crisis</v>
      </c>
      <c r="G991" s="27">
        <f t="shared" si="90"/>
        <v>42177</v>
      </c>
      <c r="H991" s="7" t="str">
        <f t="shared" si="91"/>
        <v>19:28:27</v>
      </c>
      <c r="I991" s="8" t="str">
        <f t="shared" si="92"/>
        <v>Evening</v>
      </c>
      <c r="J991" t="s">
        <v>2370</v>
      </c>
      <c r="K991" t="s">
        <v>2370</v>
      </c>
      <c r="L991" s="3">
        <v>0</v>
      </c>
      <c r="M991" s="3">
        <v>0</v>
      </c>
      <c r="N991" s="3">
        <v>0</v>
      </c>
      <c r="O991" s="4">
        <f t="shared" si="93"/>
        <v>0</v>
      </c>
      <c r="P991" s="5" t="str">
        <f t="shared" si="94"/>
        <v>No engagement</v>
      </c>
      <c r="Q991" t="b">
        <v>0</v>
      </c>
      <c r="R991" t="b">
        <v>0</v>
      </c>
      <c r="S991" t="b">
        <v>0</v>
      </c>
      <c r="T991" s="24" t="str">
        <f t="shared" si="95"/>
        <v>Text only</v>
      </c>
    </row>
    <row r="992" spans="1:20" hidden="1" x14ac:dyDescent="0.2">
      <c r="A992" t="s">
        <v>7000</v>
      </c>
      <c r="B992" t="s">
        <v>2365</v>
      </c>
      <c r="C992" t="s">
        <v>2366</v>
      </c>
      <c r="D992" t="s">
        <v>7001</v>
      </c>
      <c r="E992" t="s">
        <v>7002</v>
      </c>
      <c r="F992" t="str">
        <f>IF(Table2[[#This Row],[Date posted]]&lt; DATE(2015,9,18),"Before Crisis","During Crisis")</f>
        <v>Before Crisis</v>
      </c>
      <c r="G992" s="27">
        <f t="shared" si="90"/>
        <v>42183</v>
      </c>
      <c r="H992" s="7" t="str">
        <f t="shared" si="91"/>
        <v>23:34:49</v>
      </c>
      <c r="I992" s="8" t="str">
        <f t="shared" si="92"/>
        <v>Evening</v>
      </c>
      <c r="J992" t="s">
        <v>7003</v>
      </c>
      <c r="K992" t="s">
        <v>2370</v>
      </c>
      <c r="L992" s="3">
        <v>0</v>
      </c>
      <c r="M992" s="3">
        <v>0</v>
      </c>
      <c r="N992" s="3">
        <v>0</v>
      </c>
      <c r="O992" s="4">
        <f t="shared" si="93"/>
        <v>0</v>
      </c>
      <c r="P992" s="5" t="str">
        <f t="shared" si="94"/>
        <v>No engagement</v>
      </c>
      <c r="Q992" t="b">
        <v>0</v>
      </c>
      <c r="R992" t="b">
        <v>0</v>
      </c>
      <c r="S992" t="b">
        <v>0</v>
      </c>
      <c r="T992" s="24" t="str">
        <f t="shared" si="95"/>
        <v>Text only</v>
      </c>
    </row>
    <row r="993" spans="1:20" hidden="1" x14ac:dyDescent="0.2">
      <c r="A993" t="s">
        <v>6997</v>
      </c>
      <c r="B993" t="s">
        <v>2365</v>
      </c>
      <c r="C993" t="s">
        <v>2366</v>
      </c>
      <c r="D993" t="s">
        <v>6998</v>
      </c>
      <c r="E993" t="s">
        <v>6999</v>
      </c>
      <c r="F993" t="str">
        <f>IF(Table2[[#This Row],[Date posted]]&lt; DATE(2015,9,18),"Before Crisis","During Crisis")</f>
        <v>Before Crisis</v>
      </c>
      <c r="G993" s="27">
        <f t="shared" si="90"/>
        <v>42184</v>
      </c>
      <c r="H993" s="7" t="str">
        <f t="shared" si="91"/>
        <v>15:02:17</v>
      </c>
      <c r="I993" s="8" t="str">
        <f t="shared" si="92"/>
        <v>Afternoon</v>
      </c>
      <c r="J993" t="s">
        <v>6765</v>
      </c>
      <c r="K993" t="s">
        <v>2370</v>
      </c>
      <c r="L993" s="3">
        <v>0</v>
      </c>
      <c r="M993">
        <v>1</v>
      </c>
      <c r="N993" s="3">
        <v>0</v>
      </c>
      <c r="O993" s="4">
        <f t="shared" si="93"/>
        <v>1</v>
      </c>
      <c r="P993" s="5" t="str">
        <f t="shared" si="94"/>
        <v>Low engagement</v>
      </c>
      <c r="Q993" t="b">
        <v>0</v>
      </c>
      <c r="R993" t="b">
        <v>0</v>
      </c>
      <c r="S993" t="b">
        <v>0</v>
      </c>
      <c r="T993" s="24" t="str">
        <f t="shared" si="95"/>
        <v>Text only</v>
      </c>
    </row>
    <row r="994" spans="1:20" hidden="1" x14ac:dyDescent="0.2">
      <c r="A994" t="s">
        <v>6992</v>
      </c>
      <c r="B994" t="s">
        <v>2365</v>
      </c>
      <c r="C994" t="s">
        <v>2366</v>
      </c>
      <c r="D994" t="s">
        <v>6993</v>
      </c>
      <c r="E994" t="s">
        <v>6994</v>
      </c>
      <c r="F994" t="str">
        <f>IF(Table2[[#This Row],[Date posted]]&lt; DATE(2015,9,18),"Before Crisis","During Crisis")</f>
        <v>Before Crisis</v>
      </c>
      <c r="G994" s="27">
        <f t="shared" si="90"/>
        <v>42184</v>
      </c>
      <c r="H994" s="7" t="str">
        <f t="shared" si="91"/>
        <v>15:02:18</v>
      </c>
      <c r="I994" s="8" t="str">
        <f t="shared" si="92"/>
        <v>Afternoon</v>
      </c>
      <c r="J994" t="s">
        <v>2370</v>
      </c>
      <c r="K994" t="s">
        <v>2370</v>
      </c>
      <c r="L994" s="3">
        <v>0</v>
      </c>
      <c r="M994" s="3">
        <v>0</v>
      </c>
      <c r="N994" s="3">
        <v>0</v>
      </c>
      <c r="O994" s="4">
        <f t="shared" si="93"/>
        <v>0</v>
      </c>
      <c r="P994" s="5" t="str">
        <f t="shared" si="94"/>
        <v>No engagement</v>
      </c>
      <c r="Q994" t="b">
        <v>0</v>
      </c>
      <c r="R994" t="b">
        <v>0</v>
      </c>
      <c r="S994" t="b">
        <v>0</v>
      </c>
      <c r="T994" s="24" t="str">
        <f t="shared" si="95"/>
        <v>Text only</v>
      </c>
    </row>
    <row r="995" spans="1:20" hidden="1" x14ac:dyDescent="0.2">
      <c r="A995" t="s">
        <v>6995</v>
      </c>
      <c r="B995" t="s">
        <v>2365</v>
      </c>
      <c r="C995" t="s">
        <v>2366</v>
      </c>
      <c r="D995" t="s">
        <v>6996</v>
      </c>
      <c r="E995" t="s">
        <v>6994</v>
      </c>
      <c r="F995" t="str">
        <f>IF(Table2[[#This Row],[Date posted]]&lt; DATE(2015,9,18),"Before Crisis","During Crisis")</f>
        <v>Before Crisis</v>
      </c>
      <c r="G995" s="27">
        <f t="shared" si="90"/>
        <v>42184</v>
      </c>
      <c r="H995" s="7" t="str">
        <f t="shared" si="91"/>
        <v>15:02:18</v>
      </c>
      <c r="I995" s="8" t="str">
        <f t="shared" si="92"/>
        <v>Afternoon</v>
      </c>
      <c r="J995" t="s">
        <v>6765</v>
      </c>
      <c r="K995" t="s">
        <v>2370</v>
      </c>
      <c r="L995" s="3">
        <v>0</v>
      </c>
      <c r="M995" s="3">
        <v>0</v>
      </c>
      <c r="N995" s="3">
        <v>0</v>
      </c>
      <c r="O995" s="4">
        <f t="shared" si="93"/>
        <v>0</v>
      </c>
      <c r="P995" s="5" t="str">
        <f t="shared" si="94"/>
        <v>No engagement</v>
      </c>
      <c r="Q995" t="b">
        <v>0</v>
      </c>
      <c r="R995" t="b">
        <v>0</v>
      </c>
      <c r="S995" t="b">
        <v>1</v>
      </c>
      <c r="T995" s="24" t="str">
        <f t="shared" si="95"/>
        <v>Link</v>
      </c>
    </row>
    <row r="996" spans="1:20" hidden="1" x14ac:dyDescent="0.2">
      <c r="A996" t="s">
        <v>6989</v>
      </c>
      <c r="B996" t="s">
        <v>2365</v>
      </c>
      <c r="C996" t="s">
        <v>2366</v>
      </c>
      <c r="D996" t="s">
        <v>6990</v>
      </c>
      <c r="E996" t="s">
        <v>6991</v>
      </c>
      <c r="F996" t="str">
        <f>IF(Table2[[#This Row],[Date posted]]&lt; DATE(2015,9,18),"Before Crisis","During Crisis")</f>
        <v>Before Crisis</v>
      </c>
      <c r="G996" s="27">
        <f t="shared" si="90"/>
        <v>42184</v>
      </c>
      <c r="H996" s="7" t="str">
        <f t="shared" si="91"/>
        <v>15:02:19</v>
      </c>
      <c r="I996" s="8" t="str">
        <f t="shared" si="92"/>
        <v>Afternoon</v>
      </c>
      <c r="J996" t="s">
        <v>2370</v>
      </c>
      <c r="K996" t="s">
        <v>2370</v>
      </c>
      <c r="L996" s="3">
        <v>0</v>
      </c>
      <c r="M996" s="3">
        <v>0</v>
      </c>
      <c r="N996" s="3">
        <v>0</v>
      </c>
      <c r="O996" s="4">
        <f t="shared" si="93"/>
        <v>0</v>
      </c>
      <c r="P996" s="5" t="str">
        <f t="shared" si="94"/>
        <v>No engagement</v>
      </c>
      <c r="Q996" t="b">
        <v>0</v>
      </c>
      <c r="R996" t="b">
        <v>0</v>
      </c>
      <c r="S996" t="b">
        <v>0</v>
      </c>
      <c r="T996" s="24" t="str">
        <f t="shared" si="95"/>
        <v>Text only</v>
      </c>
    </row>
    <row r="997" spans="1:20" hidden="1" x14ac:dyDescent="0.2">
      <c r="A997" t="s">
        <v>6972</v>
      </c>
      <c r="B997" t="s">
        <v>2365</v>
      </c>
      <c r="C997" t="s">
        <v>2366</v>
      </c>
      <c r="D997" t="s">
        <v>6973</v>
      </c>
      <c r="E997" t="s">
        <v>6974</v>
      </c>
      <c r="F997" t="str">
        <f>IF(Table2[[#This Row],[Date posted]]&lt; DATE(2015,9,18),"Before Crisis","During Crisis")</f>
        <v>Before Crisis</v>
      </c>
      <c r="G997" s="27">
        <f t="shared" si="90"/>
        <v>42185</v>
      </c>
      <c r="H997" s="7" t="str">
        <f t="shared" si="91"/>
        <v>13:32:33</v>
      </c>
      <c r="I997" s="8" t="str">
        <f t="shared" si="92"/>
        <v>Mid-day</v>
      </c>
      <c r="J997" t="s">
        <v>6971</v>
      </c>
      <c r="K997" t="s">
        <v>2370</v>
      </c>
      <c r="L997" s="3">
        <v>0</v>
      </c>
      <c r="M997" s="3">
        <v>0</v>
      </c>
      <c r="N997" s="3">
        <v>0</v>
      </c>
      <c r="O997" s="4">
        <f t="shared" si="93"/>
        <v>0</v>
      </c>
      <c r="P997" s="5" t="str">
        <f t="shared" si="94"/>
        <v>No engagement</v>
      </c>
      <c r="Q997" t="b">
        <v>0</v>
      </c>
      <c r="R997" t="b">
        <v>0</v>
      </c>
      <c r="S997" t="b">
        <v>0</v>
      </c>
      <c r="T997" s="24" t="str">
        <f t="shared" si="95"/>
        <v>Text only</v>
      </c>
    </row>
    <row r="998" spans="1:20" hidden="1" x14ac:dyDescent="0.2">
      <c r="A998" t="s">
        <v>6968</v>
      </c>
      <c r="B998" t="s">
        <v>2365</v>
      </c>
      <c r="C998" t="s">
        <v>2366</v>
      </c>
      <c r="D998" t="s">
        <v>6969</v>
      </c>
      <c r="E998" t="s">
        <v>6970</v>
      </c>
      <c r="F998" t="str">
        <f>IF(Table2[[#This Row],[Date posted]]&lt; DATE(2015,9,18),"Before Crisis","During Crisis")</f>
        <v>Before Crisis</v>
      </c>
      <c r="G998" s="27">
        <f t="shared" si="90"/>
        <v>42185</v>
      </c>
      <c r="H998" s="7" t="str">
        <f t="shared" si="91"/>
        <v>13:32:34</v>
      </c>
      <c r="I998" s="8" t="str">
        <f t="shared" si="92"/>
        <v>Mid-day</v>
      </c>
      <c r="J998" t="s">
        <v>6971</v>
      </c>
      <c r="K998" t="s">
        <v>2370</v>
      </c>
      <c r="L998" s="3">
        <v>0</v>
      </c>
      <c r="M998" s="3">
        <v>0</v>
      </c>
      <c r="N998" s="3">
        <v>0</v>
      </c>
      <c r="O998" s="4">
        <f t="shared" si="93"/>
        <v>0</v>
      </c>
      <c r="P998" s="5" t="str">
        <f t="shared" si="94"/>
        <v>No engagement</v>
      </c>
      <c r="Q998" t="b">
        <v>0</v>
      </c>
      <c r="R998" t="b">
        <v>0</v>
      </c>
      <c r="S998" t="b">
        <v>0</v>
      </c>
      <c r="T998" s="24" t="str">
        <f t="shared" si="95"/>
        <v>Text only</v>
      </c>
    </row>
    <row r="999" spans="1:20" hidden="1" x14ac:dyDescent="0.2">
      <c r="A999" t="s">
        <v>6965</v>
      </c>
      <c r="B999" t="s">
        <v>2365</v>
      </c>
      <c r="C999" t="s">
        <v>2366</v>
      </c>
      <c r="D999" t="s">
        <v>6966</v>
      </c>
      <c r="E999" t="s">
        <v>6967</v>
      </c>
      <c r="F999" t="str">
        <f>IF(Table2[[#This Row],[Date posted]]&lt; DATE(2015,9,18),"Before Crisis","During Crisis")</f>
        <v>Before Crisis</v>
      </c>
      <c r="G999" s="27">
        <f t="shared" si="90"/>
        <v>42185</v>
      </c>
      <c r="H999" s="7" t="str">
        <f t="shared" si="91"/>
        <v>13:42:15</v>
      </c>
      <c r="I999" s="8" t="str">
        <f t="shared" si="92"/>
        <v>Mid-day</v>
      </c>
      <c r="J999" t="s">
        <v>6964</v>
      </c>
      <c r="K999" t="s">
        <v>2370</v>
      </c>
      <c r="L999" s="3">
        <v>0</v>
      </c>
      <c r="M999" s="3">
        <v>0</v>
      </c>
      <c r="N999" s="3">
        <v>0</v>
      </c>
      <c r="O999" s="4">
        <f t="shared" si="93"/>
        <v>0</v>
      </c>
      <c r="P999" s="5" t="str">
        <f t="shared" si="94"/>
        <v>No engagement</v>
      </c>
      <c r="Q999" t="b">
        <v>0</v>
      </c>
      <c r="R999" t="b">
        <v>0</v>
      </c>
      <c r="S999" t="b">
        <v>0</v>
      </c>
      <c r="T999" s="24" t="str">
        <f t="shared" si="95"/>
        <v>Text only</v>
      </c>
    </row>
    <row r="1000" spans="1:20" hidden="1" x14ac:dyDescent="0.2">
      <c r="A1000" t="s">
        <v>6958</v>
      </c>
      <c r="B1000" t="s">
        <v>2365</v>
      </c>
      <c r="C1000" t="s">
        <v>2366</v>
      </c>
      <c r="D1000" t="s">
        <v>6959</v>
      </c>
      <c r="E1000" t="s">
        <v>6960</v>
      </c>
      <c r="F1000" t="str">
        <f>IF(Table2[[#This Row],[Date posted]]&lt; DATE(2015,9,18),"Before Crisis","During Crisis")</f>
        <v>Before Crisis</v>
      </c>
      <c r="G1000" s="27">
        <f t="shared" si="90"/>
        <v>42185</v>
      </c>
      <c r="H1000" s="7" t="str">
        <f t="shared" si="91"/>
        <v>13:42:16</v>
      </c>
      <c r="I1000" s="8" t="str">
        <f t="shared" si="92"/>
        <v>Mid-day</v>
      </c>
      <c r="J1000" t="s">
        <v>6961</v>
      </c>
      <c r="K1000" t="s">
        <v>2370</v>
      </c>
      <c r="L1000" s="3">
        <v>0</v>
      </c>
      <c r="M1000">
        <v>1</v>
      </c>
      <c r="N1000" s="3">
        <v>0</v>
      </c>
      <c r="O1000" s="4">
        <f t="shared" si="93"/>
        <v>1</v>
      </c>
      <c r="P1000" s="5" t="str">
        <f t="shared" si="94"/>
        <v>Low engagement</v>
      </c>
      <c r="Q1000" t="b">
        <v>0</v>
      </c>
      <c r="R1000" t="b">
        <v>0</v>
      </c>
      <c r="S1000" t="b">
        <v>0</v>
      </c>
      <c r="T1000" s="24" t="str">
        <f t="shared" si="95"/>
        <v>Text only</v>
      </c>
    </row>
    <row r="1001" spans="1:20" hidden="1" x14ac:dyDescent="0.2">
      <c r="A1001" t="s">
        <v>6962</v>
      </c>
      <c r="B1001" t="s">
        <v>2365</v>
      </c>
      <c r="C1001" t="s">
        <v>2366</v>
      </c>
      <c r="D1001" t="s">
        <v>6963</v>
      </c>
      <c r="E1001" t="s">
        <v>6960</v>
      </c>
      <c r="F1001" t="str">
        <f>IF(Table2[[#This Row],[Date posted]]&lt; DATE(2015,9,18),"Before Crisis","During Crisis")</f>
        <v>Before Crisis</v>
      </c>
      <c r="G1001" s="27">
        <f t="shared" si="90"/>
        <v>42185</v>
      </c>
      <c r="H1001" s="7" t="str">
        <f t="shared" si="91"/>
        <v>13:42:16</v>
      </c>
      <c r="I1001" s="8" t="str">
        <f t="shared" si="92"/>
        <v>Mid-day</v>
      </c>
      <c r="J1001" t="s">
        <v>6964</v>
      </c>
      <c r="K1001" t="s">
        <v>2370</v>
      </c>
      <c r="L1001" s="3">
        <v>0</v>
      </c>
      <c r="M1001" s="3">
        <v>0</v>
      </c>
      <c r="N1001" s="3">
        <v>0</v>
      </c>
      <c r="O1001" s="4">
        <f t="shared" si="93"/>
        <v>0</v>
      </c>
      <c r="P1001" s="5" t="str">
        <f t="shared" si="94"/>
        <v>No engagement</v>
      </c>
      <c r="Q1001" t="b">
        <v>0</v>
      </c>
      <c r="R1001" t="b">
        <v>0</v>
      </c>
      <c r="S1001" t="b">
        <v>0</v>
      </c>
      <c r="T1001" s="24" t="str">
        <f t="shared" si="95"/>
        <v>Text only</v>
      </c>
    </row>
    <row r="1002" spans="1:20" hidden="1" x14ac:dyDescent="0.2">
      <c r="A1002" t="s">
        <v>6955</v>
      </c>
      <c r="B1002" t="s">
        <v>2365</v>
      </c>
      <c r="C1002" t="s">
        <v>2366</v>
      </c>
      <c r="D1002" t="s">
        <v>6956</v>
      </c>
      <c r="E1002" t="s">
        <v>6957</v>
      </c>
      <c r="F1002" t="str">
        <f>IF(Table2[[#This Row],[Date posted]]&lt; DATE(2015,9,18),"Before Crisis","During Crisis")</f>
        <v>Before Crisis</v>
      </c>
      <c r="G1002" s="27">
        <f t="shared" si="90"/>
        <v>42185</v>
      </c>
      <c r="H1002" s="7" t="str">
        <f t="shared" si="91"/>
        <v>13:42:17</v>
      </c>
      <c r="I1002" s="8" t="str">
        <f t="shared" si="92"/>
        <v>Mid-day</v>
      </c>
      <c r="J1002" t="s">
        <v>6930</v>
      </c>
      <c r="K1002" t="s">
        <v>2370</v>
      </c>
      <c r="L1002" s="3">
        <v>0</v>
      </c>
      <c r="M1002" s="3">
        <v>0</v>
      </c>
      <c r="N1002" s="3">
        <v>0</v>
      </c>
      <c r="O1002" s="4">
        <f t="shared" si="93"/>
        <v>0</v>
      </c>
      <c r="P1002" s="5" t="str">
        <f t="shared" si="94"/>
        <v>No engagement</v>
      </c>
      <c r="Q1002" t="b">
        <v>0</v>
      </c>
      <c r="R1002" t="b">
        <v>0</v>
      </c>
      <c r="S1002" t="b">
        <v>0</v>
      </c>
      <c r="T1002" s="24" t="str">
        <f t="shared" si="95"/>
        <v>Text only</v>
      </c>
    </row>
    <row r="1003" spans="1:20" hidden="1" x14ac:dyDescent="0.2">
      <c r="A1003" t="s">
        <v>6952</v>
      </c>
      <c r="B1003" t="s">
        <v>2365</v>
      </c>
      <c r="C1003" t="s">
        <v>2366</v>
      </c>
      <c r="D1003" t="s">
        <v>6953</v>
      </c>
      <c r="E1003" t="s">
        <v>6954</v>
      </c>
      <c r="F1003" t="str">
        <f>IF(Table2[[#This Row],[Date posted]]&lt; DATE(2015,9,18),"Before Crisis","During Crisis")</f>
        <v>Before Crisis</v>
      </c>
      <c r="G1003" s="27">
        <f t="shared" si="90"/>
        <v>42185</v>
      </c>
      <c r="H1003" s="7" t="str">
        <f t="shared" si="91"/>
        <v>14:26:22</v>
      </c>
      <c r="I1003" s="8" t="str">
        <f t="shared" si="92"/>
        <v>Afternoon</v>
      </c>
      <c r="J1003" t="s">
        <v>2370</v>
      </c>
      <c r="K1003" t="s">
        <v>2370</v>
      </c>
      <c r="L1003" s="3">
        <v>0</v>
      </c>
      <c r="M1003" s="3">
        <v>0</v>
      </c>
      <c r="N1003" s="3">
        <v>0</v>
      </c>
      <c r="O1003" s="4">
        <f t="shared" si="93"/>
        <v>0</v>
      </c>
      <c r="P1003" s="5" t="str">
        <f t="shared" si="94"/>
        <v>No engagement</v>
      </c>
      <c r="Q1003" t="b">
        <v>0</v>
      </c>
      <c r="R1003" t="b">
        <v>0</v>
      </c>
      <c r="S1003" t="b">
        <v>0</v>
      </c>
      <c r="T1003" s="24" t="str">
        <f t="shared" si="95"/>
        <v>Text only</v>
      </c>
    </row>
    <row r="1004" spans="1:20" hidden="1" x14ac:dyDescent="0.2">
      <c r="A1004" t="s">
        <v>6949</v>
      </c>
      <c r="B1004" t="s">
        <v>2365</v>
      </c>
      <c r="C1004" t="s">
        <v>2366</v>
      </c>
      <c r="D1004" t="s">
        <v>6950</v>
      </c>
      <c r="E1004" t="s">
        <v>6951</v>
      </c>
      <c r="F1004" t="str">
        <f>IF(Table2[[#This Row],[Date posted]]&lt; DATE(2015,9,18),"Before Crisis","During Crisis")</f>
        <v>Before Crisis</v>
      </c>
      <c r="G1004" s="27">
        <f t="shared" si="90"/>
        <v>42185</v>
      </c>
      <c r="H1004" s="7" t="str">
        <f t="shared" si="91"/>
        <v>16:20:59</v>
      </c>
      <c r="I1004" s="8" t="str">
        <f t="shared" si="92"/>
        <v>Afternoon</v>
      </c>
      <c r="J1004" t="s">
        <v>2370</v>
      </c>
      <c r="K1004" t="s">
        <v>2370</v>
      </c>
      <c r="L1004">
        <v>1</v>
      </c>
      <c r="M1004" s="3">
        <v>0</v>
      </c>
      <c r="N1004" s="3">
        <v>0</v>
      </c>
      <c r="O1004" s="4">
        <f t="shared" si="93"/>
        <v>1</v>
      </c>
      <c r="P1004" s="5" t="str">
        <f t="shared" si="94"/>
        <v>Low engagement</v>
      </c>
      <c r="Q1004" t="b">
        <v>0</v>
      </c>
      <c r="R1004" t="b">
        <v>0</v>
      </c>
      <c r="S1004" t="b">
        <v>0</v>
      </c>
      <c r="T1004" s="24" t="str">
        <f t="shared" si="95"/>
        <v>Text only</v>
      </c>
    </row>
    <row r="1005" spans="1:20" hidden="1" x14ac:dyDescent="0.2">
      <c r="A1005" t="s">
        <v>6946</v>
      </c>
      <c r="B1005" t="s">
        <v>2365</v>
      </c>
      <c r="C1005" t="s">
        <v>2366</v>
      </c>
      <c r="D1005" t="s">
        <v>6947</v>
      </c>
      <c r="E1005" t="s">
        <v>6948</v>
      </c>
      <c r="F1005" t="str">
        <f>IF(Table2[[#This Row],[Date posted]]&lt; DATE(2015,9,18),"Before Crisis","During Crisis")</f>
        <v>Before Crisis</v>
      </c>
      <c r="G1005" s="27">
        <f t="shared" si="90"/>
        <v>42185</v>
      </c>
      <c r="H1005" s="7" t="str">
        <f t="shared" si="91"/>
        <v>16:28:21</v>
      </c>
      <c r="I1005" s="8" t="str">
        <f t="shared" si="92"/>
        <v>Afternoon</v>
      </c>
      <c r="J1005" t="s">
        <v>6945</v>
      </c>
      <c r="K1005" t="s">
        <v>2370</v>
      </c>
      <c r="L1005" s="3">
        <v>0</v>
      </c>
      <c r="M1005" s="3">
        <v>0</v>
      </c>
      <c r="N1005" s="3">
        <v>0</v>
      </c>
      <c r="O1005" s="4">
        <f t="shared" si="93"/>
        <v>0</v>
      </c>
      <c r="P1005" s="5" t="str">
        <f t="shared" si="94"/>
        <v>No engagement</v>
      </c>
      <c r="Q1005" t="b">
        <v>0</v>
      </c>
      <c r="R1005" t="b">
        <v>0</v>
      </c>
      <c r="S1005" t="b">
        <v>0</v>
      </c>
      <c r="T1005" s="24" t="str">
        <f t="shared" si="95"/>
        <v>Text only</v>
      </c>
    </row>
    <row r="1006" spans="1:20" hidden="1" x14ac:dyDescent="0.2">
      <c r="A1006" t="s">
        <v>6942</v>
      </c>
      <c r="B1006" t="s">
        <v>2365</v>
      </c>
      <c r="C1006" t="s">
        <v>2366</v>
      </c>
      <c r="D1006" t="s">
        <v>6943</v>
      </c>
      <c r="E1006" t="s">
        <v>6944</v>
      </c>
      <c r="F1006" t="str">
        <f>IF(Table2[[#This Row],[Date posted]]&lt; DATE(2015,9,18),"Before Crisis","During Crisis")</f>
        <v>Before Crisis</v>
      </c>
      <c r="G1006" s="27">
        <f t="shared" si="90"/>
        <v>42185</v>
      </c>
      <c r="H1006" s="7" t="str">
        <f t="shared" si="91"/>
        <v>16:28:22</v>
      </c>
      <c r="I1006" s="8" t="str">
        <f t="shared" si="92"/>
        <v>Afternoon</v>
      </c>
      <c r="J1006" t="s">
        <v>6945</v>
      </c>
      <c r="K1006" t="s">
        <v>2370</v>
      </c>
      <c r="L1006" s="3">
        <v>0</v>
      </c>
      <c r="M1006" s="3">
        <v>0</v>
      </c>
      <c r="N1006" s="3">
        <v>0</v>
      </c>
      <c r="O1006" s="4">
        <f t="shared" si="93"/>
        <v>0</v>
      </c>
      <c r="P1006" s="5" t="str">
        <f t="shared" si="94"/>
        <v>No engagement</v>
      </c>
      <c r="Q1006" t="b">
        <v>0</v>
      </c>
      <c r="R1006" t="b">
        <v>0</v>
      </c>
      <c r="S1006" t="b">
        <v>0</v>
      </c>
      <c r="T1006" s="24" t="str">
        <f t="shared" si="95"/>
        <v>Text only</v>
      </c>
    </row>
    <row r="1007" spans="1:20" hidden="1" x14ac:dyDescent="0.2">
      <c r="A1007" t="s">
        <v>6939</v>
      </c>
      <c r="B1007" t="s">
        <v>2365</v>
      </c>
      <c r="C1007" t="s">
        <v>2366</v>
      </c>
      <c r="D1007" t="s">
        <v>6940</v>
      </c>
      <c r="E1007" t="s">
        <v>6941</v>
      </c>
      <c r="F1007" t="str">
        <f>IF(Table2[[#This Row],[Date posted]]&lt; DATE(2015,9,18),"Before Crisis","During Crisis")</f>
        <v>Before Crisis</v>
      </c>
      <c r="G1007" s="27">
        <f t="shared" si="90"/>
        <v>42185</v>
      </c>
      <c r="H1007" s="7" t="str">
        <f t="shared" si="91"/>
        <v>19:21:37</v>
      </c>
      <c r="I1007" s="8" t="str">
        <f t="shared" si="92"/>
        <v>Evening</v>
      </c>
      <c r="J1007" t="s">
        <v>6938</v>
      </c>
      <c r="K1007" t="s">
        <v>2370</v>
      </c>
      <c r="L1007" s="3">
        <v>0</v>
      </c>
      <c r="M1007" s="3">
        <v>0</v>
      </c>
      <c r="N1007" s="3">
        <v>0</v>
      </c>
      <c r="O1007" s="4">
        <f t="shared" si="93"/>
        <v>0</v>
      </c>
      <c r="P1007" s="5" t="str">
        <f t="shared" si="94"/>
        <v>No engagement</v>
      </c>
      <c r="Q1007" t="b">
        <v>0</v>
      </c>
      <c r="R1007" t="b">
        <v>0</v>
      </c>
      <c r="S1007" t="b">
        <v>0</v>
      </c>
      <c r="T1007" s="24" t="str">
        <f t="shared" si="95"/>
        <v>Text only</v>
      </c>
    </row>
    <row r="1008" spans="1:20" hidden="1" x14ac:dyDescent="0.2">
      <c r="A1008" t="s">
        <v>6927</v>
      </c>
      <c r="B1008" t="s">
        <v>2365</v>
      </c>
      <c r="C1008" t="s">
        <v>2366</v>
      </c>
      <c r="D1008" t="s">
        <v>6928</v>
      </c>
      <c r="E1008" t="s">
        <v>6929</v>
      </c>
      <c r="F1008" t="str">
        <f>IF(Table2[[#This Row],[Date posted]]&lt; DATE(2015,9,18),"Before Crisis","During Crisis")</f>
        <v>Before Crisis</v>
      </c>
      <c r="G1008" s="27">
        <f t="shared" si="90"/>
        <v>42185</v>
      </c>
      <c r="H1008" s="7" t="str">
        <f t="shared" si="91"/>
        <v>19:21:38</v>
      </c>
      <c r="I1008" s="8" t="str">
        <f t="shared" si="92"/>
        <v>Evening</v>
      </c>
      <c r="J1008" t="s">
        <v>6930</v>
      </c>
      <c r="K1008" t="s">
        <v>2370</v>
      </c>
      <c r="L1008" s="3">
        <v>0</v>
      </c>
      <c r="M1008" s="3">
        <v>0</v>
      </c>
      <c r="N1008" s="3">
        <v>0</v>
      </c>
      <c r="O1008" s="4">
        <f t="shared" si="93"/>
        <v>0</v>
      </c>
      <c r="P1008" s="5" t="str">
        <f t="shared" si="94"/>
        <v>No engagement</v>
      </c>
      <c r="Q1008" t="b">
        <v>0</v>
      </c>
      <c r="R1008" t="b">
        <v>0</v>
      </c>
      <c r="S1008" t="b">
        <v>0</v>
      </c>
      <c r="T1008" s="24" t="str">
        <f t="shared" si="95"/>
        <v>Text only</v>
      </c>
    </row>
    <row r="1009" spans="1:20" hidden="1" x14ac:dyDescent="0.2">
      <c r="A1009" t="s">
        <v>6931</v>
      </c>
      <c r="B1009" t="s">
        <v>2365</v>
      </c>
      <c r="C1009" t="s">
        <v>2366</v>
      </c>
      <c r="D1009" t="s">
        <v>6932</v>
      </c>
      <c r="E1009" t="s">
        <v>6929</v>
      </c>
      <c r="F1009" t="str">
        <f>IF(Table2[[#This Row],[Date posted]]&lt; DATE(2015,9,18),"Before Crisis","During Crisis")</f>
        <v>Before Crisis</v>
      </c>
      <c r="G1009" s="27">
        <f t="shared" si="90"/>
        <v>42185</v>
      </c>
      <c r="H1009" s="7" t="str">
        <f t="shared" si="91"/>
        <v>19:21:38</v>
      </c>
      <c r="I1009" s="8" t="str">
        <f t="shared" si="92"/>
        <v>Evening</v>
      </c>
      <c r="J1009" t="s">
        <v>6933</v>
      </c>
      <c r="K1009" t="s">
        <v>2370</v>
      </c>
      <c r="L1009" s="3">
        <v>0</v>
      </c>
      <c r="M1009" s="3">
        <v>0</v>
      </c>
      <c r="N1009" s="3">
        <v>0</v>
      </c>
      <c r="O1009" s="4">
        <f t="shared" si="93"/>
        <v>0</v>
      </c>
      <c r="P1009" s="5" t="str">
        <f t="shared" si="94"/>
        <v>No engagement</v>
      </c>
      <c r="Q1009" t="b">
        <v>0</v>
      </c>
      <c r="R1009" t="b">
        <v>0</v>
      </c>
      <c r="S1009" t="b">
        <v>0</v>
      </c>
      <c r="T1009" s="24" t="str">
        <f t="shared" si="95"/>
        <v>Text only</v>
      </c>
    </row>
    <row r="1010" spans="1:20" hidden="1" x14ac:dyDescent="0.2">
      <c r="A1010" t="s">
        <v>6934</v>
      </c>
      <c r="B1010" t="s">
        <v>2365</v>
      </c>
      <c r="C1010" t="s">
        <v>2366</v>
      </c>
      <c r="D1010" t="s">
        <v>6935</v>
      </c>
      <c r="E1010" t="s">
        <v>6929</v>
      </c>
      <c r="F1010" t="str">
        <f>IF(Table2[[#This Row],[Date posted]]&lt; DATE(2015,9,18),"Before Crisis","During Crisis")</f>
        <v>Before Crisis</v>
      </c>
      <c r="G1010" s="27">
        <f t="shared" si="90"/>
        <v>42185</v>
      </c>
      <c r="H1010" s="7" t="str">
        <f t="shared" si="91"/>
        <v>19:21:38</v>
      </c>
      <c r="I1010" s="8" t="str">
        <f t="shared" si="92"/>
        <v>Evening</v>
      </c>
      <c r="J1010" t="s">
        <v>6933</v>
      </c>
      <c r="K1010" t="s">
        <v>2370</v>
      </c>
      <c r="L1010" s="3">
        <v>0</v>
      </c>
      <c r="M1010" s="3">
        <v>0</v>
      </c>
      <c r="N1010" s="3">
        <v>0</v>
      </c>
      <c r="O1010" s="4">
        <f t="shared" si="93"/>
        <v>0</v>
      </c>
      <c r="P1010" s="5" t="str">
        <f t="shared" si="94"/>
        <v>No engagement</v>
      </c>
      <c r="Q1010" t="b">
        <v>0</v>
      </c>
      <c r="R1010" t="b">
        <v>0</v>
      </c>
      <c r="S1010" t="b">
        <v>0</v>
      </c>
      <c r="T1010" s="24" t="str">
        <f t="shared" si="95"/>
        <v>Text only</v>
      </c>
    </row>
    <row r="1011" spans="1:20" hidden="1" x14ac:dyDescent="0.2">
      <c r="A1011" t="s">
        <v>6936</v>
      </c>
      <c r="B1011" t="s">
        <v>2365</v>
      </c>
      <c r="C1011" t="s">
        <v>2366</v>
      </c>
      <c r="D1011" t="s">
        <v>6937</v>
      </c>
      <c r="E1011" t="s">
        <v>6929</v>
      </c>
      <c r="F1011" t="str">
        <f>IF(Table2[[#This Row],[Date posted]]&lt; DATE(2015,9,18),"Before Crisis","During Crisis")</f>
        <v>Before Crisis</v>
      </c>
      <c r="G1011" s="27">
        <f t="shared" si="90"/>
        <v>42185</v>
      </c>
      <c r="H1011" s="7" t="str">
        <f t="shared" si="91"/>
        <v>19:21:38</v>
      </c>
      <c r="I1011" s="8" t="str">
        <f t="shared" si="92"/>
        <v>Evening</v>
      </c>
      <c r="J1011" t="s">
        <v>6938</v>
      </c>
      <c r="K1011" t="s">
        <v>2370</v>
      </c>
      <c r="L1011" s="3">
        <v>0</v>
      </c>
      <c r="M1011" s="3">
        <v>0</v>
      </c>
      <c r="N1011" s="3">
        <v>0</v>
      </c>
      <c r="O1011" s="4">
        <f t="shared" si="93"/>
        <v>0</v>
      </c>
      <c r="P1011" s="5" t="str">
        <f t="shared" si="94"/>
        <v>No engagement</v>
      </c>
      <c r="Q1011" t="b">
        <v>0</v>
      </c>
      <c r="R1011" t="b">
        <v>0</v>
      </c>
      <c r="S1011" t="b">
        <v>0</v>
      </c>
      <c r="T1011" s="24" t="str">
        <f t="shared" si="95"/>
        <v>Text only</v>
      </c>
    </row>
    <row r="1012" spans="1:20" hidden="1" x14ac:dyDescent="0.2">
      <c r="A1012" t="s">
        <v>6913</v>
      </c>
      <c r="B1012" t="s">
        <v>2365</v>
      </c>
      <c r="C1012" t="s">
        <v>2366</v>
      </c>
      <c r="D1012" t="s">
        <v>6914</v>
      </c>
      <c r="E1012" t="s">
        <v>6909</v>
      </c>
      <c r="F1012" t="str">
        <f>IF(Table2[[#This Row],[Date posted]]&lt; DATE(2015,9,18),"Before Crisis","During Crisis")</f>
        <v>Before Crisis</v>
      </c>
      <c r="G1012" s="27">
        <f t="shared" si="90"/>
        <v>42186</v>
      </c>
      <c r="H1012" s="7" t="str">
        <f t="shared" si="91"/>
        <v>14:21:31</v>
      </c>
      <c r="I1012" s="8" t="str">
        <f t="shared" si="92"/>
        <v>Afternoon</v>
      </c>
      <c r="J1012" t="s">
        <v>6915</v>
      </c>
      <c r="K1012" t="s">
        <v>2370</v>
      </c>
      <c r="L1012" s="3">
        <v>0</v>
      </c>
      <c r="M1012">
        <v>2</v>
      </c>
      <c r="N1012" s="3">
        <v>0</v>
      </c>
      <c r="O1012" s="4">
        <f t="shared" si="93"/>
        <v>2</v>
      </c>
      <c r="P1012" s="5" t="str">
        <f t="shared" si="94"/>
        <v>Low engagement</v>
      </c>
      <c r="Q1012" t="b">
        <v>0</v>
      </c>
      <c r="R1012" t="b">
        <v>0</v>
      </c>
      <c r="S1012" t="b">
        <v>1</v>
      </c>
      <c r="T1012" s="24" t="str">
        <f t="shared" si="95"/>
        <v>Link</v>
      </c>
    </row>
    <row r="1013" spans="1:20" hidden="1" x14ac:dyDescent="0.2">
      <c r="A1013" t="s">
        <v>6904</v>
      </c>
      <c r="B1013" t="s">
        <v>2365</v>
      </c>
      <c r="C1013" t="s">
        <v>2366</v>
      </c>
      <c r="D1013" t="s">
        <v>6905</v>
      </c>
      <c r="E1013" t="s">
        <v>6906</v>
      </c>
      <c r="F1013" t="str">
        <f>IF(Table2[[#This Row],[Date posted]]&lt; DATE(2015,9,18),"Before Crisis","During Crisis")</f>
        <v>Before Crisis</v>
      </c>
      <c r="G1013" s="27">
        <f t="shared" si="90"/>
        <v>42186</v>
      </c>
      <c r="H1013" s="7" t="str">
        <f t="shared" si="91"/>
        <v>14:27:19</v>
      </c>
      <c r="I1013" s="8" t="str">
        <f t="shared" si="92"/>
        <v>Afternoon</v>
      </c>
      <c r="J1013" t="s">
        <v>2370</v>
      </c>
      <c r="K1013" t="s">
        <v>2370</v>
      </c>
      <c r="L1013" s="3">
        <v>0</v>
      </c>
      <c r="M1013">
        <v>1</v>
      </c>
      <c r="N1013" s="3">
        <v>0</v>
      </c>
      <c r="O1013" s="4">
        <f t="shared" si="93"/>
        <v>1</v>
      </c>
      <c r="P1013" s="5" t="str">
        <f t="shared" si="94"/>
        <v>Low engagement</v>
      </c>
      <c r="Q1013" t="b">
        <v>0</v>
      </c>
      <c r="R1013" t="b">
        <v>0</v>
      </c>
      <c r="S1013" t="b">
        <v>0</v>
      </c>
      <c r="T1013" s="24" t="str">
        <f t="shared" si="95"/>
        <v>Text only</v>
      </c>
    </row>
    <row r="1014" spans="1:20" hidden="1" x14ac:dyDescent="0.2">
      <c r="A1014" t="s">
        <v>6900</v>
      </c>
      <c r="B1014" t="s">
        <v>2365</v>
      </c>
      <c r="C1014" t="s">
        <v>2366</v>
      </c>
      <c r="D1014" t="s">
        <v>6901</v>
      </c>
      <c r="E1014" t="s">
        <v>6902</v>
      </c>
      <c r="F1014" t="str">
        <f>IF(Table2[[#This Row],[Date posted]]&lt; DATE(2015,9,18),"Before Crisis","During Crisis")</f>
        <v>Before Crisis</v>
      </c>
      <c r="G1014" s="27">
        <f t="shared" si="90"/>
        <v>42186</v>
      </c>
      <c r="H1014" s="7" t="str">
        <f t="shared" si="91"/>
        <v>17:44:31</v>
      </c>
      <c r="I1014" s="8" t="str">
        <f t="shared" si="92"/>
        <v>Afternoon</v>
      </c>
      <c r="J1014" t="s">
        <v>6903</v>
      </c>
      <c r="K1014" t="s">
        <v>2370</v>
      </c>
      <c r="L1014" s="3">
        <v>0</v>
      </c>
      <c r="M1014" s="3">
        <v>0</v>
      </c>
      <c r="N1014" s="3">
        <v>0</v>
      </c>
      <c r="O1014" s="4">
        <f t="shared" si="93"/>
        <v>0</v>
      </c>
      <c r="P1014" s="5" t="str">
        <f t="shared" si="94"/>
        <v>No engagement</v>
      </c>
      <c r="Q1014" t="b">
        <v>0</v>
      </c>
      <c r="R1014" t="b">
        <v>0</v>
      </c>
      <c r="S1014" t="b">
        <v>0</v>
      </c>
      <c r="T1014" s="24" t="str">
        <f t="shared" si="95"/>
        <v>Text only</v>
      </c>
    </row>
    <row r="1015" spans="1:20" hidden="1" x14ac:dyDescent="0.2">
      <c r="A1015" t="s">
        <v>6897</v>
      </c>
      <c r="B1015" t="s">
        <v>2365</v>
      </c>
      <c r="C1015" t="s">
        <v>2366</v>
      </c>
      <c r="D1015" t="s">
        <v>6898</v>
      </c>
      <c r="E1015" t="s">
        <v>6899</v>
      </c>
      <c r="F1015" t="str">
        <f>IF(Table2[[#This Row],[Date posted]]&lt; DATE(2015,9,18),"Before Crisis","During Crisis")</f>
        <v>Before Crisis</v>
      </c>
      <c r="G1015" s="27">
        <f t="shared" si="90"/>
        <v>42186</v>
      </c>
      <c r="H1015" s="7" t="str">
        <f t="shared" si="91"/>
        <v>19:01:39</v>
      </c>
      <c r="I1015" s="8" t="str">
        <f t="shared" si="92"/>
        <v>Evening</v>
      </c>
      <c r="J1015" t="s">
        <v>2370</v>
      </c>
      <c r="K1015" t="s">
        <v>2370</v>
      </c>
      <c r="L1015" s="3">
        <v>0</v>
      </c>
      <c r="M1015" s="3">
        <v>0</v>
      </c>
      <c r="N1015" s="3">
        <v>0</v>
      </c>
      <c r="O1015" s="4">
        <f t="shared" si="93"/>
        <v>0</v>
      </c>
      <c r="P1015" s="5" t="str">
        <f t="shared" si="94"/>
        <v>No engagement</v>
      </c>
      <c r="Q1015" t="b">
        <v>0</v>
      </c>
      <c r="R1015" t="b">
        <v>0</v>
      </c>
      <c r="S1015" t="b">
        <v>0</v>
      </c>
      <c r="T1015" s="24" t="str">
        <f t="shared" si="95"/>
        <v>Text only</v>
      </c>
    </row>
    <row r="1016" spans="1:20" hidden="1" x14ac:dyDescent="0.2">
      <c r="A1016" t="s">
        <v>6893</v>
      </c>
      <c r="B1016" t="s">
        <v>2365</v>
      </c>
      <c r="C1016" t="s">
        <v>2366</v>
      </c>
      <c r="D1016" t="s">
        <v>6894</v>
      </c>
      <c r="E1016" t="s">
        <v>6895</v>
      </c>
      <c r="F1016" t="str">
        <f>IF(Table2[[#This Row],[Date posted]]&lt; DATE(2015,9,18),"Before Crisis","During Crisis")</f>
        <v>Before Crisis</v>
      </c>
      <c r="G1016" s="27">
        <f t="shared" si="90"/>
        <v>42186</v>
      </c>
      <c r="H1016" s="7" t="str">
        <f t="shared" si="91"/>
        <v>19:11:36</v>
      </c>
      <c r="I1016" s="8" t="str">
        <f t="shared" si="92"/>
        <v>Evening</v>
      </c>
      <c r="J1016" t="s">
        <v>6896</v>
      </c>
      <c r="K1016" t="s">
        <v>2370</v>
      </c>
      <c r="L1016" s="3">
        <v>0</v>
      </c>
      <c r="M1016">
        <v>1</v>
      </c>
      <c r="N1016" s="3">
        <v>0</v>
      </c>
      <c r="O1016" s="4">
        <f t="shared" si="93"/>
        <v>1</v>
      </c>
      <c r="P1016" s="5" t="str">
        <f t="shared" si="94"/>
        <v>Low engagement</v>
      </c>
      <c r="Q1016" t="b">
        <v>0</v>
      </c>
      <c r="R1016" t="b">
        <v>0</v>
      </c>
      <c r="S1016" t="b">
        <v>0</v>
      </c>
      <c r="T1016" s="24" t="str">
        <f t="shared" si="95"/>
        <v>Text only</v>
      </c>
    </row>
    <row r="1017" spans="1:20" hidden="1" x14ac:dyDescent="0.2">
      <c r="A1017" t="s">
        <v>6890</v>
      </c>
      <c r="B1017" t="s">
        <v>2365</v>
      </c>
      <c r="C1017" t="s">
        <v>2366</v>
      </c>
      <c r="D1017" t="s">
        <v>6891</v>
      </c>
      <c r="E1017" t="s">
        <v>6892</v>
      </c>
      <c r="F1017" t="str">
        <f>IF(Table2[[#This Row],[Date posted]]&lt; DATE(2015,9,18),"Before Crisis","During Crisis")</f>
        <v>Before Crisis</v>
      </c>
      <c r="G1017" s="27">
        <f t="shared" si="90"/>
        <v>42186</v>
      </c>
      <c r="H1017" s="7" t="str">
        <f t="shared" si="91"/>
        <v>19:22:58</v>
      </c>
      <c r="I1017" s="8" t="str">
        <f t="shared" si="92"/>
        <v>Evening</v>
      </c>
      <c r="J1017" t="s">
        <v>6594</v>
      </c>
      <c r="K1017" t="s">
        <v>2370</v>
      </c>
      <c r="L1017" s="3">
        <v>0</v>
      </c>
      <c r="M1017">
        <v>4</v>
      </c>
      <c r="N1017" s="3">
        <v>0</v>
      </c>
      <c r="O1017" s="4">
        <f t="shared" si="93"/>
        <v>4</v>
      </c>
      <c r="P1017" s="5" t="str">
        <f t="shared" si="94"/>
        <v>Low engagement</v>
      </c>
      <c r="Q1017" t="b">
        <v>0</v>
      </c>
      <c r="R1017" t="b">
        <v>0</v>
      </c>
      <c r="S1017" t="b">
        <v>0</v>
      </c>
      <c r="T1017" s="24" t="str">
        <f t="shared" si="95"/>
        <v>Text only</v>
      </c>
    </row>
    <row r="1018" spans="1:20" hidden="1" x14ac:dyDescent="0.2">
      <c r="A1018" t="s">
        <v>6886</v>
      </c>
      <c r="B1018" t="s">
        <v>2365</v>
      </c>
      <c r="C1018" t="s">
        <v>2366</v>
      </c>
      <c r="D1018" t="s">
        <v>6887</v>
      </c>
      <c r="E1018" t="s">
        <v>6888</v>
      </c>
      <c r="F1018" t="str">
        <f>IF(Table2[[#This Row],[Date posted]]&lt; DATE(2015,9,18),"Before Crisis","During Crisis")</f>
        <v>Before Crisis</v>
      </c>
      <c r="G1018" s="27">
        <f t="shared" si="90"/>
        <v>42186</v>
      </c>
      <c r="H1018" s="7" t="str">
        <f t="shared" si="91"/>
        <v>19:34:05</v>
      </c>
      <c r="I1018" s="8" t="str">
        <f t="shared" si="92"/>
        <v>Evening</v>
      </c>
      <c r="J1018" t="s">
        <v>6889</v>
      </c>
      <c r="K1018" t="s">
        <v>2370</v>
      </c>
      <c r="L1018" s="3">
        <v>0</v>
      </c>
      <c r="M1018" s="3">
        <v>0</v>
      </c>
      <c r="N1018" s="3">
        <v>0</v>
      </c>
      <c r="O1018" s="4">
        <f t="shared" si="93"/>
        <v>0</v>
      </c>
      <c r="P1018" s="5" t="str">
        <f t="shared" si="94"/>
        <v>No engagement</v>
      </c>
      <c r="Q1018" t="b">
        <v>0</v>
      </c>
      <c r="R1018" t="b">
        <v>0</v>
      </c>
      <c r="S1018" t="b">
        <v>0</v>
      </c>
      <c r="T1018" s="24" t="str">
        <f t="shared" si="95"/>
        <v>Text only</v>
      </c>
    </row>
    <row r="1019" spans="1:20" hidden="1" x14ac:dyDescent="0.2">
      <c r="A1019" t="s">
        <v>6883</v>
      </c>
      <c r="B1019" t="s">
        <v>2365</v>
      </c>
      <c r="C1019" t="s">
        <v>2366</v>
      </c>
      <c r="D1019" t="s">
        <v>6884</v>
      </c>
      <c r="E1019" t="s">
        <v>6885</v>
      </c>
      <c r="F1019" t="str">
        <f>IF(Table2[[#This Row],[Date posted]]&lt; DATE(2015,9,18),"Before Crisis","During Crisis")</f>
        <v>Before Crisis</v>
      </c>
      <c r="G1019" s="27">
        <f t="shared" si="90"/>
        <v>42186</v>
      </c>
      <c r="H1019" s="7" t="str">
        <f t="shared" si="91"/>
        <v>19:34:06</v>
      </c>
      <c r="I1019" s="8" t="str">
        <f t="shared" si="92"/>
        <v>Evening</v>
      </c>
      <c r="J1019" t="s">
        <v>6697</v>
      </c>
      <c r="K1019" t="s">
        <v>2370</v>
      </c>
      <c r="L1019" s="3">
        <v>0</v>
      </c>
      <c r="M1019" s="3">
        <v>0</v>
      </c>
      <c r="N1019" s="3">
        <v>0</v>
      </c>
      <c r="O1019" s="4">
        <f t="shared" si="93"/>
        <v>0</v>
      </c>
      <c r="P1019" s="5" t="str">
        <f t="shared" si="94"/>
        <v>No engagement</v>
      </c>
      <c r="Q1019" t="b">
        <v>0</v>
      </c>
      <c r="R1019" t="b">
        <v>0</v>
      </c>
      <c r="S1019" t="b">
        <v>1</v>
      </c>
      <c r="T1019" s="24" t="str">
        <f t="shared" si="95"/>
        <v>Link</v>
      </c>
    </row>
    <row r="1020" spans="1:20" hidden="1" x14ac:dyDescent="0.2">
      <c r="A1020" t="s">
        <v>6880</v>
      </c>
      <c r="B1020" t="s">
        <v>2365</v>
      </c>
      <c r="C1020" t="s">
        <v>2366</v>
      </c>
      <c r="D1020" t="s">
        <v>6881</v>
      </c>
      <c r="E1020" t="s">
        <v>6882</v>
      </c>
      <c r="F1020" t="str">
        <f>IF(Table2[[#This Row],[Date posted]]&lt; DATE(2015,9,18),"Before Crisis","During Crisis")</f>
        <v>Before Crisis</v>
      </c>
      <c r="G1020" s="27">
        <f t="shared" si="90"/>
        <v>42186</v>
      </c>
      <c r="H1020" s="7" t="str">
        <f t="shared" si="91"/>
        <v>19:41:36</v>
      </c>
      <c r="I1020" s="8" t="str">
        <f t="shared" si="92"/>
        <v>Evening</v>
      </c>
      <c r="J1020" t="s">
        <v>6879</v>
      </c>
      <c r="K1020" t="s">
        <v>2370</v>
      </c>
      <c r="L1020" s="3">
        <v>0</v>
      </c>
      <c r="M1020">
        <v>1</v>
      </c>
      <c r="N1020" s="3">
        <v>0</v>
      </c>
      <c r="O1020" s="4">
        <f t="shared" si="93"/>
        <v>1</v>
      </c>
      <c r="P1020" s="5" t="str">
        <f t="shared" si="94"/>
        <v>Low engagement</v>
      </c>
      <c r="Q1020" t="b">
        <v>0</v>
      </c>
      <c r="R1020" t="b">
        <v>0</v>
      </c>
      <c r="S1020" t="b">
        <v>1</v>
      </c>
      <c r="T1020" s="24" t="str">
        <f t="shared" si="95"/>
        <v>Link</v>
      </c>
    </row>
    <row r="1021" spans="1:20" hidden="1" x14ac:dyDescent="0.2">
      <c r="A1021" t="s">
        <v>6873</v>
      </c>
      <c r="B1021" t="s">
        <v>2365</v>
      </c>
      <c r="C1021" t="s">
        <v>2366</v>
      </c>
      <c r="D1021" t="s">
        <v>6874</v>
      </c>
      <c r="E1021" t="s">
        <v>6875</v>
      </c>
      <c r="F1021" t="str">
        <f>IF(Table2[[#This Row],[Date posted]]&lt; DATE(2015,9,18),"Before Crisis","During Crisis")</f>
        <v>Before Crisis</v>
      </c>
      <c r="G1021" s="27">
        <f t="shared" si="90"/>
        <v>42186</v>
      </c>
      <c r="H1021" s="7" t="str">
        <f t="shared" si="91"/>
        <v>20:32:48</v>
      </c>
      <c r="I1021" s="8" t="str">
        <f t="shared" si="92"/>
        <v>Evening</v>
      </c>
      <c r="J1021" t="s">
        <v>6876</v>
      </c>
      <c r="K1021" t="s">
        <v>2370</v>
      </c>
      <c r="L1021" s="3">
        <v>0</v>
      </c>
      <c r="M1021" s="3">
        <v>0</v>
      </c>
      <c r="N1021" s="3">
        <v>0</v>
      </c>
      <c r="O1021" s="4">
        <f t="shared" si="93"/>
        <v>0</v>
      </c>
      <c r="P1021" s="5" t="str">
        <f t="shared" si="94"/>
        <v>No engagement</v>
      </c>
      <c r="Q1021" t="b">
        <v>0</v>
      </c>
      <c r="R1021" t="b">
        <v>0</v>
      </c>
      <c r="S1021" t="b">
        <v>0</v>
      </c>
      <c r="T1021" s="24" t="str">
        <f t="shared" si="95"/>
        <v>Text only</v>
      </c>
    </row>
    <row r="1022" spans="1:20" hidden="1" x14ac:dyDescent="0.2">
      <c r="A1022" t="s">
        <v>6877</v>
      </c>
      <c r="B1022" t="s">
        <v>2365</v>
      </c>
      <c r="C1022" t="s">
        <v>2366</v>
      </c>
      <c r="D1022" t="s">
        <v>6878</v>
      </c>
      <c r="E1022" t="s">
        <v>6875</v>
      </c>
      <c r="F1022" t="str">
        <f>IF(Table2[[#This Row],[Date posted]]&lt; DATE(2015,9,18),"Before Crisis","During Crisis")</f>
        <v>Before Crisis</v>
      </c>
      <c r="G1022" s="27">
        <f t="shared" si="90"/>
        <v>42186</v>
      </c>
      <c r="H1022" s="7" t="str">
        <f t="shared" si="91"/>
        <v>20:32:48</v>
      </c>
      <c r="I1022" s="8" t="str">
        <f t="shared" si="92"/>
        <v>Evening</v>
      </c>
      <c r="J1022" t="s">
        <v>6879</v>
      </c>
      <c r="K1022" t="s">
        <v>2370</v>
      </c>
      <c r="L1022" s="3">
        <v>0</v>
      </c>
      <c r="M1022" s="3">
        <v>0</v>
      </c>
      <c r="N1022" s="3">
        <v>0</v>
      </c>
      <c r="O1022" s="4">
        <f t="shared" si="93"/>
        <v>0</v>
      </c>
      <c r="P1022" s="5" t="str">
        <f t="shared" si="94"/>
        <v>No engagement</v>
      </c>
      <c r="Q1022" t="b">
        <v>0</v>
      </c>
      <c r="R1022" t="b">
        <v>0</v>
      </c>
      <c r="S1022" t="b">
        <v>0</v>
      </c>
      <c r="T1022" s="24" t="str">
        <f t="shared" si="95"/>
        <v>Text only</v>
      </c>
    </row>
    <row r="1023" spans="1:20" hidden="1" x14ac:dyDescent="0.2">
      <c r="A1023" t="s">
        <v>6870</v>
      </c>
      <c r="B1023" t="s">
        <v>2365</v>
      </c>
      <c r="C1023" t="s">
        <v>2366</v>
      </c>
      <c r="D1023" t="s">
        <v>6871</v>
      </c>
      <c r="E1023" t="s">
        <v>6872</v>
      </c>
      <c r="F1023" t="str">
        <f>IF(Table2[[#This Row],[Date posted]]&lt; DATE(2015,9,18),"Before Crisis","During Crisis")</f>
        <v>Before Crisis</v>
      </c>
      <c r="G1023" s="27">
        <f t="shared" si="90"/>
        <v>42186</v>
      </c>
      <c r="H1023" s="7" t="str">
        <f t="shared" si="91"/>
        <v>23:29:19</v>
      </c>
      <c r="I1023" s="8" t="str">
        <f t="shared" si="92"/>
        <v>Evening</v>
      </c>
      <c r="J1023" t="s">
        <v>2370</v>
      </c>
      <c r="K1023" t="s">
        <v>2370</v>
      </c>
      <c r="L1023" s="3">
        <v>0</v>
      </c>
      <c r="M1023" s="3">
        <v>0</v>
      </c>
      <c r="N1023" s="3">
        <v>0</v>
      </c>
      <c r="O1023" s="4">
        <f t="shared" si="93"/>
        <v>0</v>
      </c>
      <c r="P1023" s="5" t="str">
        <f t="shared" si="94"/>
        <v>No engagement</v>
      </c>
      <c r="Q1023" t="b">
        <v>0</v>
      </c>
      <c r="R1023" t="b">
        <v>0</v>
      </c>
      <c r="S1023" t="b">
        <v>0</v>
      </c>
      <c r="T1023" s="24" t="str">
        <f t="shared" si="95"/>
        <v>Text only</v>
      </c>
    </row>
    <row r="1024" spans="1:20" hidden="1" x14ac:dyDescent="0.2">
      <c r="A1024" t="s">
        <v>6866</v>
      </c>
      <c r="B1024" t="s">
        <v>2365</v>
      </c>
      <c r="C1024" t="s">
        <v>2366</v>
      </c>
      <c r="D1024" t="s">
        <v>6867</v>
      </c>
      <c r="E1024" t="s">
        <v>6865</v>
      </c>
      <c r="F1024" t="str">
        <f>IF(Table2[[#This Row],[Date posted]]&lt; DATE(2015,9,18),"Before Crisis","During Crisis")</f>
        <v>Before Crisis</v>
      </c>
      <c r="G1024" s="27">
        <f t="shared" si="90"/>
        <v>42186</v>
      </c>
      <c r="H1024" s="7" t="str">
        <f t="shared" si="91"/>
        <v>23:29:20</v>
      </c>
      <c r="I1024" s="8" t="str">
        <f t="shared" si="92"/>
        <v>Evening</v>
      </c>
      <c r="J1024" t="s">
        <v>2370</v>
      </c>
      <c r="K1024" t="s">
        <v>2370</v>
      </c>
      <c r="L1024" s="3">
        <v>0</v>
      </c>
      <c r="M1024" s="3">
        <v>0</v>
      </c>
      <c r="N1024" s="3">
        <v>0</v>
      </c>
      <c r="O1024" s="4">
        <f t="shared" si="93"/>
        <v>0</v>
      </c>
      <c r="P1024" s="5" t="str">
        <f t="shared" si="94"/>
        <v>No engagement</v>
      </c>
      <c r="Q1024" t="b">
        <v>0</v>
      </c>
      <c r="R1024" t="b">
        <v>0</v>
      </c>
      <c r="S1024" t="b">
        <v>0</v>
      </c>
      <c r="T1024" s="24" t="str">
        <f t="shared" si="95"/>
        <v>Text only</v>
      </c>
    </row>
    <row r="1025" spans="1:20" hidden="1" x14ac:dyDescent="0.2">
      <c r="A1025" t="s">
        <v>6868</v>
      </c>
      <c r="B1025" t="s">
        <v>2365</v>
      </c>
      <c r="C1025" t="s">
        <v>2366</v>
      </c>
      <c r="D1025" t="s">
        <v>6869</v>
      </c>
      <c r="E1025" t="s">
        <v>6865</v>
      </c>
      <c r="F1025" t="str">
        <f>IF(Table2[[#This Row],[Date posted]]&lt; DATE(2015,9,18),"Before Crisis","During Crisis")</f>
        <v>Before Crisis</v>
      </c>
      <c r="G1025" s="27">
        <f t="shared" si="90"/>
        <v>42186</v>
      </c>
      <c r="H1025" s="7" t="str">
        <f t="shared" si="91"/>
        <v>23:29:20</v>
      </c>
      <c r="I1025" s="8" t="str">
        <f t="shared" si="92"/>
        <v>Evening</v>
      </c>
      <c r="J1025" t="s">
        <v>2370</v>
      </c>
      <c r="K1025" t="s">
        <v>2370</v>
      </c>
      <c r="L1025" s="3">
        <v>0</v>
      </c>
      <c r="M1025" s="3">
        <v>0</v>
      </c>
      <c r="N1025" s="3">
        <v>0</v>
      </c>
      <c r="O1025" s="4">
        <f t="shared" si="93"/>
        <v>0</v>
      </c>
      <c r="P1025" s="5" t="str">
        <f t="shared" si="94"/>
        <v>No engagement</v>
      </c>
      <c r="Q1025" t="b">
        <v>0</v>
      </c>
      <c r="R1025" t="b">
        <v>0</v>
      </c>
      <c r="S1025" t="b">
        <v>0</v>
      </c>
      <c r="T1025" s="24" t="str">
        <f t="shared" si="95"/>
        <v>Text only</v>
      </c>
    </row>
    <row r="1026" spans="1:20" hidden="1" x14ac:dyDescent="0.2">
      <c r="A1026" t="s">
        <v>6859</v>
      </c>
      <c r="B1026" t="s">
        <v>2365</v>
      </c>
      <c r="C1026" t="s">
        <v>2366</v>
      </c>
      <c r="D1026" t="s">
        <v>6860</v>
      </c>
      <c r="E1026" t="s">
        <v>6861</v>
      </c>
      <c r="F1026" t="str">
        <f>IF(Table2[[#This Row],[Date posted]]&lt; DATE(2015,9,18),"Before Crisis","During Crisis")</f>
        <v>Before Crisis</v>
      </c>
      <c r="G1026" s="27">
        <f t="shared" ref="G1026:G1089" si="96">DATEVALUE(LEFT(E1026,10))</f>
        <v>42186</v>
      </c>
      <c r="H1026" s="7" t="str">
        <f t="shared" ref="H1026:H1089" si="97">MID(E1026,12,8)</f>
        <v>23:45:26</v>
      </c>
      <c r="I1026" s="8" t="str">
        <f t="shared" ref="I1026:I1089" si="98">IF(HOUR(H1026)&lt;7,"Early morning",
IF(HOUR(H1026)&lt;11,"Morning",
IF(HOUR(H1026)&lt;14,"Mid-day",
IF(HOUR(H1026)&lt;18,"Afternoon","Evening"))))</f>
        <v>Evening</v>
      </c>
      <c r="J1026" t="s">
        <v>6862</v>
      </c>
      <c r="K1026" t="s">
        <v>2370</v>
      </c>
      <c r="L1026" s="3">
        <v>0</v>
      </c>
      <c r="M1026" s="3">
        <v>0</v>
      </c>
      <c r="N1026" s="3">
        <v>0</v>
      </c>
      <c r="O1026" s="4">
        <f t="shared" ref="O1026:O1089" si="99">L1026+M1026+N1026</f>
        <v>0</v>
      </c>
      <c r="P1026" s="5" t="str">
        <f t="shared" ref="P1026:P1089" si="100">IF(O1026&lt;1,"No engagement", IF(O1026&lt;5,"Low engagement", IF(O1026&lt;10,"Moderate engagement", "High engagement")))</f>
        <v>No engagement</v>
      </c>
      <c r="Q1026" t="b">
        <v>0</v>
      </c>
      <c r="R1026" t="b">
        <v>0</v>
      </c>
      <c r="S1026" t="b">
        <v>0</v>
      </c>
      <c r="T1026" s="24" t="str">
        <f t="shared" ref="T1026:T1089" si="101">IF(Q1026=TRUE,"Photo",
    IF(R1026=TRUE,"Video",
        IF(S1026=TRUE,"Link","Text only")))</f>
        <v>Text only</v>
      </c>
    </row>
    <row r="1027" spans="1:20" x14ac:dyDescent="0.2">
      <c r="A1027" t="s">
        <v>6851</v>
      </c>
      <c r="B1027" t="s">
        <v>2365</v>
      </c>
      <c r="C1027" t="s">
        <v>2366</v>
      </c>
      <c r="D1027" t="s">
        <v>6852</v>
      </c>
      <c r="E1027" t="s">
        <v>6853</v>
      </c>
      <c r="F1027" t="str">
        <f>IF(Table2[[#This Row],[Date posted]]&lt; DATE(2015,9,18),"Before Crisis","During Crisis")</f>
        <v>Before Crisis</v>
      </c>
      <c r="G1027" s="27">
        <f t="shared" si="96"/>
        <v>42187</v>
      </c>
      <c r="H1027" s="7" t="str">
        <f t="shared" si="97"/>
        <v>00:38:04</v>
      </c>
      <c r="I1027" s="8" t="str">
        <f t="shared" si="98"/>
        <v>Early morning</v>
      </c>
      <c r="J1027" t="s">
        <v>6854</v>
      </c>
      <c r="K1027" t="s">
        <v>2370</v>
      </c>
      <c r="L1027" s="3">
        <v>0</v>
      </c>
      <c r="M1027" s="3">
        <v>0</v>
      </c>
      <c r="N1027" s="3">
        <v>0</v>
      </c>
      <c r="O1027" s="4">
        <f t="shared" si="99"/>
        <v>0</v>
      </c>
      <c r="P1027" s="5" t="str">
        <f t="shared" si="100"/>
        <v>No engagement</v>
      </c>
      <c r="Q1027" t="b">
        <v>0</v>
      </c>
      <c r="R1027" t="b">
        <v>0</v>
      </c>
      <c r="S1027" t="b">
        <v>0</v>
      </c>
      <c r="T1027" s="24" t="str">
        <f t="shared" si="101"/>
        <v>Text only</v>
      </c>
    </row>
    <row r="1028" spans="1:20" hidden="1" x14ac:dyDescent="0.2">
      <c r="A1028" t="s">
        <v>6844</v>
      </c>
      <c r="B1028" t="s">
        <v>2365</v>
      </c>
      <c r="C1028" t="s">
        <v>2366</v>
      </c>
      <c r="D1028" t="s">
        <v>6845</v>
      </c>
      <c r="E1028" t="s">
        <v>6846</v>
      </c>
      <c r="F1028" t="str">
        <f>IF(Table2[[#This Row],[Date posted]]&lt; DATE(2015,9,18),"Before Crisis","During Crisis")</f>
        <v>Before Crisis</v>
      </c>
      <c r="G1028" s="27">
        <f t="shared" si="96"/>
        <v>42187</v>
      </c>
      <c r="H1028" s="7" t="str">
        <f t="shared" si="97"/>
        <v>14:13:57</v>
      </c>
      <c r="I1028" s="8" t="str">
        <f t="shared" si="98"/>
        <v>Afternoon</v>
      </c>
      <c r="J1028" t="s">
        <v>6847</v>
      </c>
      <c r="K1028" t="s">
        <v>2370</v>
      </c>
      <c r="L1028" s="3">
        <v>0</v>
      </c>
      <c r="M1028">
        <v>2</v>
      </c>
      <c r="N1028" s="3">
        <v>0</v>
      </c>
      <c r="O1028" s="4">
        <f t="shared" si="99"/>
        <v>2</v>
      </c>
      <c r="P1028" s="5" t="str">
        <f t="shared" si="100"/>
        <v>Low engagement</v>
      </c>
      <c r="Q1028" t="b">
        <v>0</v>
      </c>
      <c r="R1028" t="b">
        <v>0</v>
      </c>
      <c r="S1028" t="b">
        <v>0</v>
      </c>
      <c r="T1028" s="24" t="str">
        <f t="shared" si="101"/>
        <v>Text only</v>
      </c>
    </row>
    <row r="1029" spans="1:20" hidden="1" x14ac:dyDescent="0.2">
      <c r="A1029" t="s">
        <v>6837</v>
      </c>
      <c r="B1029" t="s">
        <v>2365</v>
      </c>
      <c r="C1029" t="s">
        <v>2366</v>
      </c>
      <c r="D1029" t="s">
        <v>6838</v>
      </c>
      <c r="E1029" t="s">
        <v>6839</v>
      </c>
      <c r="F1029" t="str">
        <f>IF(Table2[[#This Row],[Date posted]]&lt; DATE(2015,9,18),"Before Crisis","During Crisis")</f>
        <v>Before Crisis</v>
      </c>
      <c r="G1029" s="27">
        <f t="shared" si="96"/>
        <v>42187</v>
      </c>
      <c r="H1029" s="7" t="str">
        <f t="shared" si="97"/>
        <v>18:04:36</v>
      </c>
      <c r="I1029" s="8" t="str">
        <f t="shared" si="98"/>
        <v>Evening</v>
      </c>
      <c r="J1029" t="s">
        <v>6840</v>
      </c>
      <c r="K1029" t="s">
        <v>2370</v>
      </c>
      <c r="L1029" s="3">
        <v>0</v>
      </c>
      <c r="M1029" s="3">
        <v>0</v>
      </c>
      <c r="N1029" s="3">
        <v>0</v>
      </c>
      <c r="O1029" s="4">
        <f t="shared" si="99"/>
        <v>0</v>
      </c>
      <c r="P1029" s="5" t="str">
        <f t="shared" si="100"/>
        <v>No engagement</v>
      </c>
      <c r="Q1029" t="b">
        <v>0</v>
      </c>
      <c r="R1029" t="b">
        <v>0</v>
      </c>
      <c r="S1029" t="b">
        <v>0</v>
      </c>
      <c r="T1029" s="24" t="str">
        <f t="shared" si="101"/>
        <v>Text only</v>
      </c>
    </row>
    <row r="1030" spans="1:20" hidden="1" x14ac:dyDescent="0.2">
      <c r="A1030" t="s">
        <v>6831</v>
      </c>
      <c r="B1030" t="s">
        <v>2365</v>
      </c>
      <c r="C1030" t="s">
        <v>2366</v>
      </c>
      <c r="D1030" t="s">
        <v>6832</v>
      </c>
      <c r="E1030" t="s">
        <v>6833</v>
      </c>
      <c r="F1030" t="str">
        <f>IF(Table2[[#This Row],[Date posted]]&lt; DATE(2015,9,18),"Before Crisis","During Crisis")</f>
        <v>Before Crisis</v>
      </c>
      <c r="G1030" s="27">
        <f t="shared" si="96"/>
        <v>42187</v>
      </c>
      <c r="H1030" s="7" t="str">
        <f t="shared" si="97"/>
        <v>18:26:15</v>
      </c>
      <c r="I1030" s="8" t="str">
        <f t="shared" si="98"/>
        <v>Evening</v>
      </c>
      <c r="J1030" t="s">
        <v>6834</v>
      </c>
      <c r="K1030" t="s">
        <v>2370</v>
      </c>
      <c r="L1030" s="3">
        <v>0</v>
      </c>
      <c r="M1030" s="3">
        <v>0</v>
      </c>
      <c r="N1030" s="3">
        <v>0</v>
      </c>
      <c r="O1030" s="4">
        <f t="shared" si="99"/>
        <v>0</v>
      </c>
      <c r="P1030" s="5" t="str">
        <f t="shared" si="100"/>
        <v>No engagement</v>
      </c>
      <c r="Q1030" t="b">
        <v>0</v>
      </c>
      <c r="R1030" t="b">
        <v>0</v>
      </c>
      <c r="S1030" t="b">
        <v>0</v>
      </c>
      <c r="T1030" s="24" t="str">
        <f t="shared" si="101"/>
        <v>Text only</v>
      </c>
    </row>
    <row r="1031" spans="1:20" hidden="1" x14ac:dyDescent="0.2">
      <c r="A1031" t="s">
        <v>6835</v>
      </c>
      <c r="B1031" t="s">
        <v>2365</v>
      </c>
      <c r="C1031" t="s">
        <v>2366</v>
      </c>
      <c r="D1031" t="s">
        <v>6836</v>
      </c>
      <c r="E1031" t="s">
        <v>6833</v>
      </c>
      <c r="F1031" t="str">
        <f>IF(Table2[[#This Row],[Date posted]]&lt; DATE(2015,9,18),"Before Crisis","During Crisis")</f>
        <v>Before Crisis</v>
      </c>
      <c r="G1031" s="27">
        <f t="shared" si="96"/>
        <v>42187</v>
      </c>
      <c r="H1031" s="7" t="str">
        <f t="shared" si="97"/>
        <v>18:26:15</v>
      </c>
      <c r="I1031" s="8" t="str">
        <f t="shared" si="98"/>
        <v>Evening</v>
      </c>
      <c r="J1031" t="s">
        <v>6834</v>
      </c>
      <c r="K1031" t="s">
        <v>2370</v>
      </c>
      <c r="L1031" s="3">
        <v>0</v>
      </c>
      <c r="M1031" s="3">
        <v>0</v>
      </c>
      <c r="N1031" s="3">
        <v>0</v>
      </c>
      <c r="O1031" s="4">
        <f t="shared" si="99"/>
        <v>0</v>
      </c>
      <c r="P1031" s="5" t="str">
        <f t="shared" si="100"/>
        <v>No engagement</v>
      </c>
      <c r="Q1031" t="b">
        <v>0</v>
      </c>
      <c r="R1031" t="b">
        <v>0</v>
      </c>
      <c r="S1031" t="b">
        <v>0</v>
      </c>
      <c r="T1031" s="24" t="str">
        <f t="shared" si="101"/>
        <v>Text only</v>
      </c>
    </row>
    <row r="1032" spans="1:20" hidden="1" x14ac:dyDescent="0.2">
      <c r="A1032" t="s">
        <v>6828</v>
      </c>
      <c r="B1032" t="s">
        <v>2365</v>
      </c>
      <c r="C1032" t="s">
        <v>2366</v>
      </c>
      <c r="D1032" t="s">
        <v>6829</v>
      </c>
      <c r="E1032" t="s">
        <v>6830</v>
      </c>
      <c r="F1032" t="str">
        <f>IF(Table2[[#This Row],[Date posted]]&lt; DATE(2015,9,18),"Before Crisis","During Crisis")</f>
        <v>Before Crisis</v>
      </c>
      <c r="G1032" s="27">
        <f t="shared" si="96"/>
        <v>42187</v>
      </c>
      <c r="H1032" s="7" t="str">
        <f t="shared" si="97"/>
        <v>18:26:16</v>
      </c>
      <c r="I1032" s="8" t="str">
        <f t="shared" si="98"/>
        <v>Evening</v>
      </c>
      <c r="J1032" t="s">
        <v>2370</v>
      </c>
      <c r="K1032" t="s">
        <v>2370</v>
      </c>
      <c r="L1032" s="3">
        <v>0</v>
      </c>
      <c r="M1032">
        <v>1</v>
      </c>
      <c r="N1032" s="3">
        <v>0</v>
      </c>
      <c r="O1032" s="4">
        <f t="shared" si="99"/>
        <v>1</v>
      </c>
      <c r="P1032" s="5" t="str">
        <f t="shared" si="100"/>
        <v>Low engagement</v>
      </c>
      <c r="Q1032" t="b">
        <v>0</v>
      </c>
      <c r="R1032" t="b">
        <v>0</v>
      </c>
      <c r="S1032" t="b">
        <v>0</v>
      </c>
      <c r="T1032" s="24" t="str">
        <f t="shared" si="101"/>
        <v>Text only</v>
      </c>
    </row>
    <row r="1033" spans="1:20" hidden="1" x14ac:dyDescent="0.2">
      <c r="A1033" t="s">
        <v>6821</v>
      </c>
      <c r="B1033" t="s">
        <v>2365</v>
      </c>
      <c r="C1033" t="s">
        <v>2366</v>
      </c>
      <c r="D1033" t="s">
        <v>6822</v>
      </c>
      <c r="E1033" t="s">
        <v>6823</v>
      </c>
      <c r="F1033" t="str">
        <f>IF(Table2[[#This Row],[Date posted]]&lt; DATE(2015,9,18),"Before Crisis","During Crisis")</f>
        <v>Before Crisis</v>
      </c>
      <c r="G1033" s="27">
        <f t="shared" si="96"/>
        <v>42187</v>
      </c>
      <c r="H1033" s="7" t="str">
        <f t="shared" si="97"/>
        <v>19:09:44</v>
      </c>
      <c r="I1033" s="8" t="str">
        <f t="shared" si="98"/>
        <v>Evening</v>
      </c>
      <c r="J1033" t="s">
        <v>6824</v>
      </c>
      <c r="K1033" t="s">
        <v>2370</v>
      </c>
      <c r="L1033" s="3">
        <v>0</v>
      </c>
      <c r="M1033" s="3">
        <v>0</v>
      </c>
      <c r="N1033" s="3">
        <v>0</v>
      </c>
      <c r="O1033" s="4">
        <f t="shared" si="99"/>
        <v>0</v>
      </c>
      <c r="P1033" s="5" t="str">
        <f t="shared" si="100"/>
        <v>No engagement</v>
      </c>
      <c r="Q1033" t="b">
        <v>0</v>
      </c>
      <c r="R1033" t="b">
        <v>0</v>
      </c>
      <c r="S1033" t="b">
        <v>0</v>
      </c>
      <c r="T1033" s="24" t="str">
        <f t="shared" si="101"/>
        <v>Text only</v>
      </c>
    </row>
    <row r="1034" spans="1:20" hidden="1" x14ac:dyDescent="0.2">
      <c r="A1034" t="s">
        <v>6801</v>
      </c>
      <c r="B1034" t="s">
        <v>2365</v>
      </c>
      <c r="C1034" t="s">
        <v>2366</v>
      </c>
      <c r="D1034" t="s">
        <v>6802</v>
      </c>
      <c r="E1034" t="s">
        <v>6803</v>
      </c>
      <c r="F1034" t="str">
        <f>IF(Table2[[#This Row],[Date posted]]&lt; DATE(2015,9,18),"Before Crisis","During Crisis")</f>
        <v>Before Crisis</v>
      </c>
      <c r="G1034" s="27">
        <f t="shared" si="96"/>
        <v>42188</v>
      </c>
      <c r="H1034" s="7" t="str">
        <f t="shared" si="97"/>
        <v>16:16:12</v>
      </c>
      <c r="I1034" s="8" t="str">
        <f t="shared" si="98"/>
        <v>Afternoon</v>
      </c>
      <c r="J1034" t="s">
        <v>6800</v>
      </c>
      <c r="K1034" t="s">
        <v>2370</v>
      </c>
      <c r="L1034" s="3">
        <v>0</v>
      </c>
      <c r="M1034" s="3">
        <v>0</v>
      </c>
      <c r="N1034" s="3">
        <v>0</v>
      </c>
      <c r="O1034" s="4">
        <f t="shared" si="99"/>
        <v>0</v>
      </c>
      <c r="P1034" s="5" t="str">
        <f t="shared" si="100"/>
        <v>No engagement</v>
      </c>
      <c r="Q1034" t="b">
        <v>0</v>
      </c>
      <c r="R1034" t="b">
        <v>0</v>
      </c>
      <c r="S1034" t="b">
        <v>0</v>
      </c>
      <c r="T1034" s="24" t="str">
        <f t="shared" si="101"/>
        <v>Text only</v>
      </c>
    </row>
    <row r="1035" spans="1:20" hidden="1" x14ac:dyDescent="0.2">
      <c r="A1035" t="s">
        <v>6797</v>
      </c>
      <c r="B1035" t="s">
        <v>2365</v>
      </c>
      <c r="C1035" t="s">
        <v>2366</v>
      </c>
      <c r="D1035" t="s">
        <v>6798</v>
      </c>
      <c r="E1035" t="s">
        <v>6799</v>
      </c>
      <c r="F1035" t="str">
        <f>IF(Table2[[#This Row],[Date posted]]&lt; DATE(2015,9,18),"Before Crisis","During Crisis")</f>
        <v>Before Crisis</v>
      </c>
      <c r="G1035" s="27">
        <f t="shared" si="96"/>
        <v>42188</v>
      </c>
      <c r="H1035" s="7" t="str">
        <f t="shared" si="97"/>
        <v>16:16:13</v>
      </c>
      <c r="I1035" s="8" t="str">
        <f t="shared" si="98"/>
        <v>Afternoon</v>
      </c>
      <c r="J1035" t="s">
        <v>6800</v>
      </c>
      <c r="K1035" t="s">
        <v>2370</v>
      </c>
      <c r="L1035" s="3">
        <v>0</v>
      </c>
      <c r="M1035" s="3">
        <v>0</v>
      </c>
      <c r="N1035" s="3">
        <v>0</v>
      </c>
      <c r="O1035" s="4">
        <f t="shared" si="99"/>
        <v>0</v>
      </c>
      <c r="P1035" s="5" t="str">
        <f t="shared" si="100"/>
        <v>No engagement</v>
      </c>
      <c r="Q1035" t="b">
        <v>0</v>
      </c>
      <c r="R1035" t="b">
        <v>0</v>
      </c>
      <c r="S1035" t="b">
        <v>0</v>
      </c>
      <c r="T1035" s="24" t="str">
        <f t="shared" si="101"/>
        <v>Text only</v>
      </c>
    </row>
    <row r="1036" spans="1:20" hidden="1" x14ac:dyDescent="0.2">
      <c r="A1036" t="s">
        <v>6791</v>
      </c>
      <c r="B1036" t="s">
        <v>2365</v>
      </c>
      <c r="C1036" t="s">
        <v>2366</v>
      </c>
      <c r="D1036" t="s">
        <v>6792</v>
      </c>
      <c r="E1036" t="s">
        <v>6793</v>
      </c>
      <c r="F1036" t="str">
        <f>IF(Table2[[#This Row],[Date posted]]&lt; DATE(2015,9,18),"Before Crisis","During Crisis")</f>
        <v>Before Crisis</v>
      </c>
      <c r="G1036" s="27">
        <f t="shared" si="96"/>
        <v>42188</v>
      </c>
      <c r="H1036" s="7" t="str">
        <f t="shared" si="97"/>
        <v>17:12:15</v>
      </c>
      <c r="I1036" s="8" t="str">
        <f t="shared" si="98"/>
        <v>Afternoon</v>
      </c>
      <c r="J1036" t="s">
        <v>2370</v>
      </c>
      <c r="K1036" t="s">
        <v>2370</v>
      </c>
      <c r="L1036" s="3">
        <v>0</v>
      </c>
      <c r="M1036">
        <v>1</v>
      </c>
      <c r="N1036" s="3">
        <v>0</v>
      </c>
      <c r="O1036" s="4">
        <f t="shared" si="99"/>
        <v>1</v>
      </c>
      <c r="P1036" s="5" t="str">
        <f t="shared" si="100"/>
        <v>Low engagement</v>
      </c>
      <c r="Q1036" t="b">
        <v>0</v>
      </c>
      <c r="R1036" t="b">
        <v>0</v>
      </c>
      <c r="S1036" t="b">
        <v>1</v>
      </c>
      <c r="T1036" s="24" t="str">
        <f t="shared" si="101"/>
        <v>Link</v>
      </c>
    </row>
    <row r="1037" spans="1:20" hidden="1" x14ac:dyDescent="0.2">
      <c r="A1037" t="s">
        <v>6787</v>
      </c>
      <c r="B1037" t="s">
        <v>2365</v>
      </c>
      <c r="C1037" t="s">
        <v>2366</v>
      </c>
      <c r="D1037" t="s">
        <v>6788</v>
      </c>
      <c r="E1037" t="s">
        <v>6789</v>
      </c>
      <c r="F1037" t="str">
        <f>IF(Table2[[#This Row],[Date posted]]&lt; DATE(2015,9,18),"Before Crisis","During Crisis")</f>
        <v>Before Crisis</v>
      </c>
      <c r="G1037" s="27">
        <f t="shared" si="96"/>
        <v>42188</v>
      </c>
      <c r="H1037" s="7" t="str">
        <f t="shared" si="97"/>
        <v>17:15:41</v>
      </c>
      <c r="I1037" s="8" t="str">
        <f t="shared" si="98"/>
        <v>Afternoon</v>
      </c>
      <c r="J1037" t="s">
        <v>6790</v>
      </c>
      <c r="K1037" t="s">
        <v>2370</v>
      </c>
      <c r="L1037" s="3">
        <v>0</v>
      </c>
      <c r="M1037">
        <v>2</v>
      </c>
      <c r="N1037" s="3">
        <v>0</v>
      </c>
      <c r="O1037" s="4">
        <f t="shared" si="99"/>
        <v>2</v>
      </c>
      <c r="P1037" s="5" t="str">
        <f t="shared" si="100"/>
        <v>Low engagement</v>
      </c>
      <c r="Q1037" t="b">
        <v>0</v>
      </c>
      <c r="R1037" t="b">
        <v>0</v>
      </c>
      <c r="S1037" t="b">
        <v>0</v>
      </c>
      <c r="T1037" s="24" t="str">
        <f t="shared" si="101"/>
        <v>Text only</v>
      </c>
    </row>
    <row r="1038" spans="1:20" hidden="1" x14ac:dyDescent="0.2">
      <c r="A1038" t="s">
        <v>6783</v>
      </c>
      <c r="B1038" t="s">
        <v>2365</v>
      </c>
      <c r="C1038" t="s">
        <v>2366</v>
      </c>
      <c r="D1038" t="s">
        <v>6784</v>
      </c>
      <c r="E1038" t="s">
        <v>6785</v>
      </c>
      <c r="F1038" t="str">
        <f>IF(Table2[[#This Row],[Date posted]]&lt; DATE(2015,9,18),"Before Crisis","During Crisis")</f>
        <v>Before Crisis</v>
      </c>
      <c r="G1038" s="27">
        <f t="shared" si="96"/>
        <v>42188</v>
      </c>
      <c r="H1038" s="7" t="str">
        <f t="shared" si="97"/>
        <v>17:23:05</v>
      </c>
      <c r="I1038" s="8" t="str">
        <f t="shared" si="98"/>
        <v>Afternoon</v>
      </c>
      <c r="J1038" t="s">
        <v>6786</v>
      </c>
      <c r="K1038" t="s">
        <v>2370</v>
      </c>
      <c r="L1038" s="3">
        <v>0</v>
      </c>
      <c r="M1038" s="3">
        <v>0</v>
      </c>
      <c r="N1038" s="3">
        <v>0</v>
      </c>
      <c r="O1038" s="4">
        <f t="shared" si="99"/>
        <v>0</v>
      </c>
      <c r="P1038" s="5" t="str">
        <f t="shared" si="100"/>
        <v>No engagement</v>
      </c>
      <c r="Q1038" t="b">
        <v>0</v>
      </c>
      <c r="R1038" t="b">
        <v>0</v>
      </c>
      <c r="S1038" t="b">
        <v>0</v>
      </c>
      <c r="T1038" s="24" t="str">
        <f t="shared" si="101"/>
        <v>Text only</v>
      </c>
    </row>
    <row r="1039" spans="1:20" hidden="1" x14ac:dyDescent="0.2">
      <c r="A1039" t="s">
        <v>6780</v>
      </c>
      <c r="B1039" t="s">
        <v>2365</v>
      </c>
      <c r="C1039" t="s">
        <v>2366</v>
      </c>
      <c r="D1039" t="s">
        <v>6781</v>
      </c>
      <c r="E1039" t="s">
        <v>6782</v>
      </c>
      <c r="F1039" t="str">
        <f>IF(Table2[[#This Row],[Date posted]]&lt; DATE(2015,9,18),"Before Crisis","During Crisis")</f>
        <v>Before Crisis</v>
      </c>
      <c r="G1039" s="27">
        <f t="shared" si="96"/>
        <v>42188</v>
      </c>
      <c r="H1039" s="7" t="str">
        <f t="shared" si="97"/>
        <v>17:26:32</v>
      </c>
      <c r="I1039" s="8" t="str">
        <f t="shared" si="98"/>
        <v>Afternoon</v>
      </c>
      <c r="J1039" t="s">
        <v>2370</v>
      </c>
      <c r="K1039" t="s">
        <v>2370</v>
      </c>
      <c r="L1039" s="3">
        <v>0</v>
      </c>
      <c r="M1039" s="3">
        <v>0</v>
      </c>
      <c r="N1039" s="3">
        <v>0</v>
      </c>
      <c r="O1039" s="4">
        <f t="shared" si="99"/>
        <v>0</v>
      </c>
      <c r="P1039" s="5" t="str">
        <f t="shared" si="100"/>
        <v>No engagement</v>
      </c>
      <c r="Q1039" t="b">
        <v>0</v>
      </c>
      <c r="R1039" t="b">
        <v>0</v>
      </c>
      <c r="S1039" t="b">
        <v>0</v>
      </c>
      <c r="T1039" s="24" t="str">
        <f t="shared" si="101"/>
        <v>Text only</v>
      </c>
    </row>
    <row r="1040" spans="1:20" hidden="1" x14ac:dyDescent="0.2">
      <c r="A1040" t="s">
        <v>6777</v>
      </c>
      <c r="B1040" t="s">
        <v>2365</v>
      </c>
      <c r="C1040" t="s">
        <v>2366</v>
      </c>
      <c r="D1040" t="s">
        <v>6778</v>
      </c>
      <c r="E1040" t="s">
        <v>6779</v>
      </c>
      <c r="F1040" t="str">
        <f>IF(Table2[[#This Row],[Date posted]]&lt; DATE(2015,9,18),"Before Crisis","During Crisis")</f>
        <v>Before Crisis</v>
      </c>
      <c r="G1040" s="27">
        <f t="shared" si="96"/>
        <v>42188</v>
      </c>
      <c r="H1040" s="7" t="str">
        <f t="shared" si="97"/>
        <v>17:40:31</v>
      </c>
      <c r="I1040" s="8" t="str">
        <f t="shared" si="98"/>
        <v>Afternoon</v>
      </c>
      <c r="J1040" t="s">
        <v>2370</v>
      </c>
      <c r="K1040" t="s">
        <v>2370</v>
      </c>
      <c r="L1040" s="3">
        <v>0</v>
      </c>
      <c r="M1040" s="3">
        <v>0</v>
      </c>
      <c r="N1040" s="3">
        <v>0</v>
      </c>
      <c r="O1040" s="4">
        <f t="shared" si="99"/>
        <v>0</v>
      </c>
      <c r="P1040" s="5" t="str">
        <f t="shared" si="100"/>
        <v>No engagement</v>
      </c>
      <c r="Q1040" t="b">
        <v>0</v>
      </c>
      <c r="R1040" t="b">
        <v>0</v>
      </c>
      <c r="S1040" t="b">
        <v>0</v>
      </c>
      <c r="T1040" s="24" t="str">
        <f t="shared" si="101"/>
        <v>Text only</v>
      </c>
    </row>
    <row r="1041" spans="1:20" hidden="1" x14ac:dyDescent="0.2">
      <c r="A1041" t="s">
        <v>6772</v>
      </c>
      <c r="B1041" t="s">
        <v>2365</v>
      </c>
      <c r="C1041" t="s">
        <v>2366</v>
      </c>
      <c r="D1041" t="s">
        <v>6773</v>
      </c>
      <c r="E1041" t="s">
        <v>6774</v>
      </c>
      <c r="F1041" t="str">
        <f>IF(Table2[[#This Row],[Date posted]]&lt; DATE(2015,9,18),"Before Crisis","During Crisis")</f>
        <v>Before Crisis</v>
      </c>
      <c r="G1041" s="27">
        <f t="shared" si="96"/>
        <v>42188</v>
      </c>
      <c r="H1041" s="7" t="str">
        <f t="shared" si="97"/>
        <v>17:40:32</v>
      </c>
      <c r="I1041" s="8" t="str">
        <f t="shared" si="98"/>
        <v>Afternoon</v>
      </c>
      <c r="J1041" t="s">
        <v>2947</v>
      </c>
      <c r="K1041" t="s">
        <v>2370</v>
      </c>
      <c r="L1041">
        <v>1</v>
      </c>
      <c r="M1041" s="3">
        <v>0</v>
      </c>
      <c r="N1041" s="3">
        <v>0</v>
      </c>
      <c r="O1041" s="4">
        <f t="shared" si="99"/>
        <v>1</v>
      </c>
      <c r="P1041" s="5" t="str">
        <f t="shared" si="100"/>
        <v>Low engagement</v>
      </c>
      <c r="Q1041" t="b">
        <v>0</v>
      </c>
      <c r="R1041" t="b">
        <v>0</v>
      </c>
      <c r="S1041" t="b">
        <v>1</v>
      </c>
      <c r="T1041" s="24" t="str">
        <f t="shared" si="101"/>
        <v>Link</v>
      </c>
    </row>
    <row r="1042" spans="1:20" hidden="1" x14ac:dyDescent="0.2">
      <c r="A1042" t="s">
        <v>6775</v>
      </c>
      <c r="B1042" t="s">
        <v>2365</v>
      </c>
      <c r="C1042" t="s">
        <v>2366</v>
      </c>
      <c r="D1042" t="s">
        <v>6776</v>
      </c>
      <c r="E1042" t="s">
        <v>6774</v>
      </c>
      <c r="F1042" t="str">
        <f>IF(Table2[[#This Row],[Date posted]]&lt; DATE(2015,9,18),"Before Crisis","During Crisis")</f>
        <v>Before Crisis</v>
      </c>
      <c r="G1042" s="27">
        <f t="shared" si="96"/>
        <v>42188</v>
      </c>
      <c r="H1042" s="7" t="str">
        <f t="shared" si="97"/>
        <v>17:40:32</v>
      </c>
      <c r="I1042" s="8" t="str">
        <f t="shared" si="98"/>
        <v>Afternoon</v>
      </c>
      <c r="J1042" t="s">
        <v>2370</v>
      </c>
      <c r="K1042" t="s">
        <v>2370</v>
      </c>
      <c r="L1042" s="3">
        <v>0</v>
      </c>
      <c r="M1042" s="3">
        <v>0</v>
      </c>
      <c r="N1042" s="3">
        <v>0</v>
      </c>
      <c r="O1042" s="4">
        <f t="shared" si="99"/>
        <v>0</v>
      </c>
      <c r="P1042" s="5" t="str">
        <f t="shared" si="100"/>
        <v>No engagement</v>
      </c>
      <c r="Q1042" t="b">
        <v>0</v>
      </c>
      <c r="R1042" t="b">
        <v>0</v>
      </c>
      <c r="S1042" t="b">
        <v>0</v>
      </c>
      <c r="T1042" s="24" t="str">
        <f t="shared" si="101"/>
        <v>Text only</v>
      </c>
    </row>
    <row r="1043" spans="1:20" hidden="1" x14ac:dyDescent="0.2">
      <c r="A1043" t="s">
        <v>6766</v>
      </c>
      <c r="B1043" t="s">
        <v>2365</v>
      </c>
      <c r="C1043" t="s">
        <v>2366</v>
      </c>
      <c r="D1043" t="s">
        <v>6767</v>
      </c>
      <c r="E1043" t="s">
        <v>6768</v>
      </c>
      <c r="F1043" t="str">
        <f>IF(Table2[[#This Row],[Date posted]]&lt; DATE(2015,9,18),"Before Crisis","During Crisis")</f>
        <v>Before Crisis</v>
      </c>
      <c r="G1043" s="27">
        <f t="shared" si="96"/>
        <v>42188</v>
      </c>
      <c r="H1043" s="7" t="str">
        <f t="shared" si="97"/>
        <v>21:09:17</v>
      </c>
      <c r="I1043" s="8" t="str">
        <f t="shared" si="98"/>
        <v>Evening</v>
      </c>
      <c r="J1043" t="s">
        <v>2370</v>
      </c>
      <c r="K1043" t="s">
        <v>2370</v>
      </c>
      <c r="L1043" s="3">
        <v>0</v>
      </c>
      <c r="M1043" s="3">
        <v>0</v>
      </c>
      <c r="N1043" s="3">
        <v>0</v>
      </c>
      <c r="O1043" s="4">
        <f t="shared" si="99"/>
        <v>0</v>
      </c>
      <c r="P1043" s="5" t="str">
        <f t="shared" si="100"/>
        <v>No engagement</v>
      </c>
      <c r="Q1043" t="b">
        <v>0</v>
      </c>
      <c r="R1043" t="b">
        <v>0</v>
      </c>
      <c r="S1043" t="b">
        <v>0</v>
      </c>
      <c r="T1043" s="24" t="str">
        <f t="shared" si="101"/>
        <v>Text only</v>
      </c>
    </row>
    <row r="1044" spans="1:20" hidden="1" x14ac:dyDescent="0.2">
      <c r="A1044" t="s">
        <v>6762</v>
      </c>
      <c r="B1044" t="s">
        <v>2365</v>
      </c>
      <c r="C1044" t="s">
        <v>2366</v>
      </c>
      <c r="D1044" t="s">
        <v>6763</v>
      </c>
      <c r="E1044" t="s">
        <v>6764</v>
      </c>
      <c r="F1044" t="str">
        <f>IF(Table2[[#This Row],[Date posted]]&lt; DATE(2015,9,18),"Before Crisis","During Crisis")</f>
        <v>Before Crisis</v>
      </c>
      <c r="G1044" s="27">
        <f t="shared" si="96"/>
        <v>42188</v>
      </c>
      <c r="H1044" s="7" t="str">
        <f t="shared" si="97"/>
        <v>21:16:23</v>
      </c>
      <c r="I1044" s="8" t="str">
        <f t="shared" si="98"/>
        <v>Evening</v>
      </c>
      <c r="J1044" t="s">
        <v>6765</v>
      </c>
      <c r="K1044" t="s">
        <v>2370</v>
      </c>
      <c r="L1044">
        <v>1</v>
      </c>
      <c r="M1044" s="3">
        <v>0</v>
      </c>
      <c r="N1044" s="3">
        <v>0</v>
      </c>
      <c r="O1044" s="4">
        <f t="shared" si="99"/>
        <v>1</v>
      </c>
      <c r="P1044" s="5" t="str">
        <f t="shared" si="100"/>
        <v>Low engagement</v>
      </c>
      <c r="Q1044" t="b">
        <v>0</v>
      </c>
      <c r="R1044" t="b">
        <v>0</v>
      </c>
      <c r="S1044" t="b">
        <v>1</v>
      </c>
      <c r="T1044" s="24" t="str">
        <f t="shared" si="101"/>
        <v>Link</v>
      </c>
    </row>
    <row r="1045" spans="1:20" x14ac:dyDescent="0.2">
      <c r="A1045" t="s">
        <v>6737</v>
      </c>
      <c r="B1045" t="s">
        <v>2365</v>
      </c>
      <c r="C1045" t="s">
        <v>2366</v>
      </c>
      <c r="D1045" t="s">
        <v>6738</v>
      </c>
      <c r="E1045" t="s">
        <v>6739</v>
      </c>
      <c r="F1045" t="str">
        <f>IF(Table2[[#This Row],[Date posted]]&lt; DATE(2015,9,18),"Before Crisis","During Crisis")</f>
        <v>Before Crisis</v>
      </c>
      <c r="G1045" s="27">
        <f t="shared" si="96"/>
        <v>42189</v>
      </c>
      <c r="H1045" s="7" t="str">
        <f t="shared" si="97"/>
        <v>03:52:05</v>
      </c>
      <c r="I1045" s="8" t="str">
        <f t="shared" si="98"/>
        <v>Early morning</v>
      </c>
      <c r="J1045" t="s">
        <v>6740</v>
      </c>
      <c r="K1045" t="s">
        <v>2370</v>
      </c>
      <c r="L1045">
        <v>1</v>
      </c>
      <c r="M1045" s="3">
        <v>0</v>
      </c>
      <c r="N1045" s="3">
        <v>0</v>
      </c>
      <c r="O1045" s="4">
        <f t="shared" si="99"/>
        <v>1</v>
      </c>
      <c r="P1045" s="5" t="str">
        <f t="shared" si="100"/>
        <v>Low engagement</v>
      </c>
      <c r="Q1045" t="b">
        <v>0</v>
      </c>
      <c r="R1045" t="b">
        <v>0</v>
      </c>
      <c r="S1045" t="b">
        <v>1</v>
      </c>
      <c r="T1045" s="24" t="str">
        <f t="shared" si="101"/>
        <v>Link</v>
      </c>
    </row>
    <row r="1046" spans="1:20" hidden="1" x14ac:dyDescent="0.2">
      <c r="A1046" t="s">
        <v>6694</v>
      </c>
      <c r="B1046" t="s">
        <v>2365</v>
      </c>
      <c r="C1046" t="s">
        <v>2366</v>
      </c>
      <c r="D1046" t="s">
        <v>6695</v>
      </c>
      <c r="E1046" t="s">
        <v>6696</v>
      </c>
      <c r="F1046" t="str">
        <f>IF(Table2[[#This Row],[Date posted]]&lt; DATE(2015,9,18),"Before Crisis","During Crisis")</f>
        <v>Before Crisis</v>
      </c>
      <c r="G1046" s="27">
        <f t="shared" si="96"/>
        <v>42191</v>
      </c>
      <c r="H1046" s="7" t="str">
        <f t="shared" si="97"/>
        <v>16:19:34</v>
      </c>
      <c r="I1046" s="8" t="str">
        <f t="shared" si="98"/>
        <v>Afternoon</v>
      </c>
      <c r="J1046" t="s">
        <v>6697</v>
      </c>
      <c r="K1046" t="s">
        <v>2370</v>
      </c>
      <c r="L1046" s="3">
        <v>0</v>
      </c>
      <c r="M1046" s="3">
        <v>0</v>
      </c>
      <c r="N1046" s="3">
        <v>0</v>
      </c>
      <c r="O1046" s="4">
        <f t="shared" si="99"/>
        <v>0</v>
      </c>
      <c r="P1046" s="5" t="str">
        <f t="shared" si="100"/>
        <v>No engagement</v>
      </c>
      <c r="Q1046" t="b">
        <v>0</v>
      </c>
      <c r="R1046" t="b">
        <v>0</v>
      </c>
      <c r="S1046" t="b">
        <v>0</v>
      </c>
      <c r="T1046" s="24" t="str">
        <f t="shared" si="101"/>
        <v>Text only</v>
      </c>
    </row>
    <row r="1047" spans="1:20" hidden="1" x14ac:dyDescent="0.2">
      <c r="A1047" t="s">
        <v>6686</v>
      </c>
      <c r="B1047" t="s">
        <v>2365</v>
      </c>
      <c r="C1047" t="s">
        <v>2366</v>
      </c>
      <c r="D1047" t="s">
        <v>6687</v>
      </c>
      <c r="E1047" t="s">
        <v>6688</v>
      </c>
      <c r="F1047" t="str">
        <f>IF(Table2[[#This Row],[Date posted]]&lt; DATE(2015,9,18),"Before Crisis","During Crisis")</f>
        <v>Before Crisis</v>
      </c>
      <c r="G1047" s="27">
        <f t="shared" si="96"/>
        <v>42191</v>
      </c>
      <c r="H1047" s="7" t="str">
        <f t="shared" si="97"/>
        <v>19:00:54</v>
      </c>
      <c r="I1047" s="8" t="str">
        <f t="shared" si="98"/>
        <v>Evening</v>
      </c>
      <c r="J1047" t="s">
        <v>6689</v>
      </c>
      <c r="K1047" t="s">
        <v>2370</v>
      </c>
      <c r="L1047" s="3">
        <v>0</v>
      </c>
      <c r="M1047" s="3">
        <v>0</v>
      </c>
      <c r="N1047" s="3">
        <v>0</v>
      </c>
      <c r="O1047" s="4">
        <f t="shared" si="99"/>
        <v>0</v>
      </c>
      <c r="P1047" s="5" t="str">
        <f t="shared" si="100"/>
        <v>No engagement</v>
      </c>
      <c r="Q1047" t="b">
        <v>0</v>
      </c>
      <c r="R1047" t="b">
        <v>0</v>
      </c>
      <c r="S1047" t="b">
        <v>0</v>
      </c>
      <c r="T1047" s="24" t="str">
        <f t="shared" si="101"/>
        <v>Text only</v>
      </c>
    </row>
    <row r="1048" spans="1:20" hidden="1" x14ac:dyDescent="0.2">
      <c r="A1048" t="s">
        <v>6683</v>
      </c>
      <c r="B1048" t="s">
        <v>2365</v>
      </c>
      <c r="C1048" t="s">
        <v>2366</v>
      </c>
      <c r="D1048" t="s">
        <v>6684</v>
      </c>
      <c r="E1048" t="s">
        <v>6685</v>
      </c>
      <c r="F1048" t="str">
        <f>IF(Table2[[#This Row],[Date posted]]&lt; DATE(2015,9,18),"Before Crisis","During Crisis")</f>
        <v>Before Crisis</v>
      </c>
      <c r="G1048" s="27">
        <f t="shared" si="96"/>
        <v>42191</v>
      </c>
      <c r="H1048" s="7" t="str">
        <f t="shared" si="97"/>
        <v>19:29:00</v>
      </c>
      <c r="I1048" s="8" t="str">
        <f t="shared" si="98"/>
        <v>Evening</v>
      </c>
      <c r="J1048" t="s">
        <v>2370</v>
      </c>
      <c r="K1048" t="s">
        <v>2370</v>
      </c>
      <c r="L1048" s="3">
        <v>0</v>
      </c>
      <c r="M1048" s="3">
        <v>0</v>
      </c>
      <c r="N1048" s="3">
        <v>0</v>
      </c>
      <c r="O1048" s="4">
        <f t="shared" si="99"/>
        <v>0</v>
      </c>
      <c r="P1048" s="5" t="str">
        <f t="shared" si="100"/>
        <v>No engagement</v>
      </c>
      <c r="Q1048" t="b">
        <v>0</v>
      </c>
      <c r="R1048" t="b">
        <v>0</v>
      </c>
      <c r="S1048" t="b">
        <v>0</v>
      </c>
      <c r="T1048" s="24" t="str">
        <f t="shared" si="101"/>
        <v>Text only</v>
      </c>
    </row>
    <row r="1049" spans="1:20" hidden="1" x14ac:dyDescent="0.2">
      <c r="A1049" t="s">
        <v>6678</v>
      </c>
      <c r="B1049" t="s">
        <v>2365</v>
      </c>
      <c r="C1049" t="s">
        <v>2366</v>
      </c>
      <c r="D1049" t="s">
        <v>6679</v>
      </c>
      <c r="E1049" t="s">
        <v>6680</v>
      </c>
      <c r="F1049" t="str">
        <f>IF(Table2[[#This Row],[Date posted]]&lt; DATE(2015,9,18),"Before Crisis","During Crisis")</f>
        <v>Before Crisis</v>
      </c>
      <c r="G1049" s="27">
        <f t="shared" si="96"/>
        <v>42191</v>
      </c>
      <c r="H1049" s="7" t="str">
        <f t="shared" si="97"/>
        <v>19:39:15</v>
      </c>
      <c r="I1049" s="8" t="str">
        <f t="shared" si="98"/>
        <v>Evening</v>
      </c>
      <c r="J1049" t="s">
        <v>2370</v>
      </c>
      <c r="K1049" t="s">
        <v>2370</v>
      </c>
      <c r="L1049">
        <v>1</v>
      </c>
      <c r="M1049" s="3">
        <v>0</v>
      </c>
      <c r="N1049" s="3">
        <v>0</v>
      </c>
      <c r="O1049" s="4">
        <f t="shared" si="99"/>
        <v>1</v>
      </c>
      <c r="P1049" s="5" t="str">
        <f t="shared" si="100"/>
        <v>Low engagement</v>
      </c>
      <c r="Q1049" t="b">
        <v>0</v>
      </c>
      <c r="R1049" t="b">
        <v>0</v>
      </c>
      <c r="S1049" t="b">
        <v>0</v>
      </c>
      <c r="T1049" s="24" t="str">
        <f t="shared" si="101"/>
        <v>Text only</v>
      </c>
    </row>
    <row r="1050" spans="1:20" hidden="1" x14ac:dyDescent="0.2">
      <c r="A1050" t="s">
        <v>6681</v>
      </c>
      <c r="B1050" t="s">
        <v>2365</v>
      </c>
      <c r="C1050" t="s">
        <v>2366</v>
      </c>
      <c r="D1050" t="s">
        <v>6682</v>
      </c>
      <c r="E1050" t="s">
        <v>6680</v>
      </c>
      <c r="F1050" t="str">
        <f>IF(Table2[[#This Row],[Date posted]]&lt; DATE(2015,9,18),"Before Crisis","During Crisis")</f>
        <v>Before Crisis</v>
      </c>
      <c r="G1050" s="27">
        <f t="shared" si="96"/>
        <v>42191</v>
      </c>
      <c r="H1050" s="7" t="str">
        <f t="shared" si="97"/>
        <v>19:39:15</v>
      </c>
      <c r="I1050" s="8" t="str">
        <f t="shared" si="98"/>
        <v>Evening</v>
      </c>
      <c r="J1050" t="s">
        <v>2370</v>
      </c>
      <c r="K1050" t="s">
        <v>2370</v>
      </c>
      <c r="L1050" s="3">
        <v>0</v>
      </c>
      <c r="M1050" s="3">
        <v>0</v>
      </c>
      <c r="N1050" s="3">
        <v>0</v>
      </c>
      <c r="O1050" s="4">
        <f t="shared" si="99"/>
        <v>0</v>
      </c>
      <c r="P1050" s="5" t="str">
        <f t="shared" si="100"/>
        <v>No engagement</v>
      </c>
      <c r="Q1050" t="b">
        <v>0</v>
      </c>
      <c r="R1050" t="b">
        <v>0</v>
      </c>
      <c r="S1050" t="b">
        <v>0</v>
      </c>
      <c r="T1050" s="24" t="str">
        <f t="shared" si="101"/>
        <v>Text only</v>
      </c>
    </row>
    <row r="1051" spans="1:20" hidden="1" x14ac:dyDescent="0.2">
      <c r="A1051" t="s">
        <v>6674</v>
      </c>
      <c r="B1051" t="s">
        <v>2365</v>
      </c>
      <c r="C1051" t="s">
        <v>2366</v>
      </c>
      <c r="D1051" t="s">
        <v>6675</v>
      </c>
      <c r="E1051" t="s">
        <v>6676</v>
      </c>
      <c r="F1051" t="str">
        <f>IF(Table2[[#This Row],[Date posted]]&lt; DATE(2015,9,18),"Before Crisis","During Crisis")</f>
        <v>Before Crisis</v>
      </c>
      <c r="G1051" s="27">
        <f t="shared" si="96"/>
        <v>42191</v>
      </c>
      <c r="H1051" s="7" t="str">
        <f t="shared" si="97"/>
        <v>19:45:49</v>
      </c>
      <c r="I1051" s="8" t="str">
        <f t="shared" si="98"/>
        <v>Evening</v>
      </c>
      <c r="J1051" t="s">
        <v>6677</v>
      </c>
      <c r="K1051" t="s">
        <v>2370</v>
      </c>
      <c r="L1051" s="3">
        <v>0</v>
      </c>
      <c r="M1051" s="3">
        <v>0</v>
      </c>
      <c r="N1051" s="3">
        <v>0</v>
      </c>
      <c r="O1051" s="4">
        <f t="shared" si="99"/>
        <v>0</v>
      </c>
      <c r="P1051" s="5" t="str">
        <f t="shared" si="100"/>
        <v>No engagement</v>
      </c>
      <c r="Q1051" t="b">
        <v>0</v>
      </c>
      <c r="R1051" t="b">
        <v>0</v>
      </c>
      <c r="S1051" t="b">
        <v>0</v>
      </c>
      <c r="T1051" s="24" t="str">
        <f t="shared" si="101"/>
        <v>Text only</v>
      </c>
    </row>
    <row r="1052" spans="1:20" hidden="1" x14ac:dyDescent="0.2">
      <c r="A1052" t="s">
        <v>6667</v>
      </c>
      <c r="B1052" t="s">
        <v>2365</v>
      </c>
      <c r="C1052" t="s">
        <v>2366</v>
      </c>
      <c r="D1052" t="s">
        <v>6668</v>
      </c>
      <c r="E1052" t="s">
        <v>6669</v>
      </c>
      <c r="F1052" t="str">
        <f>IF(Table2[[#This Row],[Date posted]]&lt; DATE(2015,9,18),"Before Crisis","During Crisis")</f>
        <v>Before Crisis</v>
      </c>
      <c r="G1052" s="27">
        <f t="shared" si="96"/>
        <v>42191</v>
      </c>
      <c r="H1052" s="7" t="str">
        <f t="shared" si="97"/>
        <v>20:38:31</v>
      </c>
      <c r="I1052" s="8" t="str">
        <f t="shared" si="98"/>
        <v>Evening</v>
      </c>
      <c r="J1052" t="s">
        <v>6670</v>
      </c>
      <c r="K1052" t="s">
        <v>2370</v>
      </c>
      <c r="L1052" s="3">
        <v>0</v>
      </c>
      <c r="M1052" s="3">
        <v>0</v>
      </c>
      <c r="N1052" s="3">
        <v>0</v>
      </c>
      <c r="O1052" s="4">
        <f t="shared" si="99"/>
        <v>0</v>
      </c>
      <c r="P1052" s="5" t="str">
        <f t="shared" si="100"/>
        <v>No engagement</v>
      </c>
      <c r="Q1052" t="b">
        <v>0</v>
      </c>
      <c r="R1052" t="b">
        <v>0</v>
      </c>
      <c r="S1052" t="b">
        <v>0</v>
      </c>
      <c r="T1052" s="24" t="str">
        <f t="shared" si="101"/>
        <v>Text only</v>
      </c>
    </row>
    <row r="1053" spans="1:20" hidden="1" x14ac:dyDescent="0.2">
      <c r="A1053" t="s">
        <v>6671</v>
      </c>
      <c r="B1053" t="s">
        <v>2365</v>
      </c>
      <c r="C1053" t="s">
        <v>2366</v>
      </c>
      <c r="D1053" t="s">
        <v>6672</v>
      </c>
      <c r="E1053" t="s">
        <v>6669</v>
      </c>
      <c r="F1053" t="str">
        <f>IF(Table2[[#This Row],[Date posted]]&lt; DATE(2015,9,18),"Before Crisis","During Crisis")</f>
        <v>Before Crisis</v>
      </c>
      <c r="G1053" s="27">
        <f t="shared" si="96"/>
        <v>42191</v>
      </c>
      <c r="H1053" s="7" t="str">
        <f t="shared" si="97"/>
        <v>20:38:31</v>
      </c>
      <c r="I1053" s="8" t="str">
        <f t="shared" si="98"/>
        <v>Evening</v>
      </c>
      <c r="J1053" t="s">
        <v>6673</v>
      </c>
      <c r="K1053" t="s">
        <v>2370</v>
      </c>
      <c r="L1053" s="3">
        <v>0</v>
      </c>
      <c r="M1053" s="3">
        <v>0</v>
      </c>
      <c r="N1053" s="3">
        <v>0</v>
      </c>
      <c r="O1053" s="4">
        <f t="shared" si="99"/>
        <v>0</v>
      </c>
      <c r="P1053" s="5" t="str">
        <f t="shared" si="100"/>
        <v>No engagement</v>
      </c>
      <c r="Q1053" t="b">
        <v>0</v>
      </c>
      <c r="R1053" t="b">
        <v>0</v>
      </c>
      <c r="S1053" t="b">
        <v>0</v>
      </c>
      <c r="T1053" s="24" t="str">
        <f t="shared" si="101"/>
        <v>Text only</v>
      </c>
    </row>
    <row r="1054" spans="1:20" hidden="1" x14ac:dyDescent="0.2">
      <c r="A1054" t="s">
        <v>6664</v>
      </c>
      <c r="B1054" t="s">
        <v>2365</v>
      </c>
      <c r="C1054" t="s">
        <v>2366</v>
      </c>
      <c r="D1054" t="s">
        <v>6665</v>
      </c>
      <c r="E1054" t="s">
        <v>6666</v>
      </c>
      <c r="F1054" t="str">
        <f>IF(Table2[[#This Row],[Date posted]]&lt; DATE(2015,9,18),"Before Crisis","During Crisis")</f>
        <v>Before Crisis</v>
      </c>
      <c r="G1054" s="27">
        <f t="shared" si="96"/>
        <v>42191</v>
      </c>
      <c r="H1054" s="7" t="str">
        <f t="shared" si="97"/>
        <v>20:38:32</v>
      </c>
      <c r="I1054" s="8" t="str">
        <f t="shared" si="98"/>
        <v>Evening</v>
      </c>
      <c r="J1054" t="s">
        <v>2370</v>
      </c>
      <c r="K1054" t="s">
        <v>2370</v>
      </c>
      <c r="L1054" s="3">
        <v>0</v>
      </c>
      <c r="M1054" s="3">
        <v>0</v>
      </c>
      <c r="N1054" s="3">
        <v>0</v>
      </c>
      <c r="O1054" s="4">
        <f t="shared" si="99"/>
        <v>0</v>
      </c>
      <c r="P1054" s="5" t="str">
        <f t="shared" si="100"/>
        <v>No engagement</v>
      </c>
      <c r="Q1054" t="b">
        <v>0</v>
      </c>
      <c r="R1054" t="b">
        <v>0</v>
      </c>
      <c r="S1054" t="b">
        <v>0</v>
      </c>
      <c r="T1054" s="24" t="str">
        <f t="shared" si="101"/>
        <v>Text only</v>
      </c>
    </row>
    <row r="1055" spans="1:20" hidden="1" x14ac:dyDescent="0.2">
      <c r="A1055" t="s">
        <v>6661</v>
      </c>
      <c r="B1055" t="s">
        <v>2365</v>
      </c>
      <c r="C1055" t="s">
        <v>2366</v>
      </c>
      <c r="D1055" t="s">
        <v>6662</v>
      </c>
      <c r="E1055" t="s">
        <v>6663</v>
      </c>
      <c r="F1055" t="str">
        <f>IF(Table2[[#This Row],[Date posted]]&lt; DATE(2015,9,18),"Before Crisis","During Crisis")</f>
        <v>Before Crisis</v>
      </c>
      <c r="G1055" s="27">
        <f t="shared" si="96"/>
        <v>42191</v>
      </c>
      <c r="H1055" s="7" t="str">
        <f t="shared" si="97"/>
        <v>20:41:51</v>
      </c>
      <c r="I1055" s="8" t="str">
        <f t="shared" si="98"/>
        <v>Evening</v>
      </c>
      <c r="J1055" t="s">
        <v>2370</v>
      </c>
      <c r="K1055" t="s">
        <v>2370</v>
      </c>
      <c r="L1055">
        <v>1</v>
      </c>
      <c r="M1055" s="3">
        <v>0</v>
      </c>
      <c r="N1055" s="3">
        <v>0</v>
      </c>
      <c r="O1055" s="4">
        <f t="shared" si="99"/>
        <v>1</v>
      </c>
      <c r="P1055" s="5" t="str">
        <f t="shared" si="100"/>
        <v>Low engagement</v>
      </c>
      <c r="Q1055" t="b">
        <v>0</v>
      </c>
      <c r="R1055" t="b">
        <v>0</v>
      </c>
      <c r="S1055" t="b">
        <v>0</v>
      </c>
      <c r="T1055" s="24" t="str">
        <f t="shared" si="101"/>
        <v>Text only</v>
      </c>
    </row>
    <row r="1056" spans="1:20" x14ac:dyDescent="0.2">
      <c r="A1056" t="s">
        <v>6658</v>
      </c>
      <c r="B1056" t="s">
        <v>2365</v>
      </c>
      <c r="C1056" t="s">
        <v>2366</v>
      </c>
      <c r="D1056" t="s">
        <v>6659</v>
      </c>
      <c r="E1056" t="s">
        <v>6656</v>
      </c>
      <c r="F1056" t="str">
        <f>IF(Table2[[#This Row],[Date posted]]&lt; DATE(2015,9,18),"Before Crisis","During Crisis")</f>
        <v>Before Crisis</v>
      </c>
      <c r="G1056" s="27">
        <f t="shared" si="96"/>
        <v>42192</v>
      </c>
      <c r="H1056" s="7" t="str">
        <f t="shared" si="97"/>
        <v>00:36:55</v>
      </c>
      <c r="I1056" s="8" t="str">
        <f t="shared" si="98"/>
        <v>Early morning</v>
      </c>
      <c r="J1056" t="s">
        <v>6660</v>
      </c>
      <c r="K1056" t="s">
        <v>2370</v>
      </c>
      <c r="L1056">
        <v>1</v>
      </c>
      <c r="M1056" s="3">
        <v>0</v>
      </c>
      <c r="N1056" s="3">
        <v>0</v>
      </c>
      <c r="O1056" s="4">
        <f t="shared" si="99"/>
        <v>1</v>
      </c>
      <c r="P1056" s="5" t="str">
        <f t="shared" si="100"/>
        <v>Low engagement</v>
      </c>
      <c r="Q1056" t="b">
        <v>0</v>
      </c>
      <c r="R1056" t="b">
        <v>0</v>
      </c>
      <c r="S1056" t="b">
        <v>0</v>
      </c>
      <c r="T1056" s="24" t="str">
        <f t="shared" si="101"/>
        <v>Text only</v>
      </c>
    </row>
    <row r="1057" spans="1:20" x14ac:dyDescent="0.2">
      <c r="A1057" t="s">
        <v>6650</v>
      </c>
      <c r="B1057" t="s">
        <v>2365</v>
      </c>
      <c r="C1057" t="s">
        <v>2366</v>
      </c>
      <c r="D1057" t="s">
        <v>6651</v>
      </c>
      <c r="E1057" t="s">
        <v>6652</v>
      </c>
      <c r="F1057" t="str">
        <f>IF(Table2[[#This Row],[Date posted]]&lt; DATE(2015,9,18),"Before Crisis","During Crisis")</f>
        <v>Before Crisis</v>
      </c>
      <c r="G1057" s="27">
        <f t="shared" si="96"/>
        <v>42192</v>
      </c>
      <c r="H1057" s="7" t="str">
        <f t="shared" si="97"/>
        <v>00:40:16</v>
      </c>
      <c r="I1057" s="8" t="str">
        <f t="shared" si="98"/>
        <v>Early morning</v>
      </c>
      <c r="J1057" t="s">
        <v>6653</v>
      </c>
      <c r="K1057" t="s">
        <v>2370</v>
      </c>
      <c r="L1057" s="3">
        <v>0</v>
      </c>
      <c r="M1057" s="3">
        <v>0</v>
      </c>
      <c r="N1057" s="3">
        <v>0</v>
      </c>
      <c r="O1057" s="4">
        <f t="shared" si="99"/>
        <v>0</v>
      </c>
      <c r="P1057" s="5" t="str">
        <f t="shared" si="100"/>
        <v>No engagement</v>
      </c>
      <c r="Q1057" t="b">
        <v>0</v>
      </c>
      <c r="R1057" t="b">
        <v>0</v>
      </c>
      <c r="S1057" t="b">
        <v>0</v>
      </c>
      <c r="T1057" s="24" t="str">
        <f t="shared" si="101"/>
        <v>Text only</v>
      </c>
    </row>
    <row r="1058" spans="1:20" x14ac:dyDescent="0.2">
      <c r="A1058" t="s">
        <v>6644</v>
      </c>
      <c r="B1058" t="s">
        <v>2365</v>
      </c>
      <c r="C1058" t="s">
        <v>2366</v>
      </c>
      <c r="D1058" t="s">
        <v>6645</v>
      </c>
      <c r="E1058" t="s">
        <v>6646</v>
      </c>
      <c r="F1058" t="str">
        <f>IF(Table2[[#This Row],[Date posted]]&lt; DATE(2015,9,18),"Before Crisis","During Crisis")</f>
        <v>Before Crisis</v>
      </c>
      <c r="G1058" s="27">
        <f t="shared" si="96"/>
        <v>42192</v>
      </c>
      <c r="H1058" s="7" t="str">
        <f t="shared" si="97"/>
        <v>00:40:17</v>
      </c>
      <c r="I1058" s="8" t="str">
        <f t="shared" si="98"/>
        <v>Early morning</v>
      </c>
      <c r="J1058" t="s">
        <v>6647</v>
      </c>
      <c r="K1058" t="s">
        <v>2370</v>
      </c>
      <c r="L1058" s="3">
        <v>0</v>
      </c>
      <c r="M1058">
        <v>2</v>
      </c>
      <c r="N1058" s="3">
        <v>0</v>
      </c>
      <c r="O1058" s="4">
        <f t="shared" si="99"/>
        <v>2</v>
      </c>
      <c r="P1058" s="5" t="str">
        <f t="shared" si="100"/>
        <v>Low engagement</v>
      </c>
      <c r="Q1058" t="b">
        <v>0</v>
      </c>
      <c r="R1058" t="b">
        <v>0</v>
      </c>
      <c r="S1058" t="b">
        <v>0</v>
      </c>
      <c r="T1058" s="24" t="str">
        <f t="shared" si="101"/>
        <v>Text only</v>
      </c>
    </row>
    <row r="1059" spans="1:20" x14ac:dyDescent="0.2">
      <c r="A1059" t="s">
        <v>6648</v>
      </c>
      <c r="B1059" t="s">
        <v>2365</v>
      </c>
      <c r="C1059" t="s">
        <v>2366</v>
      </c>
      <c r="D1059" t="s">
        <v>6649</v>
      </c>
      <c r="E1059" t="s">
        <v>6646</v>
      </c>
      <c r="F1059" t="str">
        <f>IF(Table2[[#This Row],[Date posted]]&lt; DATE(2015,9,18),"Before Crisis","During Crisis")</f>
        <v>Before Crisis</v>
      </c>
      <c r="G1059" s="27">
        <f t="shared" si="96"/>
        <v>42192</v>
      </c>
      <c r="H1059" s="7" t="str">
        <f t="shared" si="97"/>
        <v>00:40:17</v>
      </c>
      <c r="I1059" s="8" t="str">
        <f t="shared" si="98"/>
        <v>Early morning</v>
      </c>
      <c r="J1059" t="s">
        <v>6647</v>
      </c>
      <c r="K1059" t="s">
        <v>2370</v>
      </c>
      <c r="L1059" s="3">
        <v>0</v>
      </c>
      <c r="M1059">
        <v>1</v>
      </c>
      <c r="N1059" s="3">
        <v>0</v>
      </c>
      <c r="O1059" s="4">
        <f t="shared" si="99"/>
        <v>1</v>
      </c>
      <c r="P1059" s="5" t="str">
        <f t="shared" si="100"/>
        <v>Low engagement</v>
      </c>
      <c r="Q1059" t="b">
        <v>0</v>
      </c>
      <c r="R1059" t="b">
        <v>0</v>
      </c>
      <c r="S1059" t="b">
        <v>0</v>
      </c>
      <c r="T1059" s="24" t="str">
        <f t="shared" si="101"/>
        <v>Text only</v>
      </c>
    </row>
    <row r="1060" spans="1:20" x14ac:dyDescent="0.2">
      <c r="A1060" t="s">
        <v>6641</v>
      </c>
      <c r="B1060" t="s">
        <v>2365</v>
      </c>
      <c r="C1060" t="s">
        <v>2366</v>
      </c>
      <c r="D1060" t="s">
        <v>6642</v>
      </c>
      <c r="E1060" t="s">
        <v>6643</v>
      </c>
      <c r="F1060" t="str">
        <f>IF(Table2[[#This Row],[Date posted]]&lt; DATE(2015,9,18),"Before Crisis","During Crisis")</f>
        <v>Before Crisis</v>
      </c>
      <c r="G1060" s="27">
        <f t="shared" si="96"/>
        <v>42192</v>
      </c>
      <c r="H1060" s="7" t="str">
        <f t="shared" si="97"/>
        <v>00:43:45</v>
      </c>
      <c r="I1060" s="8" t="str">
        <f t="shared" si="98"/>
        <v>Early morning</v>
      </c>
      <c r="J1060" t="s">
        <v>2370</v>
      </c>
      <c r="K1060" t="s">
        <v>2370</v>
      </c>
      <c r="L1060" s="3">
        <v>0</v>
      </c>
      <c r="M1060" s="3">
        <v>0</v>
      </c>
      <c r="N1060" s="3">
        <v>0</v>
      </c>
      <c r="O1060" s="4">
        <f t="shared" si="99"/>
        <v>0</v>
      </c>
      <c r="P1060" s="5" t="str">
        <f t="shared" si="100"/>
        <v>No engagement</v>
      </c>
      <c r="Q1060" t="b">
        <v>0</v>
      </c>
      <c r="R1060" t="b">
        <v>0</v>
      </c>
      <c r="S1060" t="b">
        <v>0</v>
      </c>
      <c r="T1060" s="24" t="str">
        <f t="shared" si="101"/>
        <v>Text only</v>
      </c>
    </row>
    <row r="1061" spans="1:20" hidden="1" x14ac:dyDescent="0.2">
      <c r="A1061" t="s">
        <v>6622</v>
      </c>
      <c r="B1061" t="s">
        <v>2365</v>
      </c>
      <c r="C1061" t="s">
        <v>2366</v>
      </c>
      <c r="D1061" t="s">
        <v>6623</v>
      </c>
      <c r="E1061" t="s">
        <v>6624</v>
      </c>
      <c r="F1061" t="str">
        <f>IF(Table2[[#This Row],[Date posted]]&lt; DATE(2015,9,18),"Before Crisis","During Crisis")</f>
        <v>Before Crisis</v>
      </c>
      <c r="G1061" s="27">
        <f t="shared" si="96"/>
        <v>42192</v>
      </c>
      <c r="H1061" s="7" t="str">
        <f t="shared" si="97"/>
        <v>22:21:10</v>
      </c>
      <c r="I1061" s="8" t="str">
        <f t="shared" si="98"/>
        <v>Evening</v>
      </c>
      <c r="J1061" t="s">
        <v>6533</v>
      </c>
      <c r="K1061" t="s">
        <v>2370</v>
      </c>
      <c r="L1061" s="3">
        <v>0</v>
      </c>
      <c r="M1061" s="3">
        <v>0</v>
      </c>
      <c r="N1061" s="3">
        <v>0</v>
      </c>
      <c r="O1061" s="4">
        <f t="shared" si="99"/>
        <v>0</v>
      </c>
      <c r="P1061" s="5" t="str">
        <f t="shared" si="100"/>
        <v>No engagement</v>
      </c>
      <c r="Q1061" t="b">
        <v>0</v>
      </c>
      <c r="R1061" t="b">
        <v>0</v>
      </c>
      <c r="S1061" t="b">
        <v>0</v>
      </c>
      <c r="T1061" s="24" t="str">
        <f t="shared" si="101"/>
        <v>Text only</v>
      </c>
    </row>
    <row r="1062" spans="1:20" hidden="1" x14ac:dyDescent="0.2">
      <c r="A1062" t="s">
        <v>6617</v>
      </c>
      <c r="B1062" t="s">
        <v>2365</v>
      </c>
      <c r="C1062" t="s">
        <v>2366</v>
      </c>
      <c r="D1062" t="s">
        <v>6618</v>
      </c>
      <c r="E1062" t="s">
        <v>6619</v>
      </c>
      <c r="F1062" t="str">
        <f>IF(Table2[[#This Row],[Date posted]]&lt; DATE(2015,9,18),"Before Crisis","During Crisis")</f>
        <v>Before Crisis</v>
      </c>
      <c r="G1062" s="27">
        <f t="shared" si="96"/>
        <v>42192</v>
      </c>
      <c r="H1062" s="7" t="str">
        <f t="shared" si="97"/>
        <v>22:21:11</v>
      </c>
      <c r="I1062" s="8" t="str">
        <f t="shared" si="98"/>
        <v>Evening</v>
      </c>
      <c r="J1062" t="s">
        <v>6616</v>
      </c>
      <c r="K1062" t="s">
        <v>2370</v>
      </c>
      <c r="L1062">
        <v>1</v>
      </c>
      <c r="M1062" s="3">
        <v>0</v>
      </c>
      <c r="N1062" s="3">
        <v>0</v>
      </c>
      <c r="O1062" s="4">
        <f t="shared" si="99"/>
        <v>1</v>
      </c>
      <c r="P1062" s="5" t="str">
        <f t="shared" si="100"/>
        <v>Low engagement</v>
      </c>
      <c r="Q1062" t="b">
        <v>0</v>
      </c>
      <c r="R1062" t="b">
        <v>0</v>
      </c>
      <c r="S1062" t="b">
        <v>0</v>
      </c>
      <c r="T1062" s="24" t="str">
        <f t="shared" si="101"/>
        <v>Text only</v>
      </c>
    </row>
    <row r="1063" spans="1:20" hidden="1" x14ac:dyDescent="0.2">
      <c r="A1063" t="s">
        <v>6620</v>
      </c>
      <c r="B1063" t="s">
        <v>2365</v>
      </c>
      <c r="C1063" t="s">
        <v>2366</v>
      </c>
      <c r="D1063" t="s">
        <v>6621</v>
      </c>
      <c r="E1063" t="s">
        <v>6619</v>
      </c>
      <c r="F1063" t="str">
        <f>IF(Table2[[#This Row],[Date posted]]&lt; DATE(2015,9,18),"Before Crisis","During Crisis")</f>
        <v>Before Crisis</v>
      </c>
      <c r="G1063" s="27">
        <f t="shared" si="96"/>
        <v>42192</v>
      </c>
      <c r="H1063" s="7" t="str">
        <f t="shared" si="97"/>
        <v>22:21:11</v>
      </c>
      <c r="I1063" s="8" t="str">
        <f t="shared" si="98"/>
        <v>Evening</v>
      </c>
      <c r="J1063" t="s">
        <v>6533</v>
      </c>
      <c r="K1063" t="s">
        <v>2370</v>
      </c>
      <c r="L1063" s="3">
        <v>0</v>
      </c>
      <c r="M1063">
        <v>1</v>
      </c>
      <c r="N1063" s="3">
        <v>0</v>
      </c>
      <c r="O1063" s="4">
        <f t="shared" si="99"/>
        <v>1</v>
      </c>
      <c r="P1063" s="5" t="str">
        <f t="shared" si="100"/>
        <v>Low engagement</v>
      </c>
      <c r="Q1063" t="b">
        <v>0</v>
      </c>
      <c r="R1063" t="b">
        <v>0</v>
      </c>
      <c r="S1063" t="b">
        <v>1</v>
      </c>
      <c r="T1063" s="24" t="str">
        <f t="shared" si="101"/>
        <v>Link</v>
      </c>
    </row>
    <row r="1064" spans="1:20" hidden="1" x14ac:dyDescent="0.2">
      <c r="A1064" t="s">
        <v>6607</v>
      </c>
      <c r="B1064" t="s">
        <v>2365</v>
      </c>
      <c r="C1064" t="s">
        <v>2366</v>
      </c>
      <c r="D1064" t="s">
        <v>6608</v>
      </c>
      <c r="E1064" t="s">
        <v>6609</v>
      </c>
      <c r="F1064" t="str">
        <f>IF(Table2[[#This Row],[Date posted]]&lt; DATE(2015,9,18),"Before Crisis","During Crisis")</f>
        <v>Before Crisis</v>
      </c>
      <c r="G1064" s="27">
        <f t="shared" si="96"/>
        <v>42193</v>
      </c>
      <c r="H1064" s="7" t="str">
        <f t="shared" si="97"/>
        <v>12:15:01</v>
      </c>
      <c r="I1064" s="8" t="str">
        <f t="shared" si="98"/>
        <v>Mid-day</v>
      </c>
      <c r="J1064" t="s">
        <v>6606</v>
      </c>
      <c r="K1064" t="s">
        <v>2370</v>
      </c>
      <c r="L1064" s="3">
        <v>0</v>
      </c>
      <c r="M1064">
        <v>1</v>
      </c>
      <c r="N1064" s="3">
        <v>0</v>
      </c>
      <c r="O1064" s="4">
        <f t="shared" si="99"/>
        <v>1</v>
      </c>
      <c r="P1064" s="5" t="str">
        <f t="shared" si="100"/>
        <v>Low engagement</v>
      </c>
      <c r="Q1064" t="b">
        <v>0</v>
      </c>
      <c r="R1064" t="b">
        <v>0</v>
      </c>
      <c r="S1064" t="b">
        <v>0</v>
      </c>
      <c r="T1064" s="24" t="str">
        <f t="shared" si="101"/>
        <v>Text only</v>
      </c>
    </row>
    <row r="1065" spans="1:20" hidden="1" x14ac:dyDescent="0.2">
      <c r="A1065" t="s">
        <v>6610</v>
      </c>
      <c r="B1065" t="s">
        <v>2365</v>
      </c>
      <c r="C1065" t="s">
        <v>2366</v>
      </c>
      <c r="D1065" t="s">
        <v>6611</v>
      </c>
      <c r="E1065" t="s">
        <v>6609</v>
      </c>
      <c r="F1065" t="str">
        <f>IF(Table2[[#This Row],[Date posted]]&lt; DATE(2015,9,18),"Before Crisis","During Crisis")</f>
        <v>Before Crisis</v>
      </c>
      <c r="G1065" s="27">
        <f t="shared" si="96"/>
        <v>42193</v>
      </c>
      <c r="H1065" s="7" t="str">
        <f t="shared" si="97"/>
        <v>12:15:01</v>
      </c>
      <c r="I1065" s="8" t="str">
        <f t="shared" si="98"/>
        <v>Mid-day</v>
      </c>
      <c r="J1065" t="s">
        <v>6612</v>
      </c>
      <c r="K1065" t="s">
        <v>2370</v>
      </c>
      <c r="L1065" s="3">
        <v>0</v>
      </c>
      <c r="M1065" s="3">
        <v>0</v>
      </c>
      <c r="N1065" s="3">
        <v>0</v>
      </c>
      <c r="O1065" s="4">
        <f t="shared" si="99"/>
        <v>0</v>
      </c>
      <c r="P1065" s="5" t="str">
        <f t="shared" si="100"/>
        <v>No engagement</v>
      </c>
      <c r="Q1065" t="b">
        <v>0</v>
      </c>
      <c r="R1065" t="b">
        <v>0</v>
      </c>
      <c r="S1065" t="b">
        <v>0</v>
      </c>
      <c r="T1065" s="24" t="str">
        <f t="shared" si="101"/>
        <v>Text only</v>
      </c>
    </row>
    <row r="1066" spans="1:20" hidden="1" x14ac:dyDescent="0.2">
      <c r="A1066" t="s">
        <v>6595</v>
      </c>
      <c r="B1066" t="s">
        <v>2365</v>
      </c>
      <c r="C1066" t="s">
        <v>2366</v>
      </c>
      <c r="D1066" t="s">
        <v>6596</v>
      </c>
      <c r="E1066" t="s">
        <v>6597</v>
      </c>
      <c r="F1066" t="str">
        <f>IF(Table2[[#This Row],[Date posted]]&lt; DATE(2015,9,18),"Before Crisis","During Crisis")</f>
        <v>Before Crisis</v>
      </c>
      <c r="G1066" s="27">
        <f t="shared" si="96"/>
        <v>42193</v>
      </c>
      <c r="H1066" s="7" t="str">
        <f t="shared" si="97"/>
        <v>15:50:22</v>
      </c>
      <c r="I1066" s="8" t="str">
        <f t="shared" si="98"/>
        <v>Afternoon</v>
      </c>
      <c r="J1066" t="s">
        <v>6598</v>
      </c>
      <c r="K1066" t="s">
        <v>2370</v>
      </c>
      <c r="L1066" s="3">
        <v>0</v>
      </c>
      <c r="M1066" s="3">
        <v>0</v>
      </c>
      <c r="N1066" s="3">
        <v>0</v>
      </c>
      <c r="O1066" s="4">
        <f t="shared" si="99"/>
        <v>0</v>
      </c>
      <c r="P1066" s="5" t="str">
        <f t="shared" si="100"/>
        <v>No engagement</v>
      </c>
      <c r="Q1066" t="b">
        <v>0</v>
      </c>
      <c r="R1066" t="b">
        <v>0</v>
      </c>
      <c r="S1066" t="b">
        <v>1</v>
      </c>
      <c r="T1066" s="24" t="str">
        <f t="shared" si="101"/>
        <v>Link</v>
      </c>
    </row>
    <row r="1067" spans="1:20" hidden="1" x14ac:dyDescent="0.2">
      <c r="A1067" t="s">
        <v>6591</v>
      </c>
      <c r="B1067" t="s">
        <v>2365</v>
      </c>
      <c r="C1067" t="s">
        <v>2366</v>
      </c>
      <c r="D1067" t="s">
        <v>6592</v>
      </c>
      <c r="E1067" t="s">
        <v>6593</v>
      </c>
      <c r="F1067" t="str">
        <f>IF(Table2[[#This Row],[Date posted]]&lt; DATE(2015,9,18),"Before Crisis","During Crisis")</f>
        <v>Before Crisis</v>
      </c>
      <c r="G1067" s="27">
        <f t="shared" si="96"/>
        <v>42193</v>
      </c>
      <c r="H1067" s="7" t="str">
        <f t="shared" si="97"/>
        <v>16:35:23</v>
      </c>
      <c r="I1067" s="8" t="str">
        <f t="shared" si="98"/>
        <v>Afternoon</v>
      </c>
      <c r="J1067" t="s">
        <v>6594</v>
      </c>
      <c r="K1067" t="s">
        <v>2370</v>
      </c>
      <c r="L1067" s="3">
        <v>0</v>
      </c>
      <c r="M1067" s="3">
        <v>0</v>
      </c>
      <c r="N1067" s="3">
        <v>0</v>
      </c>
      <c r="O1067" s="4">
        <f t="shared" si="99"/>
        <v>0</v>
      </c>
      <c r="P1067" s="5" t="str">
        <f t="shared" si="100"/>
        <v>No engagement</v>
      </c>
      <c r="Q1067" t="b">
        <v>0</v>
      </c>
      <c r="R1067" t="b">
        <v>0</v>
      </c>
      <c r="S1067" t="b">
        <v>0</v>
      </c>
      <c r="T1067" s="24" t="str">
        <f t="shared" si="101"/>
        <v>Text only</v>
      </c>
    </row>
    <row r="1068" spans="1:20" hidden="1" x14ac:dyDescent="0.2">
      <c r="A1068" t="s">
        <v>6588</v>
      </c>
      <c r="B1068" t="s">
        <v>2365</v>
      </c>
      <c r="C1068" t="s">
        <v>2366</v>
      </c>
      <c r="D1068" t="s">
        <v>6589</v>
      </c>
      <c r="E1068" t="s">
        <v>6590</v>
      </c>
      <c r="F1068" t="str">
        <f>IF(Table2[[#This Row],[Date posted]]&lt; DATE(2015,9,18),"Before Crisis","During Crisis")</f>
        <v>Before Crisis</v>
      </c>
      <c r="G1068" s="27">
        <f t="shared" si="96"/>
        <v>42193</v>
      </c>
      <c r="H1068" s="7" t="str">
        <f t="shared" si="97"/>
        <v>16:35:24</v>
      </c>
      <c r="I1068" s="8" t="str">
        <f t="shared" si="98"/>
        <v>Afternoon</v>
      </c>
      <c r="J1068" t="s">
        <v>2370</v>
      </c>
      <c r="K1068" t="s">
        <v>2370</v>
      </c>
      <c r="L1068">
        <v>2</v>
      </c>
      <c r="M1068" s="3">
        <v>0</v>
      </c>
      <c r="N1068" s="3">
        <v>0</v>
      </c>
      <c r="O1068" s="4">
        <f t="shared" si="99"/>
        <v>2</v>
      </c>
      <c r="P1068" s="5" t="str">
        <f t="shared" si="100"/>
        <v>Low engagement</v>
      </c>
      <c r="Q1068" t="b">
        <v>0</v>
      </c>
      <c r="R1068" t="b">
        <v>0</v>
      </c>
      <c r="S1068" t="b">
        <v>0</v>
      </c>
      <c r="T1068" s="24" t="str">
        <f t="shared" si="101"/>
        <v>Text only</v>
      </c>
    </row>
    <row r="1069" spans="1:20" hidden="1" x14ac:dyDescent="0.2">
      <c r="A1069" t="s">
        <v>6585</v>
      </c>
      <c r="B1069" t="s">
        <v>2365</v>
      </c>
      <c r="C1069" t="s">
        <v>2366</v>
      </c>
      <c r="D1069" t="s">
        <v>6586</v>
      </c>
      <c r="E1069" t="s">
        <v>6587</v>
      </c>
      <c r="F1069" t="str">
        <f>IF(Table2[[#This Row],[Date posted]]&lt; DATE(2015,9,18),"Before Crisis","During Crisis")</f>
        <v>Before Crisis</v>
      </c>
      <c r="G1069" s="27">
        <f t="shared" si="96"/>
        <v>42193</v>
      </c>
      <c r="H1069" s="7" t="str">
        <f t="shared" si="97"/>
        <v>16:56:58</v>
      </c>
      <c r="I1069" s="8" t="str">
        <f t="shared" si="98"/>
        <v>Afternoon</v>
      </c>
      <c r="J1069" t="s">
        <v>2370</v>
      </c>
      <c r="K1069" t="s">
        <v>2370</v>
      </c>
      <c r="L1069" s="3">
        <v>0</v>
      </c>
      <c r="M1069" s="3">
        <v>0</v>
      </c>
      <c r="N1069" s="3">
        <v>0</v>
      </c>
      <c r="O1069" s="4">
        <f t="shared" si="99"/>
        <v>0</v>
      </c>
      <c r="P1069" s="5" t="str">
        <f t="shared" si="100"/>
        <v>No engagement</v>
      </c>
      <c r="Q1069" t="b">
        <v>0</v>
      </c>
      <c r="R1069" t="b">
        <v>0</v>
      </c>
      <c r="S1069" t="b">
        <v>0</v>
      </c>
      <c r="T1069" s="24" t="str">
        <f t="shared" si="101"/>
        <v>Text only</v>
      </c>
    </row>
    <row r="1070" spans="1:20" hidden="1" x14ac:dyDescent="0.2">
      <c r="A1070" t="s">
        <v>6582</v>
      </c>
      <c r="B1070" t="s">
        <v>2365</v>
      </c>
      <c r="C1070" t="s">
        <v>2366</v>
      </c>
      <c r="D1070" t="s">
        <v>6583</v>
      </c>
      <c r="E1070" t="s">
        <v>6584</v>
      </c>
      <c r="F1070" t="str">
        <f>IF(Table2[[#This Row],[Date posted]]&lt; DATE(2015,9,18),"Before Crisis","During Crisis")</f>
        <v>Before Crisis</v>
      </c>
      <c r="G1070" s="27">
        <f t="shared" si="96"/>
        <v>42193</v>
      </c>
      <c r="H1070" s="7" t="str">
        <f t="shared" si="97"/>
        <v>16:56:59</v>
      </c>
      <c r="I1070" s="8" t="str">
        <f t="shared" si="98"/>
        <v>Afternoon</v>
      </c>
      <c r="J1070" t="s">
        <v>2370</v>
      </c>
      <c r="K1070" t="s">
        <v>2370</v>
      </c>
      <c r="L1070" s="3">
        <v>0</v>
      </c>
      <c r="M1070" s="3">
        <v>0</v>
      </c>
      <c r="N1070" s="3">
        <v>0</v>
      </c>
      <c r="O1070" s="4">
        <f t="shared" si="99"/>
        <v>0</v>
      </c>
      <c r="P1070" s="5" t="str">
        <f t="shared" si="100"/>
        <v>No engagement</v>
      </c>
      <c r="Q1070" t="b">
        <v>0</v>
      </c>
      <c r="R1070" t="b">
        <v>0</v>
      </c>
      <c r="S1070" t="b">
        <v>0</v>
      </c>
      <c r="T1070" s="24" t="str">
        <f t="shared" si="101"/>
        <v>Text only</v>
      </c>
    </row>
    <row r="1071" spans="1:20" hidden="1" x14ac:dyDescent="0.2">
      <c r="A1071" t="s">
        <v>6579</v>
      </c>
      <c r="B1071" t="s">
        <v>2365</v>
      </c>
      <c r="C1071" t="s">
        <v>2366</v>
      </c>
      <c r="D1071" t="s">
        <v>6580</v>
      </c>
      <c r="E1071" t="s">
        <v>6581</v>
      </c>
      <c r="F1071" t="str">
        <f>IF(Table2[[#This Row],[Date posted]]&lt; DATE(2015,9,18),"Before Crisis","During Crisis")</f>
        <v>Before Crisis</v>
      </c>
      <c r="G1071" s="27">
        <f t="shared" si="96"/>
        <v>42193</v>
      </c>
      <c r="H1071" s="7" t="str">
        <f t="shared" si="97"/>
        <v>17:44:55</v>
      </c>
      <c r="I1071" s="8" t="str">
        <f t="shared" si="98"/>
        <v>Afternoon</v>
      </c>
      <c r="J1071" t="s">
        <v>6578</v>
      </c>
      <c r="K1071" t="s">
        <v>2370</v>
      </c>
      <c r="L1071" s="3">
        <v>0</v>
      </c>
      <c r="M1071" s="3">
        <v>0</v>
      </c>
      <c r="N1071" s="3">
        <v>0</v>
      </c>
      <c r="O1071" s="4">
        <f t="shared" si="99"/>
        <v>0</v>
      </c>
      <c r="P1071" s="5" t="str">
        <f t="shared" si="100"/>
        <v>No engagement</v>
      </c>
      <c r="Q1071" t="b">
        <v>0</v>
      </c>
      <c r="R1071" t="b">
        <v>0</v>
      </c>
      <c r="S1071" t="b">
        <v>0</v>
      </c>
      <c r="T1071" s="24" t="str">
        <f t="shared" si="101"/>
        <v>Text only</v>
      </c>
    </row>
    <row r="1072" spans="1:20" hidden="1" x14ac:dyDescent="0.2">
      <c r="A1072" t="s">
        <v>6575</v>
      </c>
      <c r="B1072" t="s">
        <v>2365</v>
      </c>
      <c r="C1072" t="s">
        <v>2366</v>
      </c>
      <c r="D1072" t="s">
        <v>6576</v>
      </c>
      <c r="E1072" t="s">
        <v>6577</v>
      </c>
      <c r="F1072" t="str">
        <f>IF(Table2[[#This Row],[Date posted]]&lt; DATE(2015,9,18),"Before Crisis","During Crisis")</f>
        <v>Before Crisis</v>
      </c>
      <c r="G1072" s="27">
        <f t="shared" si="96"/>
        <v>42193</v>
      </c>
      <c r="H1072" s="7" t="str">
        <f t="shared" si="97"/>
        <v>17:44:56</v>
      </c>
      <c r="I1072" s="8" t="str">
        <f t="shared" si="98"/>
        <v>Afternoon</v>
      </c>
      <c r="J1072" t="s">
        <v>6578</v>
      </c>
      <c r="K1072" t="s">
        <v>2370</v>
      </c>
      <c r="L1072" s="3">
        <v>0</v>
      </c>
      <c r="M1072">
        <v>1</v>
      </c>
      <c r="N1072" s="3">
        <v>0</v>
      </c>
      <c r="O1072" s="4">
        <f t="shared" si="99"/>
        <v>1</v>
      </c>
      <c r="P1072" s="5" t="str">
        <f t="shared" si="100"/>
        <v>Low engagement</v>
      </c>
      <c r="Q1072" t="b">
        <v>0</v>
      </c>
      <c r="R1072" t="b">
        <v>0</v>
      </c>
      <c r="S1072" t="b">
        <v>0</v>
      </c>
      <c r="T1072" s="24" t="str">
        <f t="shared" si="101"/>
        <v>Text only</v>
      </c>
    </row>
    <row r="1073" spans="1:20" hidden="1" x14ac:dyDescent="0.2">
      <c r="A1073" t="s">
        <v>6567</v>
      </c>
      <c r="B1073" t="s">
        <v>2365</v>
      </c>
      <c r="C1073" t="s">
        <v>2366</v>
      </c>
      <c r="D1073" t="s">
        <v>6568</v>
      </c>
      <c r="E1073" t="s">
        <v>6569</v>
      </c>
      <c r="F1073" t="str">
        <f>IF(Table2[[#This Row],[Date posted]]&lt; DATE(2015,9,18),"Before Crisis","During Crisis")</f>
        <v>Before Crisis</v>
      </c>
      <c r="G1073" s="27">
        <f t="shared" si="96"/>
        <v>42193</v>
      </c>
      <c r="H1073" s="7" t="str">
        <f t="shared" si="97"/>
        <v>20:04:32</v>
      </c>
      <c r="I1073" s="8" t="str">
        <f t="shared" si="98"/>
        <v>Evening</v>
      </c>
      <c r="J1073" t="s">
        <v>6570</v>
      </c>
      <c r="K1073" t="s">
        <v>2370</v>
      </c>
      <c r="L1073" s="3">
        <v>0</v>
      </c>
      <c r="M1073" s="3">
        <v>0</v>
      </c>
      <c r="N1073" s="3">
        <v>0</v>
      </c>
      <c r="O1073" s="4">
        <f t="shared" si="99"/>
        <v>0</v>
      </c>
      <c r="P1073" s="5" t="str">
        <f t="shared" si="100"/>
        <v>No engagement</v>
      </c>
      <c r="Q1073" t="b">
        <v>0</v>
      </c>
      <c r="R1073" t="b">
        <v>0</v>
      </c>
      <c r="S1073" t="b">
        <v>0</v>
      </c>
      <c r="T1073" s="24" t="str">
        <f t="shared" si="101"/>
        <v>Text only</v>
      </c>
    </row>
    <row r="1074" spans="1:20" hidden="1" x14ac:dyDescent="0.2">
      <c r="A1074" t="s">
        <v>6571</v>
      </c>
      <c r="B1074" t="s">
        <v>2365</v>
      </c>
      <c r="C1074" t="s">
        <v>2366</v>
      </c>
      <c r="D1074" t="s">
        <v>6572</v>
      </c>
      <c r="E1074" t="s">
        <v>6569</v>
      </c>
      <c r="F1074" t="str">
        <f>IF(Table2[[#This Row],[Date posted]]&lt; DATE(2015,9,18),"Before Crisis","During Crisis")</f>
        <v>Before Crisis</v>
      </c>
      <c r="G1074" s="27">
        <f t="shared" si="96"/>
        <v>42193</v>
      </c>
      <c r="H1074" s="7" t="str">
        <f t="shared" si="97"/>
        <v>20:04:32</v>
      </c>
      <c r="I1074" s="8" t="str">
        <f t="shared" si="98"/>
        <v>Evening</v>
      </c>
      <c r="J1074" t="s">
        <v>2370</v>
      </c>
      <c r="K1074" t="s">
        <v>2370</v>
      </c>
      <c r="L1074" s="3">
        <v>0</v>
      </c>
      <c r="M1074" s="3">
        <v>0</v>
      </c>
      <c r="N1074" s="3">
        <v>0</v>
      </c>
      <c r="O1074" s="4">
        <f t="shared" si="99"/>
        <v>0</v>
      </c>
      <c r="P1074" s="5" t="str">
        <f t="shared" si="100"/>
        <v>No engagement</v>
      </c>
      <c r="Q1074" t="b">
        <v>0</v>
      </c>
      <c r="R1074" t="b">
        <v>0</v>
      </c>
      <c r="S1074" t="b">
        <v>0</v>
      </c>
      <c r="T1074" s="24" t="str">
        <f t="shared" si="101"/>
        <v>Text only</v>
      </c>
    </row>
    <row r="1075" spans="1:20" hidden="1" x14ac:dyDescent="0.2">
      <c r="A1075" t="s">
        <v>6562</v>
      </c>
      <c r="B1075" t="s">
        <v>2365</v>
      </c>
      <c r="C1075" t="s">
        <v>2366</v>
      </c>
      <c r="D1075" t="s">
        <v>6563</v>
      </c>
      <c r="E1075" t="s">
        <v>6564</v>
      </c>
      <c r="F1075" t="str">
        <f>IF(Table2[[#This Row],[Date posted]]&lt; DATE(2015,9,18),"Before Crisis","During Crisis")</f>
        <v>Before Crisis</v>
      </c>
      <c r="G1075" s="27">
        <f t="shared" si="96"/>
        <v>42193</v>
      </c>
      <c r="H1075" s="7" t="str">
        <f t="shared" si="97"/>
        <v>20:04:33</v>
      </c>
      <c r="I1075" s="8" t="str">
        <f t="shared" si="98"/>
        <v>Evening</v>
      </c>
      <c r="J1075" t="s">
        <v>2370</v>
      </c>
      <c r="K1075" t="s">
        <v>2370</v>
      </c>
      <c r="L1075" s="3">
        <v>0</v>
      </c>
      <c r="M1075" s="3">
        <v>0</v>
      </c>
      <c r="N1075" s="3">
        <v>0</v>
      </c>
      <c r="O1075" s="4">
        <f t="shared" si="99"/>
        <v>0</v>
      </c>
      <c r="P1075" s="5" t="str">
        <f t="shared" si="100"/>
        <v>No engagement</v>
      </c>
      <c r="Q1075" t="b">
        <v>0</v>
      </c>
      <c r="R1075" t="b">
        <v>0</v>
      </c>
      <c r="S1075" t="b">
        <v>1</v>
      </c>
      <c r="T1075" s="24" t="str">
        <f t="shared" si="101"/>
        <v>Link</v>
      </c>
    </row>
    <row r="1076" spans="1:20" hidden="1" x14ac:dyDescent="0.2">
      <c r="A1076" t="s">
        <v>6565</v>
      </c>
      <c r="B1076" t="s">
        <v>2365</v>
      </c>
      <c r="C1076" t="s">
        <v>2366</v>
      </c>
      <c r="D1076" t="s">
        <v>6566</v>
      </c>
      <c r="E1076" t="s">
        <v>6564</v>
      </c>
      <c r="F1076" t="str">
        <f>IF(Table2[[#This Row],[Date posted]]&lt; DATE(2015,9,18),"Before Crisis","During Crisis")</f>
        <v>Before Crisis</v>
      </c>
      <c r="G1076" s="27">
        <f t="shared" si="96"/>
        <v>42193</v>
      </c>
      <c r="H1076" s="7" t="str">
        <f t="shared" si="97"/>
        <v>20:04:33</v>
      </c>
      <c r="I1076" s="8" t="str">
        <f t="shared" si="98"/>
        <v>Evening</v>
      </c>
      <c r="J1076" t="s">
        <v>2370</v>
      </c>
      <c r="K1076" t="s">
        <v>2370</v>
      </c>
      <c r="L1076" s="3">
        <v>0</v>
      </c>
      <c r="M1076" s="3">
        <v>0</v>
      </c>
      <c r="N1076" s="3">
        <v>0</v>
      </c>
      <c r="O1076" s="4">
        <f t="shared" si="99"/>
        <v>0</v>
      </c>
      <c r="P1076" s="5" t="str">
        <f t="shared" si="100"/>
        <v>No engagement</v>
      </c>
      <c r="Q1076" t="b">
        <v>0</v>
      </c>
      <c r="R1076" t="b">
        <v>0</v>
      </c>
      <c r="S1076" t="b">
        <v>0</v>
      </c>
      <c r="T1076" s="24" t="str">
        <f t="shared" si="101"/>
        <v>Text only</v>
      </c>
    </row>
    <row r="1077" spans="1:20" hidden="1" x14ac:dyDescent="0.2">
      <c r="A1077" t="s">
        <v>6558</v>
      </c>
      <c r="B1077" t="s">
        <v>2365</v>
      </c>
      <c r="C1077" t="s">
        <v>2366</v>
      </c>
      <c r="D1077" t="s">
        <v>6559</v>
      </c>
      <c r="E1077" t="s">
        <v>6560</v>
      </c>
      <c r="F1077" t="str">
        <f>IF(Table2[[#This Row],[Date posted]]&lt; DATE(2015,9,18),"Before Crisis","During Crisis")</f>
        <v>Before Crisis</v>
      </c>
      <c r="G1077" s="27">
        <f t="shared" si="96"/>
        <v>42193</v>
      </c>
      <c r="H1077" s="7" t="str">
        <f t="shared" si="97"/>
        <v>20:04:34</v>
      </c>
      <c r="I1077" s="8" t="str">
        <f t="shared" si="98"/>
        <v>Evening</v>
      </c>
      <c r="J1077" t="s">
        <v>6561</v>
      </c>
      <c r="K1077" t="s">
        <v>2370</v>
      </c>
      <c r="L1077">
        <v>1</v>
      </c>
      <c r="M1077" s="3">
        <v>0</v>
      </c>
      <c r="N1077" s="3">
        <v>0</v>
      </c>
      <c r="O1077" s="4">
        <f t="shared" si="99"/>
        <v>1</v>
      </c>
      <c r="P1077" s="5" t="str">
        <f t="shared" si="100"/>
        <v>Low engagement</v>
      </c>
      <c r="Q1077" t="b">
        <v>0</v>
      </c>
      <c r="R1077" t="b">
        <v>0</v>
      </c>
      <c r="S1077" t="b">
        <v>0</v>
      </c>
      <c r="T1077" s="24" t="str">
        <f t="shared" si="101"/>
        <v>Text only</v>
      </c>
    </row>
    <row r="1078" spans="1:20" hidden="1" x14ac:dyDescent="0.2">
      <c r="A1078" t="s">
        <v>6555</v>
      </c>
      <c r="B1078" t="s">
        <v>2365</v>
      </c>
      <c r="C1078" t="s">
        <v>2366</v>
      </c>
      <c r="D1078" t="s">
        <v>6556</v>
      </c>
      <c r="E1078" t="s">
        <v>6557</v>
      </c>
      <c r="F1078" t="str">
        <f>IF(Table2[[#This Row],[Date posted]]&lt; DATE(2015,9,18),"Before Crisis","During Crisis")</f>
        <v>Before Crisis</v>
      </c>
      <c r="G1078" s="27">
        <f t="shared" si="96"/>
        <v>42193</v>
      </c>
      <c r="H1078" s="7" t="str">
        <f t="shared" si="97"/>
        <v>20:28:23</v>
      </c>
      <c r="I1078" s="8" t="str">
        <f t="shared" si="98"/>
        <v>Evening</v>
      </c>
      <c r="J1078" t="s">
        <v>2370</v>
      </c>
      <c r="K1078" t="s">
        <v>2370</v>
      </c>
      <c r="L1078">
        <v>1</v>
      </c>
      <c r="M1078" s="3">
        <v>0</v>
      </c>
      <c r="N1078" s="3">
        <v>0</v>
      </c>
      <c r="O1078" s="4">
        <f t="shared" si="99"/>
        <v>1</v>
      </c>
      <c r="P1078" s="5" t="str">
        <f t="shared" si="100"/>
        <v>Low engagement</v>
      </c>
      <c r="Q1078" t="b">
        <v>0</v>
      </c>
      <c r="R1078" t="b">
        <v>0</v>
      </c>
      <c r="S1078" t="b">
        <v>0</v>
      </c>
      <c r="T1078" s="24" t="str">
        <f t="shared" si="101"/>
        <v>Text only</v>
      </c>
    </row>
    <row r="1079" spans="1:20" hidden="1" x14ac:dyDescent="0.2">
      <c r="A1079" t="s">
        <v>6519</v>
      </c>
      <c r="B1079" t="s">
        <v>2365</v>
      </c>
      <c r="C1079" t="s">
        <v>2366</v>
      </c>
      <c r="D1079" t="s">
        <v>6520</v>
      </c>
      <c r="E1079" t="s">
        <v>6521</v>
      </c>
      <c r="F1079" t="str">
        <f>IF(Table2[[#This Row],[Date posted]]&lt; DATE(2015,9,18),"Before Crisis","During Crisis")</f>
        <v>Before Crisis</v>
      </c>
      <c r="G1079" s="27">
        <f t="shared" si="96"/>
        <v>42194</v>
      </c>
      <c r="H1079" s="7" t="str">
        <f t="shared" si="97"/>
        <v>19:08:10</v>
      </c>
      <c r="I1079" s="8" t="str">
        <f t="shared" si="98"/>
        <v>Evening</v>
      </c>
      <c r="J1079" t="s">
        <v>5299</v>
      </c>
      <c r="K1079" t="s">
        <v>2370</v>
      </c>
      <c r="L1079" s="3">
        <v>0</v>
      </c>
      <c r="M1079" s="3">
        <v>0</v>
      </c>
      <c r="N1079" s="3">
        <v>0</v>
      </c>
      <c r="O1079" s="4">
        <f t="shared" si="99"/>
        <v>0</v>
      </c>
      <c r="P1079" s="5" t="str">
        <f t="shared" si="100"/>
        <v>No engagement</v>
      </c>
      <c r="Q1079" t="b">
        <v>0</v>
      </c>
      <c r="R1079" t="b">
        <v>0</v>
      </c>
      <c r="S1079" t="b">
        <v>0</v>
      </c>
      <c r="T1079" s="24" t="str">
        <f t="shared" si="101"/>
        <v>Text only</v>
      </c>
    </row>
    <row r="1080" spans="1:20" hidden="1" x14ac:dyDescent="0.2">
      <c r="A1080" t="s">
        <v>6522</v>
      </c>
      <c r="B1080" t="s">
        <v>2365</v>
      </c>
      <c r="C1080" t="s">
        <v>2366</v>
      </c>
      <c r="D1080" t="s">
        <v>6523</v>
      </c>
      <c r="E1080" t="s">
        <v>6521</v>
      </c>
      <c r="F1080" t="str">
        <f>IF(Table2[[#This Row],[Date posted]]&lt; DATE(2015,9,18),"Before Crisis","During Crisis")</f>
        <v>Before Crisis</v>
      </c>
      <c r="G1080" s="27">
        <f t="shared" si="96"/>
        <v>42194</v>
      </c>
      <c r="H1080" s="7" t="str">
        <f t="shared" si="97"/>
        <v>19:08:10</v>
      </c>
      <c r="I1080" s="8" t="str">
        <f t="shared" si="98"/>
        <v>Evening</v>
      </c>
      <c r="J1080" t="s">
        <v>6524</v>
      </c>
      <c r="K1080" t="s">
        <v>2370</v>
      </c>
      <c r="L1080" s="3">
        <v>0</v>
      </c>
      <c r="M1080">
        <v>1</v>
      </c>
      <c r="N1080" s="3">
        <v>0</v>
      </c>
      <c r="O1080" s="4">
        <f t="shared" si="99"/>
        <v>1</v>
      </c>
      <c r="P1080" s="5" t="str">
        <f t="shared" si="100"/>
        <v>Low engagement</v>
      </c>
      <c r="Q1080" t="b">
        <v>0</v>
      </c>
      <c r="R1080" t="b">
        <v>0</v>
      </c>
      <c r="S1080" t="b">
        <v>0</v>
      </c>
      <c r="T1080" s="24" t="str">
        <f t="shared" si="101"/>
        <v>Text only</v>
      </c>
    </row>
    <row r="1081" spans="1:20" hidden="1" x14ac:dyDescent="0.2">
      <c r="A1081" t="s">
        <v>6509</v>
      </c>
      <c r="B1081" t="s">
        <v>2365</v>
      </c>
      <c r="C1081" t="s">
        <v>2366</v>
      </c>
      <c r="D1081" t="s">
        <v>6510</v>
      </c>
      <c r="E1081" t="s">
        <v>6511</v>
      </c>
      <c r="F1081" t="str">
        <f>IF(Table2[[#This Row],[Date posted]]&lt; DATE(2015,9,18),"Before Crisis","During Crisis")</f>
        <v>Before Crisis</v>
      </c>
      <c r="G1081" s="27">
        <f t="shared" si="96"/>
        <v>42194</v>
      </c>
      <c r="H1081" s="7" t="str">
        <f t="shared" si="97"/>
        <v>19:15:00</v>
      </c>
      <c r="I1081" s="8" t="str">
        <f t="shared" si="98"/>
        <v>Evening</v>
      </c>
      <c r="J1081" t="s">
        <v>4290</v>
      </c>
      <c r="K1081" t="s">
        <v>2370</v>
      </c>
      <c r="L1081" s="3">
        <v>0</v>
      </c>
      <c r="M1081" s="3">
        <v>0</v>
      </c>
      <c r="N1081" s="3">
        <v>0</v>
      </c>
      <c r="O1081" s="4">
        <f t="shared" si="99"/>
        <v>0</v>
      </c>
      <c r="P1081" s="5" t="str">
        <f t="shared" si="100"/>
        <v>No engagement</v>
      </c>
      <c r="Q1081" t="b">
        <v>0</v>
      </c>
      <c r="R1081" t="b">
        <v>0</v>
      </c>
      <c r="S1081" t="b">
        <v>0</v>
      </c>
      <c r="T1081" s="24" t="str">
        <f t="shared" si="101"/>
        <v>Text only</v>
      </c>
    </row>
    <row r="1082" spans="1:20" hidden="1" x14ac:dyDescent="0.2">
      <c r="A1082" t="s">
        <v>6496</v>
      </c>
      <c r="B1082" t="s">
        <v>2365</v>
      </c>
      <c r="C1082" t="s">
        <v>2366</v>
      </c>
      <c r="D1082" t="s">
        <v>6497</v>
      </c>
      <c r="E1082" t="s">
        <v>6498</v>
      </c>
      <c r="F1082" t="str">
        <f>IF(Table2[[#This Row],[Date posted]]&lt; DATE(2015,9,18),"Before Crisis","During Crisis")</f>
        <v>Before Crisis</v>
      </c>
      <c r="G1082" s="27">
        <f t="shared" si="96"/>
        <v>42195</v>
      </c>
      <c r="H1082" s="7" t="str">
        <f t="shared" si="97"/>
        <v>12:56:48</v>
      </c>
      <c r="I1082" s="8" t="str">
        <f t="shared" si="98"/>
        <v>Mid-day</v>
      </c>
      <c r="J1082" t="s">
        <v>2370</v>
      </c>
      <c r="K1082" t="s">
        <v>2370</v>
      </c>
      <c r="L1082" s="3">
        <v>0</v>
      </c>
      <c r="M1082" s="3">
        <v>0</v>
      </c>
      <c r="N1082" s="3">
        <v>0</v>
      </c>
      <c r="O1082" s="4">
        <f t="shared" si="99"/>
        <v>0</v>
      </c>
      <c r="P1082" s="5" t="str">
        <f t="shared" si="100"/>
        <v>No engagement</v>
      </c>
      <c r="Q1082" t="b">
        <v>0</v>
      </c>
      <c r="R1082" t="b">
        <v>0</v>
      </c>
      <c r="S1082" t="b">
        <v>1</v>
      </c>
      <c r="T1082" s="24" t="str">
        <f t="shared" si="101"/>
        <v>Link</v>
      </c>
    </row>
    <row r="1083" spans="1:20" hidden="1" x14ac:dyDescent="0.2">
      <c r="A1083" t="s">
        <v>6492</v>
      </c>
      <c r="B1083" t="s">
        <v>2365</v>
      </c>
      <c r="C1083" t="s">
        <v>2366</v>
      </c>
      <c r="D1083" t="s">
        <v>6493</v>
      </c>
      <c r="E1083" t="s">
        <v>6494</v>
      </c>
      <c r="F1083" t="str">
        <f>IF(Table2[[#This Row],[Date posted]]&lt; DATE(2015,9,18),"Before Crisis","During Crisis")</f>
        <v>Before Crisis</v>
      </c>
      <c r="G1083" s="27">
        <f t="shared" si="96"/>
        <v>42195</v>
      </c>
      <c r="H1083" s="7" t="str">
        <f t="shared" si="97"/>
        <v>23:48:34</v>
      </c>
      <c r="I1083" s="8" t="str">
        <f t="shared" si="98"/>
        <v>Evening</v>
      </c>
      <c r="J1083" t="s">
        <v>6495</v>
      </c>
      <c r="K1083" t="s">
        <v>2370</v>
      </c>
      <c r="L1083">
        <v>1</v>
      </c>
      <c r="M1083" s="3">
        <v>0</v>
      </c>
      <c r="N1083" s="3">
        <v>0</v>
      </c>
      <c r="O1083" s="4">
        <f t="shared" si="99"/>
        <v>1</v>
      </c>
      <c r="P1083" s="5" t="str">
        <f t="shared" si="100"/>
        <v>Low engagement</v>
      </c>
      <c r="Q1083" t="b">
        <v>0</v>
      </c>
      <c r="R1083" t="b">
        <v>0</v>
      </c>
      <c r="S1083" t="b">
        <v>1</v>
      </c>
      <c r="T1083" s="24" t="str">
        <f t="shared" si="101"/>
        <v>Link</v>
      </c>
    </row>
    <row r="1084" spans="1:20" hidden="1" x14ac:dyDescent="0.2">
      <c r="A1084" t="s">
        <v>6450</v>
      </c>
      <c r="B1084" t="s">
        <v>2365</v>
      </c>
      <c r="C1084" t="s">
        <v>2366</v>
      </c>
      <c r="D1084" t="s">
        <v>6451</v>
      </c>
      <c r="E1084" t="s">
        <v>6452</v>
      </c>
      <c r="F1084" t="str">
        <f>IF(Table2[[#This Row],[Date posted]]&lt; DATE(2015,9,18),"Before Crisis","During Crisis")</f>
        <v>Before Crisis</v>
      </c>
      <c r="G1084" s="27">
        <f t="shared" si="96"/>
        <v>42199</v>
      </c>
      <c r="H1084" s="7" t="str">
        <f t="shared" si="97"/>
        <v>19:52:41</v>
      </c>
      <c r="I1084" s="8" t="str">
        <f t="shared" si="98"/>
        <v>Evening</v>
      </c>
      <c r="J1084" t="s">
        <v>6453</v>
      </c>
      <c r="K1084" t="s">
        <v>2370</v>
      </c>
      <c r="L1084" s="3">
        <v>0</v>
      </c>
      <c r="M1084" s="3">
        <v>0</v>
      </c>
      <c r="N1084" s="3">
        <v>0</v>
      </c>
      <c r="O1084" s="4">
        <f t="shared" si="99"/>
        <v>0</v>
      </c>
      <c r="P1084" s="5" t="str">
        <f t="shared" si="100"/>
        <v>No engagement</v>
      </c>
      <c r="Q1084" t="b">
        <v>0</v>
      </c>
      <c r="R1084" t="b">
        <v>0</v>
      </c>
      <c r="S1084" t="b">
        <v>0</v>
      </c>
      <c r="T1084" s="24" t="str">
        <f t="shared" si="101"/>
        <v>Text only</v>
      </c>
    </row>
    <row r="1085" spans="1:20" hidden="1" x14ac:dyDescent="0.2">
      <c r="A1085" t="s">
        <v>6447</v>
      </c>
      <c r="B1085" t="s">
        <v>2365</v>
      </c>
      <c r="C1085" t="s">
        <v>2366</v>
      </c>
      <c r="D1085" t="s">
        <v>6448</v>
      </c>
      <c r="E1085" t="s">
        <v>6449</v>
      </c>
      <c r="F1085" t="str">
        <f>IF(Table2[[#This Row],[Date posted]]&lt; DATE(2015,9,18),"Before Crisis","During Crisis")</f>
        <v>Before Crisis</v>
      </c>
      <c r="G1085" s="27">
        <f t="shared" si="96"/>
        <v>42199</v>
      </c>
      <c r="H1085" s="7" t="str">
        <f t="shared" si="97"/>
        <v>21:40:39</v>
      </c>
      <c r="I1085" s="8" t="str">
        <f t="shared" si="98"/>
        <v>Evening</v>
      </c>
      <c r="J1085" t="s">
        <v>2370</v>
      </c>
      <c r="K1085" t="s">
        <v>2370</v>
      </c>
      <c r="L1085" s="3">
        <v>0</v>
      </c>
      <c r="M1085" s="3">
        <v>0</v>
      </c>
      <c r="N1085" s="3">
        <v>0</v>
      </c>
      <c r="O1085" s="4">
        <f t="shared" si="99"/>
        <v>0</v>
      </c>
      <c r="P1085" s="5" t="str">
        <f t="shared" si="100"/>
        <v>No engagement</v>
      </c>
      <c r="Q1085" t="b">
        <v>0</v>
      </c>
      <c r="R1085" t="b">
        <v>0</v>
      </c>
      <c r="S1085" t="b">
        <v>0</v>
      </c>
      <c r="T1085" s="24" t="str">
        <f t="shared" si="101"/>
        <v>Text only</v>
      </c>
    </row>
    <row r="1086" spans="1:20" hidden="1" x14ac:dyDescent="0.2">
      <c r="A1086" t="s">
        <v>6441</v>
      </c>
      <c r="B1086" t="s">
        <v>2365</v>
      </c>
      <c r="C1086" t="s">
        <v>2366</v>
      </c>
      <c r="D1086" t="s">
        <v>6442</v>
      </c>
      <c r="E1086" t="s">
        <v>6443</v>
      </c>
      <c r="F1086" t="str">
        <f>IF(Table2[[#This Row],[Date posted]]&lt; DATE(2015,9,18),"Before Crisis","During Crisis")</f>
        <v>Before Crisis</v>
      </c>
      <c r="G1086" s="27">
        <f t="shared" si="96"/>
        <v>42199</v>
      </c>
      <c r="H1086" s="7" t="str">
        <f t="shared" si="97"/>
        <v>21:40:40</v>
      </c>
      <c r="I1086" s="8" t="str">
        <f t="shared" si="98"/>
        <v>Evening</v>
      </c>
      <c r="J1086" t="s">
        <v>6444</v>
      </c>
      <c r="K1086" t="s">
        <v>2370</v>
      </c>
      <c r="L1086" s="3">
        <v>0</v>
      </c>
      <c r="M1086" s="3">
        <v>0</v>
      </c>
      <c r="N1086" s="3">
        <v>0</v>
      </c>
      <c r="O1086" s="4">
        <f t="shared" si="99"/>
        <v>0</v>
      </c>
      <c r="P1086" s="5" t="str">
        <f t="shared" si="100"/>
        <v>No engagement</v>
      </c>
      <c r="Q1086" t="b">
        <v>0</v>
      </c>
      <c r="R1086" t="b">
        <v>0</v>
      </c>
      <c r="S1086" t="b">
        <v>0</v>
      </c>
      <c r="T1086" s="24" t="str">
        <f t="shared" si="101"/>
        <v>Text only</v>
      </c>
    </row>
    <row r="1087" spans="1:20" hidden="1" x14ac:dyDescent="0.2">
      <c r="A1087" t="s">
        <v>6445</v>
      </c>
      <c r="B1087" t="s">
        <v>2365</v>
      </c>
      <c r="C1087" t="s">
        <v>2366</v>
      </c>
      <c r="D1087" t="s">
        <v>6446</v>
      </c>
      <c r="E1087" t="s">
        <v>6443</v>
      </c>
      <c r="F1087" t="str">
        <f>IF(Table2[[#This Row],[Date posted]]&lt; DATE(2015,9,18),"Before Crisis","During Crisis")</f>
        <v>Before Crisis</v>
      </c>
      <c r="G1087" s="27">
        <f t="shared" si="96"/>
        <v>42199</v>
      </c>
      <c r="H1087" s="7" t="str">
        <f t="shared" si="97"/>
        <v>21:40:40</v>
      </c>
      <c r="I1087" s="8" t="str">
        <f t="shared" si="98"/>
        <v>Evening</v>
      </c>
      <c r="J1087" t="s">
        <v>2370</v>
      </c>
      <c r="K1087" t="s">
        <v>2370</v>
      </c>
      <c r="L1087" s="3">
        <v>0</v>
      </c>
      <c r="M1087" s="3">
        <v>0</v>
      </c>
      <c r="N1087" s="3">
        <v>0</v>
      </c>
      <c r="O1087" s="4">
        <f t="shared" si="99"/>
        <v>0</v>
      </c>
      <c r="P1087" s="5" t="str">
        <f t="shared" si="100"/>
        <v>No engagement</v>
      </c>
      <c r="Q1087" t="b">
        <v>0</v>
      </c>
      <c r="R1087" t="b">
        <v>0</v>
      </c>
      <c r="S1087" t="b">
        <v>0</v>
      </c>
      <c r="T1087" s="24" t="str">
        <f t="shared" si="101"/>
        <v>Text only</v>
      </c>
    </row>
    <row r="1088" spans="1:20" hidden="1" x14ac:dyDescent="0.2">
      <c r="A1088" t="s">
        <v>6438</v>
      </c>
      <c r="B1088" t="s">
        <v>2365</v>
      </c>
      <c r="C1088" t="s">
        <v>2366</v>
      </c>
      <c r="D1088" t="s">
        <v>6439</v>
      </c>
      <c r="E1088" t="s">
        <v>6440</v>
      </c>
      <c r="F1088" t="str">
        <f>IF(Table2[[#This Row],[Date posted]]&lt; DATE(2015,9,18),"Before Crisis","During Crisis")</f>
        <v>Before Crisis</v>
      </c>
      <c r="G1088" s="27">
        <f t="shared" si="96"/>
        <v>42199</v>
      </c>
      <c r="H1088" s="7" t="str">
        <f t="shared" si="97"/>
        <v>22:23:28</v>
      </c>
      <c r="I1088" s="8" t="str">
        <f t="shared" si="98"/>
        <v>Evening</v>
      </c>
      <c r="J1088" t="s">
        <v>6437</v>
      </c>
      <c r="K1088" t="s">
        <v>2370</v>
      </c>
      <c r="L1088" s="3">
        <v>0</v>
      </c>
      <c r="M1088" s="3">
        <v>0</v>
      </c>
      <c r="N1088" s="3">
        <v>0</v>
      </c>
      <c r="O1088" s="4">
        <f t="shared" si="99"/>
        <v>0</v>
      </c>
      <c r="P1088" s="5" t="str">
        <f t="shared" si="100"/>
        <v>No engagement</v>
      </c>
      <c r="Q1088" t="b">
        <v>0</v>
      </c>
      <c r="R1088" t="b">
        <v>0</v>
      </c>
      <c r="S1088" t="b">
        <v>0</v>
      </c>
      <c r="T1088" s="24" t="str">
        <f t="shared" si="101"/>
        <v>Text only</v>
      </c>
    </row>
    <row r="1089" spans="1:20" hidden="1" x14ac:dyDescent="0.2">
      <c r="A1089" t="s">
        <v>6432</v>
      </c>
      <c r="B1089" t="s">
        <v>2365</v>
      </c>
      <c r="C1089" t="s">
        <v>2366</v>
      </c>
      <c r="D1089" t="s">
        <v>6433</v>
      </c>
      <c r="E1089" t="s">
        <v>6434</v>
      </c>
      <c r="F1089" t="str">
        <f>IF(Table2[[#This Row],[Date posted]]&lt; DATE(2015,9,18),"Before Crisis","During Crisis")</f>
        <v>Before Crisis</v>
      </c>
      <c r="G1089" s="27">
        <f t="shared" si="96"/>
        <v>42199</v>
      </c>
      <c r="H1089" s="7" t="str">
        <f t="shared" si="97"/>
        <v>22:23:29</v>
      </c>
      <c r="I1089" s="8" t="str">
        <f t="shared" si="98"/>
        <v>Evening</v>
      </c>
      <c r="J1089" t="s">
        <v>2370</v>
      </c>
      <c r="K1089" t="s">
        <v>2370</v>
      </c>
      <c r="L1089" s="3">
        <v>0</v>
      </c>
      <c r="M1089" s="3">
        <v>0</v>
      </c>
      <c r="N1089" s="3">
        <v>0</v>
      </c>
      <c r="O1089" s="4">
        <f t="shared" si="99"/>
        <v>0</v>
      </c>
      <c r="P1089" s="5" t="str">
        <f t="shared" si="100"/>
        <v>No engagement</v>
      </c>
      <c r="Q1089" t="b">
        <v>0</v>
      </c>
      <c r="R1089" t="b">
        <v>0</v>
      </c>
      <c r="S1089" t="b">
        <v>0</v>
      </c>
      <c r="T1089" s="24" t="str">
        <f t="shared" si="101"/>
        <v>Text only</v>
      </c>
    </row>
    <row r="1090" spans="1:20" hidden="1" x14ac:dyDescent="0.2">
      <c r="A1090" t="s">
        <v>6435</v>
      </c>
      <c r="B1090" t="s">
        <v>2365</v>
      </c>
      <c r="C1090" t="s">
        <v>2366</v>
      </c>
      <c r="D1090" t="s">
        <v>6436</v>
      </c>
      <c r="E1090" t="s">
        <v>6434</v>
      </c>
      <c r="F1090" t="str">
        <f>IF(Table2[[#This Row],[Date posted]]&lt; DATE(2015,9,18),"Before Crisis","During Crisis")</f>
        <v>Before Crisis</v>
      </c>
      <c r="G1090" s="27">
        <f t="shared" ref="G1090:G1153" si="102">DATEVALUE(LEFT(E1090,10))</f>
        <v>42199</v>
      </c>
      <c r="H1090" s="7" t="str">
        <f t="shared" ref="H1090:H1153" si="103">MID(E1090,12,8)</f>
        <v>22:23:29</v>
      </c>
      <c r="I1090" s="8" t="str">
        <f t="shared" ref="I1090:I1153" si="104">IF(HOUR(H1090)&lt;7,"Early morning",
IF(HOUR(H1090)&lt;11,"Morning",
IF(HOUR(H1090)&lt;14,"Mid-day",
IF(HOUR(H1090)&lt;18,"Afternoon","Evening"))))</f>
        <v>Evening</v>
      </c>
      <c r="J1090" t="s">
        <v>6437</v>
      </c>
      <c r="K1090" t="s">
        <v>2370</v>
      </c>
      <c r="L1090" s="3">
        <v>0</v>
      </c>
      <c r="M1090" s="3">
        <v>0</v>
      </c>
      <c r="N1090" s="3">
        <v>0</v>
      </c>
      <c r="O1090" s="4">
        <f t="shared" ref="O1090:O1153" si="105">L1090+M1090+N1090</f>
        <v>0</v>
      </c>
      <c r="P1090" s="5" t="str">
        <f t="shared" ref="P1090:P1153" si="106">IF(O1090&lt;1,"No engagement", IF(O1090&lt;5,"Low engagement", IF(O1090&lt;10,"Moderate engagement", "High engagement")))</f>
        <v>No engagement</v>
      </c>
      <c r="Q1090" t="b">
        <v>0</v>
      </c>
      <c r="R1090" t="b">
        <v>0</v>
      </c>
      <c r="S1090" t="b">
        <v>0</v>
      </c>
      <c r="T1090" s="24" t="str">
        <f t="shared" ref="T1090:T1153" si="107">IF(Q1090=TRUE,"Photo",
    IF(R1090=TRUE,"Video",
        IF(S1090=TRUE,"Link","Text only")))</f>
        <v>Text only</v>
      </c>
    </row>
    <row r="1091" spans="1:20" hidden="1" x14ac:dyDescent="0.2">
      <c r="A1091" t="s">
        <v>6423</v>
      </c>
      <c r="B1091" t="s">
        <v>2365</v>
      </c>
      <c r="C1091" t="s">
        <v>2366</v>
      </c>
      <c r="D1091" t="s">
        <v>6424</v>
      </c>
      <c r="E1091" t="s">
        <v>6425</v>
      </c>
      <c r="F1091" t="str">
        <f>IF(Table2[[#This Row],[Date posted]]&lt; DATE(2015,9,18),"Before Crisis","During Crisis")</f>
        <v>Before Crisis</v>
      </c>
      <c r="G1091" s="27">
        <f t="shared" si="102"/>
        <v>42199</v>
      </c>
      <c r="H1091" s="7" t="str">
        <f t="shared" si="103"/>
        <v>22:23:30</v>
      </c>
      <c r="I1091" s="8" t="str">
        <f t="shared" si="104"/>
        <v>Evening</v>
      </c>
      <c r="J1091" t="s">
        <v>6426</v>
      </c>
      <c r="K1091" t="s">
        <v>2370</v>
      </c>
      <c r="L1091">
        <v>1</v>
      </c>
      <c r="M1091" s="3">
        <v>0</v>
      </c>
      <c r="N1091" s="3">
        <v>0</v>
      </c>
      <c r="O1091" s="4">
        <f t="shared" si="105"/>
        <v>1</v>
      </c>
      <c r="P1091" s="5" t="str">
        <f t="shared" si="106"/>
        <v>Low engagement</v>
      </c>
      <c r="Q1091" t="b">
        <v>0</v>
      </c>
      <c r="R1091" t="b">
        <v>0</v>
      </c>
      <c r="S1091" t="b">
        <v>0</v>
      </c>
      <c r="T1091" s="24" t="str">
        <f t="shared" si="107"/>
        <v>Text only</v>
      </c>
    </row>
    <row r="1092" spans="1:20" hidden="1" x14ac:dyDescent="0.2">
      <c r="A1092" t="s">
        <v>6427</v>
      </c>
      <c r="B1092" t="s">
        <v>2365</v>
      </c>
      <c r="C1092" t="s">
        <v>2366</v>
      </c>
      <c r="D1092" t="s">
        <v>6428</v>
      </c>
      <c r="E1092" t="s">
        <v>6425</v>
      </c>
      <c r="F1092" t="str">
        <f>IF(Table2[[#This Row],[Date posted]]&lt; DATE(2015,9,18),"Before Crisis","During Crisis")</f>
        <v>Before Crisis</v>
      </c>
      <c r="G1092" s="27">
        <f t="shared" si="102"/>
        <v>42199</v>
      </c>
      <c r="H1092" s="7" t="str">
        <f t="shared" si="103"/>
        <v>22:23:30</v>
      </c>
      <c r="I1092" s="8" t="str">
        <f t="shared" si="104"/>
        <v>Evening</v>
      </c>
      <c r="J1092" t="s">
        <v>6429</v>
      </c>
      <c r="K1092" t="s">
        <v>2370</v>
      </c>
      <c r="L1092" s="3">
        <v>0</v>
      </c>
      <c r="M1092" s="3">
        <v>0</v>
      </c>
      <c r="N1092" s="3">
        <v>0</v>
      </c>
      <c r="O1092" s="4">
        <f t="shared" si="105"/>
        <v>0</v>
      </c>
      <c r="P1092" s="5" t="str">
        <f t="shared" si="106"/>
        <v>No engagement</v>
      </c>
      <c r="Q1092" t="b">
        <v>0</v>
      </c>
      <c r="R1092" t="b">
        <v>0</v>
      </c>
      <c r="S1092" t="b">
        <v>0</v>
      </c>
      <c r="T1092" s="24" t="str">
        <f t="shared" si="107"/>
        <v>Text only</v>
      </c>
    </row>
    <row r="1093" spans="1:20" hidden="1" x14ac:dyDescent="0.2">
      <c r="A1093" t="s">
        <v>6430</v>
      </c>
      <c r="B1093" t="s">
        <v>2365</v>
      </c>
      <c r="C1093" t="s">
        <v>2366</v>
      </c>
      <c r="D1093" t="s">
        <v>6431</v>
      </c>
      <c r="E1093" t="s">
        <v>6425</v>
      </c>
      <c r="F1093" t="str">
        <f>IF(Table2[[#This Row],[Date posted]]&lt; DATE(2015,9,18),"Before Crisis","During Crisis")</f>
        <v>Before Crisis</v>
      </c>
      <c r="G1093" s="27">
        <f t="shared" si="102"/>
        <v>42199</v>
      </c>
      <c r="H1093" s="7" t="str">
        <f t="shared" si="103"/>
        <v>22:23:30</v>
      </c>
      <c r="I1093" s="8" t="str">
        <f t="shared" si="104"/>
        <v>Evening</v>
      </c>
      <c r="J1093" t="s">
        <v>2370</v>
      </c>
      <c r="K1093" t="s">
        <v>2370</v>
      </c>
      <c r="L1093" s="3">
        <v>0</v>
      </c>
      <c r="M1093" s="3">
        <v>0</v>
      </c>
      <c r="N1093" s="3">
        <v>0</v>
      </c>
      <c r="O1093" s="4">
        <f t="shared" si="105"/>
        <v>0</v>
      </c>
      <c r="P1093" s="5" t="str">
        <f t="shared" si="106"/>
        <v>No engagement</v>
      </c>
      <c r="Q1093" t="b">
        <v>0</v>
      </c>
      <c r="R1093" t="b">
        <v>0</v>
      </c>
      <c r="S1093" t="b">
        <v>0</v>
      </c>
      <c r="T1093" s="24" t="str">
        <f t="shared" si="107"/>
        <v>Text only</v>
      </c>
    </row>
    <row r="1094" spans="1:20" hidden="1" x14ac:dyDescent="0.2">
      <c r="A1094" t="s">
        <v>6417</v>
      </c>
      <c r="B1094" t="s">
        <v>2365</v>
      </c>
      <c r="C1094" t="s">
        <v>2366</v>
      </c>
      <c r="D1094" t="s">
        <v>6418</v>
      </c>
      <c r="E1094" t="s">
        <v>6419</v>
      </c>
      <c r="F1094" t="str">
        <f>IF(Table2[[#This Row],[Date posted]]&lt; DATE(2015,9,18),"Before Crisis","During Crisis")</f>
        <v>Before Crisis</v>
      </c>
      <c r="G1094" s="27">
        <f t="shared" si="102"/>
        <v>42199</v>
      </c>
      <c r="H1094" s="7" t="str">
        <f t="shared" si="103"/>
        <v>23:35:55</v>
      </c>
      <c r="I1094" s="8" t="str">
        <f t="shared" si="104"/>
        <v>Evening</v>
      </c>
      <c r="J1094" t="s">
        <v>6420</v>
      </c>
      <c r="K1094" t="s">
        <v>2370</v>
      </c>
      <c r="L1094" s="3">
        <v>0</v>
      </c>
      <c r="M1094" s="3">
        <v>0</v>
      </c>
      <c r="N1094" s="3">
        <v>0</v>
      </c>
      <c r="O1094" s="4">
        <f t="shared" si="105"/>
        <v>0</v>
      </c>
      <c r="P1094" s="5" t="str">
        <f t="shared" si="106"/>
        <v>No engagement</v>
      </c>
      <c r="Q1094" t="b">
        <v>0</v>
      </c>
      <c r="R1094" t="b">
        <v>0</v>
      </c>
      <c r="S1094" t="b">
        <v>0</v>
      </c>
      <c r="T1094" s="24" t="str">
        <f t="shared" si="107"/>
        <v>Text only</v>
      </c>
    </row>
    <row r="1095" spans="1:20" hidden="1" x14ac:dyDescent="0.2">
      <c r="A1095" t="s">
        <v>6421</v>
      </c>
      <c r="B1095" t="s">
        <v>2365</v>
      </c>
      <c r="C1095" t="s">
        <v>2366</v>
      </c>
      <c r="D1095" t="s">
        <v>6422</v>
      </c>
      <c r="E1095" t="s">
        <v>6419</v>
      </c>
      <c r="F1095" t="str">
        <f>IF(Table2[[#This Row],[Date posted]]&lt; DATE(2015,9,18),"Before Crisis","During Crisis")</f>
        <v>Before Crisis</v>
      </c>
      <c r="G1095" s="27">
        <f t="shared" si="102"/>
        <v>42199</v>
      </c>
      <c r="H1095" s="7" t="str">
        <f t="shared" si="103"/>
        <v>23:35:55</v>
      </c>
      <c r="I1095" s="8" t="str">
        <f t="shared" si="104"/>
        <v>Evening</v>
      </c>
      <c r="J1095" t="s">
        <v>6420</v>
      </c>
      <c r="K1095" t="s">
        <v>2370</v>
      </c>
      <c r="L1095" s="3">
        <v>0</v>
      </c>
      <c r="M1095" s="3">
        <v>0</v>
      </c>
      <c r="N1095" s="3">
        <v>0</v>
      </c>
      <c r="O1095" s="4">
        <f t="shared" si="105"/>
        <v>0</v>
      </c>
      <c r="P1095" s="5" t="str">
        <f t="shared" si="106"/>
        <v>No engagement</v>
      </c>
      <c r="Q1095" t="b">
        <v>0</v>
      </c>
      <c r="R1095" t="b">
        <v>0</v>
      </c>
      <c r="S1095" t="b">
        <v>0</v>
      </c>
      <c r="T1095" s="24" t="str">
        <f t="shared" si="107"/>
        <v>Text only</v>
      </c>
    </row>
    <row r="1096" spans="1:20" hidden="1" x14ac:dyDescent="0.2">
      <c r="A1096" t="s">
        <v>6395</v>
      </c>
      <c r="B1096" t="s">
        <v>2365</v>
      </c>
      <c r="C1096" t="s">
        <v>2366</v>
      </c>
      <c r="D1096" t="s">
        <v>6396</v>
      </c>
      <c r="E1096" t="s">
        <v>6397</v>
      </c>
      <c r="F1096" t="str">
        <f>IF(Table2[[#This Row],[Date posted]]&lt; DATE(2015,9,18),"Before Crisis","During Crisis")</f>
        <v>Before Crisis</v>
      </c>
      <c r="G1096" s="27">
        <f t="shared" si="102"/>
        <v>42200</v>
      </c>
      <c r="H1096" s="7" t="str">
        <f t="shared" si="103"/>
        <v>18:06:37</v>
      </c>
      <c r="I1096" s="8" t="str">
        <f t="shared" si="104"/>
        <v>Evening</v>
      </c>
      <c r="J1096" t="s">
        <v>6398</v>
      </c>
      <c r="K1096" t="s">
        <v>2370</v>
      </c>
      <c r="L1096" s="3">
        <v>0</v>
      </c>
      <c r="M1096" s="3">
        <v>0</v>
      </c>
      <c r="N1096" s="3">
        <v>0</v>
      </c>
      <c r="O1096" s="4">
        <f t="shared" si="105"/>
        <v>0</v>
      </c>
      <c r="P1096" s="5" t="str">
        <f t="shared" si="106"/>
        <v>No engagement</v>
      </c>
      <c r="Q1096" t="b">
        <v>0</v>
      </c>
      <c r="R1096" t="b">
        <v>0</v>
      </c>
      <c r="S1096" t="b">
        <v>0</v>
      </c>
      <c r="T1096" s="24" t="str">
        <f t="shared" si="107"/>
        <v>Text only</v>
      </c>
    </row>
    <row r="1097" spans="1:20" hidden="1" x14ac:dyDescent="0.2">
      <c r="A1097" t="s">
        <v>6391</v>
      </c>
      <c r="B1097" t="s">
        <v>2365</v>
      </c>
      <c r="C1097" t="s">
        <v>2366</v>
      </c>
      <c r="D1097" t="s">
        <v>6392</v>
      </c>
      <c r="E1097" t="s">
        <v>6393</v>
      </c>
      <c r="F1097" t="str">
        <f>IF(Table2[[#This Row],[Date posted]]&lt; DATE(2015,9,18),"Before Crisis","During Crisis")</f>
        <v>Before Crisis</v>
      </c>
      <c r="G1097" s="27">
        <f t="shared" si="102"/>
        <v>42200</v>
      </c>
      <c r="H1097" s="7" t="str">
        <f t="shared" si="103"/>
        <v>18:28:07</v>
      </c>
      <c r="I1097" s="8" t="str">
        <f t="shared" si="104"/>
        <v>Evening</v>
      </c>
      <c r="J1097" t="s">
        <v>6394</v>
      </c>
      <c r="K1097" t="s">
        <v>2370</v>
      </c>
      <c r="L1097" s="3">
        <v>0</v>
      </c>
      <c r="M1097" s="3">
        <v>0</v>
      </c>
      <c r="N1097" s="3">
        <v>0</v>
      </c>
      <c r="O1097" s="4">
        <f t="shared" si="105"/>
        <v>0</v>
      </c>
      <c r="P1097" s="5" t="str">
        <f t="shared" si="106"/>
        <v>No engagement</v>
      </c>
      <c r="Q1097" t="b">
        <v>0</v>
      </c>
      <c r="R1097" t="b">
        <v>0</v>
      </c>
      <c r="S1097" t="b">
        <v>0</v>
      </c>
      <c r="T1097" s="24" t="str">
        <f t="shared" si="107"/>
        <v>Text only</v>
      </c>
    </row>
    <row r="1098" spans="1:20" hidden="1" x14ac:dyDescent="0.2">
      <c r="A1098" t="s">
        <v>6387</v>
      </c>
      <c r="B1098" t="s">
        <v>2365</v>
      </c>
      <c r="C1098" t="s">
        <v>2366</v>
      </c>
      <c r="D1098" t="s">
        <v>6388</v>
      </c>
      <c r="E1098" t="s">
        <v>6389</v>
      </c>
      <c r="F1098" t="str">
        <f>IF(Table2[[#This Row],[Date posted]]&lt; DATE(2015,9,18),"Before Crisis","During Crisis")</f>
        <v>Before Crisis</v>
      </c>
      <c r="G1098" s="27">
        <f t="shared" si="102"/>
        <v>42200</v>
      </c>
      <c r="H1098" s="7" t="str">
        <f t="shared" si="103"/>
        <v>18:28:08</v>
      </c>
      <c r="I1098" s="8" t="str">
        <f t="shared" si="104"/>
        <v>Evening</v>
      </c>
      <c r="J1098" t="s">
        <v>6390</v>
      </c>
      <c r="K1098" t="s">
        <v>2370</v>
      </c>
      <c r="L1098" s="3">
        <v>0</v>
      </c>
      <c r="M1098" s="3">
        <v>0</v>
      </c>
      <c r="N1098" s="3">
        <v>0</v>
      </c>
      <c r="O1098" s="4">
        <f t="shared" si="105"/>
        <v>0</v>
      </c>
      <c r="P1098" s="5" t="str">
        <f t="shared" si="106"/>
        <v>No engagement</v>
      </c>
      <c r="Q1098" t="b">
        <v>0</v>
      </c>
      <c r="R1098" t="b">
        <v>0</v>
      </c>
      <c r="S1098" t="b">
        <v>0</v>
      </c>
      <c r="T1098" s="24" t="str">
        <f t="shared" si="107"/>
        <v>Text only</v>
      </c>
    </row>
    <row r="1099" spans="1:20" hidden="1" x14ac:dyDescent="0.2">
      <c r="A1099" t="s">
        <v>6383</v>
      </c>
      <c r="B1099" t="s">
        <v>2365</v>
      </c>
      <c r="C1099" t="s">
        <v>2366</v>
      </c>
      <c r="D1099" t="s">
        <v>6384</v>
      </c>
      <c r="E1099" t="s">
        <v>6385</v>
      </c>
      <c r="F1099" t="str">
        <f>IF(Table2[[#This Row],[Date posted]]&lt; DATE(2015,9,18),"Before Crisis","During Crisis")</f>
        <v>Before Crisis</v>
      </c>
      <c r="G1099" s="27">
        <f t="shared" si="102"/>
        <v>42200</v>
      </c>
      <c r="H1099" s="7" t="str">
        <f t="shared" si="103"/>
        <v>18:38:25</v>
      </c>
      <c r="I1099" s="8" t="str">
        <f t="shared" si="104"/>
        <v>Evening</v>
      </c>
      <c r="J1099" t="s">
        <v>6386</v>
      </c>
      <c r="K1099" t="s">
        <v>2370</v>
      </c>
      <c r="L1099" s="3">
        <v>0</v>
      </c>
      <c r="M1099" s="3">
        <v>0</v>
      </c>
      <c r="N1099" s="3">
        <v>0</v>
      </c>
      <c r="O1099" s="4">
        <f t="shared" si="105"/>
        <v>0</v>
      </c>
      <c r="P1099" s="5" t="str">
        <f t="shared" si="106"/>
        <v>No engagement</v>
      </c>
      <c r="Q1099" t="b">
        <v>0</v>
      </c>
      <c r="R1099" t="b">
        <v>0</v>
      </c>
      <c r="S1099" t="b">
        <v>0</v>
      </c>
      <c r="T1099" s="24" t="str">
        <f t="shared" si="107"/>
        <v>Text only</v>
      </c>
    </row>
    <row r="1100" spans="1:20" hidden="1" x14ac:dyDescent="0.2">
      <c r="A1100" t="s">
        <v>6365</v>
      </c>
      <c r="B1100" t="s">
        <v>2365</v>
      </c>
      <c r="C1100" t="s">
        <v>2366</v>
      </c>
      <c r="D1100" t="s">
        <v>6366</v>
      </c>
      <c r="E1100" t="s">
        <v>6367</v>
      </c>
      <c r="F1100" t="str">
        <f>IF(Table2[[#This Row],[Date posted]]&lt; DATE(2015,9,18),"Before Crisis","During Crisis")</f>
        <v>Before Crisis</v>
      </c>
      <c r="G1100" s="27">
        <f t="shared" si="102"/>
        <v>42201</v>
      </c>
      <c r="H1100" s="7" t="str">
        <f t="shared" si="103"/>
        <v>12:19:44</v>
      </c>
      <c r="I1100" s="8" t="str">
        <f t="shared" si="104"/>
        <v>Mid-day</v>
      </c>
      <c r="J1100" t="s">
        <v>6364</v>
      </c>
      <c r="K1100" t="s">
        <v>2370</v>
      </c>
      <c r="L1100">
        <v>1</v>
      </c>
      <c r="M1100" s="3">
        <v>0</v>
      </c>
      <c r="N1100" s="3">
        <v>0</v>
      </c>
      <c r="O1100" s="4">
        <f t="shared" si="105"/>
        <v>1</v>
      </c>
      <c r="P1100" s="5" t="str">
        <f t="shared" si="106"/>
        <v>Low engagement</v>
      </c>
      <c r="Q1100" t="b">
        <v>0</v>
      </c>
      <c r="R1100" t="b">
        <v>0</v>
      </c>
      <c r="S1100" t="b">
        <v>0</v>
      </c>
      <c r="T1100" s="24" t="str">
        <f t="shared" si="107"/>
        <v>Text only</v>
      </c>
    </row>
    <row r="1101" spans="1:20" hidden="1" x14ac:dyDescent="0.2">
      <c r="A1101" t="s">
        <v>6356</v>
      </c>
      <c r="B1101" t="s">
        <v>2365</v>
      </c>
      <c r="C1101" t="s">
        <v>2366</v>
      </c>
      <c r="D1101" t="s">
        <v>6357</v>
      </c>
      <c r="E1101" t="s">
        <v>6358</v>
      </c>
      <c r="F1101" t="str">
        <f>IF(Table2[[#This Row],[Date posted]]&lt; DATE(2015,9,18),"Before Crisis","During Crisis")</f>
        <v>Before Crisis</v>
      </c>
      <c r="G1101" s="27">
        <f t="shared" si="102"/>
        <v>42201</v>
      </c>
      <c r="H1101" s="7" t="str">
        <f t="shared" si="103"/>
        <v>12:23:25</v>
      </c>
      <c r="I1101" s="8" t="str">
        <f t="shared" si="104"/>
        <v>Mid-day</v>
      </c>
      <c r="J1101" t="s">
        <v>6359</v>
      </c>
      <c r="K1101" t="s">
        <v>2370</v>
      </c>
      <c r="L1101">
        <v>1</v>
      </c>
      <c r="M1101" s="3">
        <v>0</v>
      </c>
      <c r="N1101" s="3">
        <v>0</v>
      </c>
      <c r="O1101" s="4">
        <f t="shared" si="105"/>
        <v>1</v>
      </c>
      <c r="P1101" s="5" t="str">
        <f t="shared" si="106"/>
        <v>Low engagement</v>
      </c>
      <c r="Q1101" t="b">
        <v>0</v>
      </c>
      <c r="R1101" t="b">
        <v>0</v>
      </c>
      <c r="S1101" t="b">
        <v>0</v>
      </c>
      <c r="T1101" s="24" t="str">
        <f t="shared" si="107"/>
        <v>Text only</v>
      </c>
    </row>
    <row r="1102" spans="1:20" hidden="1" x14ac:dyDescent="0.2">
      <c r="A1102" t="s">
        <v>6360</v>
      </c>
      <c r="B1102" t="s">
        <v>2365</v>
      </c>
      <c r="C1102" t="s">
        <v>2366</v>
      </c>
      <c r="D1102" t="s">
        <v>6361</v>
      </c>
      <c r="E1102" t="s">
        <v>6358</v>
      </c>
      <c r="F1102" t="str">
        <f>IF(Table2[[#This Row],[Date posted]]&lt; DATE(2015,9,18),"Before Crisis","During Crisis")</f>
        <v>Before Crisis</v>
      </c>
      <c r="G1102" s="27">
        <f t="shared" si="102"/>
        <v>42201</v>
      </c>
      <c r="H1102" s="7" t="str">
        <f t="shared" si="103"/>
        <v>12:23:25</v>
      </c>
      <c r="I1102" s="8" t="str">
        <f t="shared" si="104"/>
        <v>Mid-day</v>
      </c>
      <c r="J1102" t="s">
        <v>6359</v>
      </c>
      <c r="K1102" t="s">
        <v>2370</v>
      </c>
      <c r="L1102">
        <v>1</v>
      </c>
      <c r="M1102" s="3">
        <v>0</v>
      </c>
      <c r="N1102" s="3">
        <v>0</v>
      </c>
      <c r="O1102" s="4">
        <f t="shared" si="105"/>
        <v>1</v>
      </c>
      <c r="P1102" s="5" t="str">
        <f t="shared" si="106"/>
        <v>Low engagement</v>
      </c>
      <c r="Q1102" t="b">
        <v>0</v>
      </c>
      <c r="R1102" t="b">
        <v>0</v>
      </c>
      <c r="S1102" t="b">
        <v>0</v>
      </c>
      <c r="T1102" s="24" t="str">
        <f t="shared" si="107"/>
        <v>Text only</v>
      </c>
    </row>
    <row r="1103" spans="1:20" hidden="1" x14ac:dyDescent="0.2">
      <c r="A1103" t="s">
        <v>6362</v>
      </c>
      <c r="B1103" t="s">
        <v>2365</v>
      </c>
      <c r="C1103" t="s">
        <v>2366</v>
      </c>
      <c r="D1103" t="s">
        <v>6363</v>
      </c>
      <c r="E1103" t="s">
        <v>6358</v>
      </c>
      <c r="F1103" t="str">
        <f>IF(Table2[[#This Row],[Date posted]]&lt; DATE(2015,9,18),"Before Crisis","During Crisis")</f>
        <v>Before Crisis</v>
      </c>
      <c r="G1103" s="27">
        <f t="shared" si="102"/>
        <v>42201</v>
      </c>
      <c r="H1103" s="7" t="str">
        <f t="shared" si="103"/>
        <v>12:23:25</v>
      </c>
      <c r="I1103" s="8" t="str">
        <f t="shared" si="104"/>
        <v>Mid-day</v>
      </c>
      <c r="J1103" t="s">
        <v>6364</v>
      </c>
      <c r="K1103" t="s">
        <v>2370</v>
      </c>
      <c r="L1103">
        <v>1</v>
      </c>
      <c r="M1103">
        <v>1</v>
      </c>
      <c r="N1103" s="3">
        <v>0</v>
      </c>
      <c r="O1103" s="4">
        <f t="shared" si="105"/>
        <v>2</v>
      </c>
      <c r="P1103" s="5" t="str">
        <f t="shared" si="106"/>
        <v>Low engagement</v>
      </c>
      <c r="Q1103" t="b">
        <v>0</v>
      </c>
      <c r="R1103" t="b">
        <v>0</v>
      </c>
      <c r="S1103" t="b">
        <v>0</v>
      </c>
      <c r="T1103" s="24" t="str">
        <f t="shared" si="107"/>
        <v>Text only</v>
      </c>
    </row>
    <row r="1104" spans="1:20" hidden="1" x14ac:dyDescent="0.2">
      <c r="A1104" t="s">
        <v>6351</v>
      </c>
      <c r="B1104" t="s">
        <v>2365</v>
      </c>
      <c r="C1104" t="s">
        <v>2366</v>
      </c>
      <c r="D1104" t="s">
        <v>6352</v>
      </c>
      <c r="E1104" t="s">
        <v>6353</v>
      </c>
      <c r="F1104" t="str">
        <f>IF(Table2[[#This Row],[Date posted]]&lt; DATE(2015,9,18),"Before Crisis","During Crisis")</f>
        <v>Before Crisis</v>
      </c>
      <c r="G1104" s="27">
        <f t="shared" si="102"/>
        <v>42201</v>
      </c>
      <c r="H1104" s="7" t="str">
        <f t="shared" si="103"/>
        <v>12:26:54</v>
      </c>
      <c r="I1104" s="8" t="str">
        <f t="shared" si="104"/>
        <v>Mid-day</v>
      </c>
      <c r="J1104" t="s">
        <v>2370</v>
      </c>
      <c r="K1104" t="s">
        <v>2370</v>
      </c>
      <c r="L1104">
        <v>1</v>
      </c>
      <c r="M1104" s="3">
        <v>0</v>
      </c>
      <c r="N1104" s="3">
        <v>0</v>
      </c>
      <c r="O1104" s="4">
        <f t="shared" si="105"/>
        <v>1</v>
      </c>
      <c r="P1104" s="5" t="str">
        <f t="shared" si="106"/>
        <v>Low engagement</v>
      </c>
      <c r="Q1104" t="b">
        <v>0</v>
      </c>
      <c r="R1104" t="b">
        <v>0</v>
      </c>
      <c r="S1104" t="b">
        <v>1</v>
      </c>
      <c r="T1104" s="24" t="str">
        <f t="shared" si="107"/>
        <v>Link</v>
      </c>
    </row>
    <row r="1105" spans="1:20" hidden="1" x14ac:dyDescent="0.2">
      <c r="A1105" t="s">
        <v>6354</v>
      </c>
      <c r="B1105" t="s">
        <v>2365</v>
      </c>
      <c r="C1105" t="s">
        <v>2366</v>
      </c>
      <c r="D1105" t="s">
        <v>6355</v>
      </c>
      <c r="E1105" t="s">
        <v>6353</v>
      </c>
      <c r="F1105" t="str">
        <f>IF(Table2[[#This Row],[Date posted]]&lt; DATE(2015,9,18),"Before Crisis","During Crisis")</f>
        <v>Before Crisis</v>
      </c>
      <c r="G1105" s="27">
        <f t="shared" si="102"/>
        <v>42201</v>
      </c>
      <c r="H1105" s="7" t="str">
        <f t="shared" si="103"/>
        <v>12:26:54</v>
      </c>
      <c r="I1105" s="8" t="str">
        <f t="shared" si="104"/>
        <v>Mid-day</v>
      </c>
      <c r="J1105" t="s">
        <v>2370</v>
      </c>
      <c r="K1105" t="s">
        <v>2370</v>
      </c>
      <c r="L1105">
        <v>1</v>
      </c>
      <c r="M1105" s="3">
        <v>0</v>
      </c>
      <c r="N1105" s="3">
        <v>0</v>
      </c>
      <c r="O1105" s="4">
        <f t="shared" si="105"/>
        <v>1</v>
      </c>
      <c r="P1105" s="5" t="str">
        <f t="shared" si="106"/>
        <v>Low engagement</v>
      </c>
      <c r="Q1105" t="b">
        <v>0</v>
      </c>
      <c r="R1105" t="b">
        <v>0</v>
      </c>
      <c r="S1105" t="b">
        <v>0</v>
      </c>
      <c r="T1105" s="24" t="str">
        <f t="shared" si="107"/>
        <v>Text only</v>
      </c>
    </row>
    <row r="1106" spans="1:20" hidden="1" x14ac:dyDescent="0.2">
      <c r="A1106" t="s">
        <v>6345</v>
      </c>
      <c r="B1106" t="s">
        <v>2365</v>
      </c>
      <c r="C1106" t="s">
        <v>2366</v>
      </c>
      <c r="D1106" t="s">
        <v>6346</v>
      </c>
      <c r="E1106" t="s">
        <v>6347</v>
      </c>
      <c r="F1106" t="str">
        <f>IF(Table2[[#This Row],[Date posted]]&lt; DATE(2015,9,18),"Before Crisis","During Crisis")</f>
        <v>Before Crisis</v>
      </c>
      <c r="G1106" s="27">
        <f t="shared" si="102"/>
        <v>42201</v>
      </c>
      <c r="H1106" s="7" t="str">
        <f t="shared" si="103"/>
        <v>12:26:55</v>
      </c>
      <c r="I1106" s="8" t="str">
        <f t="shared" si="104"/>
        <v>Mid-day</v>
      </c>
      <c r="J1106" t="s">
        <v>6348</v>
      </c>
      <c r="K1106" t="s">
        <v>2370</v>
      </c>
      <c r="L1106">
        <v>1</v>
      </c>
      <c r="M1106" s="3">
        <v>0</v>
      </c>
      <c r="N1106" s="3">
        <v>0</v>
      </c>
      <c r="O1106" s="4">
        <f t="shared" si="105"/>
        <v>1</v>
      </c>
      <c r="P1106" s="5" t="str">
        <f t="shared" si="106"/>
        <v>Low engagement</v>
      </c>
      <c r="Q1106" t="b">
        <v>0</v>
      </c>
      <c r="R1106" t="b">
        <v>0</v>
      </c>
      <c r="S1106" t="b">
        <v>0</v>
      </c>
      <c r="T1106" s="24" t="str">
        <f t="shared" si="107"/>
        <v>Text only</v>
      </c>
    </row>
    <row r="1107" spans="1:20" hidden="1" x14ac:dyDescent="0.2">
      <c r="A1107" t="s">
        <v>6349</v>
      </c>
      <c r="B1107" t="s">
        <v>2365</v>
      </c>
      <c r="C1107" t="s">
        <v>2366</v>
      </c>
      <c r="D1107" t="s">
        <v>6350</v>
      </c>
      <c r="E1107" t="s">
        <v>6347</v>
      </c>
      <c r="F1107" t="str">
        <f>IF(Table2[[#This Row],[Date posted]]&lt; DATE(2015,9,18),"Before Crisis","During Crisis")</f>
        <v>Before Crisis</v>
      </c>
      <c r="G1107" s="27">
        <f t="shared" si="102"/>
        <v>42201</v>
      </c>
      <c r="H1107" s="7" t="str">
        <f t="shared" si="103"/>
        <v>12:26:55</v>
      </c>
      <c r="I1107" s="8" t="str">
        <f t="shared" si="104"/>
        <v>Mid-day</v>
      </c>
      <c r="J1107" t="s">
        <v>6348</v>
      </c>
      <c r="K1107" t="s">
        <v>2370</v>
      </c>
      <c r="L1107">
        <v>1</v>
      </c>
      <c r="M1107" s="3">
        <v>0</v>
      </c>
      <c r="N1107" s="3">
        <v>0</v>
      </c>
      <c r="O1107" s="4">
        <f t="shared" si="105"/>
        <v>1</v>
      </c>
      <c r="P1107" s="5" t="str">
        <f t="shared" si="106"/>
        <v>Low engagement</v>
      </c>
      <c r="Q1107" t="b">
        <v>0</v>
      </c>
      <c r="R1107" t="b">
        <v>0</v>
      </c>
      <c r="S1107" t="b">
        <v>0</v>
      </c>
      <c r="T1107" s="24" t="str">
        <f t="shared" si="107"/>
        <v>Text only</v>
      </c>
    </row>
    <row r="1108" spans="1:20" hidden="1" x14ac:dyDescent="0.2">
      <c r="A1108" t="s">
        <v>6333</v>
      </c>
      <c r="B1108" t="s">
        <v>2365</v>
      </c>
      <c r="C1108" t="s">
        <v>2366</v>
      </c>
      <c r="D1108" t="s">
        <v>6334</v>
      </c>
      <c r="E1108" t="s">
        <v>6331</v>
      </c>
      <c r="F1108" t="str">
        <f>IF(Table2[[#This Row],[Date posted]]&lt; DATE(2015,9,18),"Before Crisis","During Crisis")</f>
        <v>Before Crisis</v>
      </c>
      <c r="G1108" s="27">
        <f t="shared" si="102"/>
        <v>42202</v>
      </c>
      <c r="H1108" s="7" t="str">
        <f t="shared" si="103"/>
        <v>12:38:38</v>
      </c>
      <c r="I1108" s="8" t="str">
        <f t="shared" si="104"/>
        <v>Mid-day</v>
      </c>
      <c r="J1108" t="s">
        <v>6332</v>
      </c>
      <c r="K1108" t="s">
        <v>2370</v>
      </c>
      <c r="L1108" s="3">
        <v>0</v>
      </c>
      <c r="M1108" s="3">
        <v>0</v>
      </c>
      <c r="N1108" s="3">
        <v>0</v>
      </c>
      <c r="O1108" s="4">
        <f t="shared" si="105"/>
        <v>0</v>
      </c>
      <c r="P1108" s="5" t="str">
        <f t="shared" si="106"/>
        <v>No engagement</v>
      </c>
      <c r="Q1108" t="b">
        <v>0</v>
      </c>
      <c r="R1108" t="b">
        <v>0</v>
      </c>
      <c r="S1108" t="b">
        <v>0</v>
      </c>
      <c r="T1108" s="24" t="str">
        <f t="shared" si="107"/>
        <v>Text only</v>
      </c>
    </row>
    <row r="1109" spans="1:20" hidden="1" x14ac:dyDescent="0.2">
      <c r="A1109" t="s">
        <v>6315</v>
      </c>
      <c r="B1109" t="s">
        <v>2365</v>
      </c>
      <c r="C1109" t="s">
        <v>2366</v>
      </c>
      <c r="D1109" t="s">
        <v>6316</v>
      </c>
      <c r="E1109" t="s">
        <v>6317</v>
      </c>
      <c r="F1109" t="str">
        <f>IF(Table2[[#This Row],[Date posted]]&lt; DATE(2015,9,18),"Before Crisis","During Crisis")</f>
        <v>Before Crisis</v>
      </c>
      <c r="G1109" s="27">
        <f t="shared" si="102"/>
        <v>42202</v>
      </c>
      <c r="H1109" s="7" t="str">
        <f t="shared" si="103"/>
        <v>17:22:52</v>
      </c>
      <c r="I1109" s="8" t="str">
        <f t="shared" si="104"/>
        <v>Afternoon</v>
      </c>
      <c r="J1109" t="s">
        <v>6314</v>
      </c>
      <c r="K1109" t="s">
        <v>2370</v>
      </c>
      <c r="L1109">
        <v>1</v>
      </c>
      <c r="M1109" s="3">
        <v>0</v>
      </c>
      <c r="N1109" s="3">
        <v>0</v>
      </c>
      <c r="O1109" s="4">
        <f t="shared" si="105"/>
        <v>1</v>
      </c>
      <c r="P1109" s="5" t="str">
        <f t="shared" si="106"/>
        <v>Low engagement</v>
      </c>
      <c r="Q1109" t="b">
        <v>0</v>
      </c>
      <c r="R1109" t="b">
        <v>0</v>
      </c>
      <c r="S1109" t="b">
        <v>0</v>
      </c>
      <c r="T1109" s="24" t="str">
        <f t="shared" si="107"/>
        <v>Text only</v>
      </c>
    </row>
    <row r="1110" spans="1:20" hidden="1" x14ac:dyDescent="0.2">
      <c r="A1110" t="s">
        <v>6311</v>
      </c>
      <c r="B1110" t="s">
        <v>2365</v>
      </c>
      <c r="C1110" t="s">
        <v>2366</v>
      </c>
      <c r="D1110" t="s">
        <v>6312</v>
      </c>
      <c r="E1110" t="s">
        <v>6313</v>
      </c>
      <c r="F1110" t="str">
        <f>IF(Table2[[#This Row],[Date posted]]&lt; DATE(2015,9,18),"Before Crisis","During Crisis")</f>
        <v>Before Crisis</v>
      </c>
      <c r="G1110" s="27">
        <f t="shared" si="102"/>
        <v>42202</v>
      </c>
      <c r="H1110" s="7" t="str">
        <f t="shared" si="103"/>
        <v>17:22:53</v>
      </c>
      <c r="I1110" s="8" t="str">
        <f t="shared" si="104"/>
        <v>Afternoon</v>
      </c>
      <c r="J1110" t="s">
        <v>6314</v>
      </c>
      <c r="K1110" t="s">
        <v>2370</v>
      </c>
      <c r="L1110" s="3">
        <v>0</v>
      </c>
      <c r="M1110" s="3">
        <v>0</v>
      </c>
      <c r="N1110" s="3">
        <v>0</v>
      </c>
      <c r="O1110" s="4">
        <f t="shared" si="105"/>
        <v>0</v>
      </c>
      <c r="P1110" s="5" t="str">
        <f t="shared" si="106"/>
        <v>No engagement</v>
      </c>
      <c r="Q1110" t="b">
        <v>0</v>
      </c>
      <c r="R1110" t="b">
        <v>0</v>
      </c>
      <c r="S1110" t="b">
        <v>0</v>
      </c>
      <c r="T1110" s="24" t="str">
        <f t="shared" si="107"/>
        <v>Text only</v>
      </c>
    </row>
    <row r="1111" spans="1:20" hidden="1" x14ac:dyDescent="0.2">
      <c r="A1111" t="s">
        <v>6308</v>
      </c>
      <c r="B1111" t="s">
        <v>2365</v>
      </c>
      <c r="C1111" t="s">
        <v>2366</v>
      </c>
      <c r="D1111" t="s">
        <v>6309</v>
      </c>
      <c r="E1111" t="s">
        <v>6310</v>
      </c>
      <c r="F1111" t="str">
        <f>IF(Table2[[#This Row],[Date posted]]&lt; DATE(2015,9,18),"Before Crisis","During Crisis")</f>
        <v>Before Crisis</v>
      </c>
      <c r="G1111" s="27">
        <f t="shared" si="102"/>
        <v>42202</v>
      </c>
      <c r="H1111" s="7" t="str">
        <f t="shared" si="103"/>
        <v>18:12:56</v>
      </c>
      <c r="I1111" s="8" t="str">
        <f t="shared" si="104"/>
        <v>Evening</v>
      </c>
      <c r="J1111" t="s">
        <v>2370</v>
      </c>
      <c r="K1111" t="s">
        <v>2370</v>
      </c>
      <c r="L1111" s="3">
        <v>0</v>
      </c>
      <c r="M1111" s="3">
        <v>0</v>
      </c>
      <c r="N1111" s="3">
        <v>0</v>
      </c>
      <c r="O1111" s="4">
        <f t="shared" si="105"/>
        <v>0</v>
      </c>
      <c r="P1111" s="5" t="str">
        <f t="shared" si="106"/>
        <v>No engagement</v>
      </c>
      <c r="Q1111" t="b">
        <v>0</v>
      </c>
      <c r="R1111" t="b">
        <v>0</v>
      </c>
      <c r="S1111" t="b">
        <v>0</v>
      </c>
      <c r="T1111" s="24" t="str">
        <f t="shared" si="107"/>
        <v>Text only</v>
      </c>
    </row>
    <row r="1112" spans="1:20" hidden="1" x14ac:dyDescent="0.2">
      <c r="A1112" t="s">
        <v>6226</v>
      </c>
      <c r="B1112" t="s">
        <v>2365</v>
      </c>
      <c r="C1112" t="s">
        <v>2366</v>
      </c>
      <c r="D1112" t="s">
        <v>6227</v>
      </c>
      <c r="E1112" t="s">
        <v>6228</v>
      </c>
      <c r="F1112" t="str">
        <f>IF(Table2[[#This Row],[Date posted]]&lt; DATE(2015,9,18),"Before Crisis","During Crisis")</f>
        <v>Before Crisis</v>
      </c>
      <c r="G1112" s="27">
        <f t="shared" si="102"/>
        <v>42205</v>
      </c>
      <c r="H1112" s="7" t="str">
        <f t="shared" si="103"/>
        <v>16:29:23</v>
      </c>
      <c r="I1112" s="8" t="str">
        <f t="shared" si="104"/>
        <v>Afternoon</v>
      </c>
      <c r="J1112" t="s">
        <v>6225</v>
      </c>
      <c r="K1112" t="s">
        <v>2370</v>
      </c>
      <c r="L1112" s="3">
        <v>0</v>
      </c>
      <c r="M1112" s="3">
        <v>0</v>
      </c>
      <c r="N1112" s="3">
        <v>0</v>
      </c>
      <c r="O1112" s="4">
        <f t="shared" si="105"/>
        <v>0</v>
      </c>
      <c r="P1112" s="5" t="str">
        <f t="shared" si="106"/>
        <v>No engagement</v>
      </c>
      <c r="Q1112" t="b">
        <v>0</v>
      </c>
      <c r="R1112" t="b">
        <v>0</v>
      </c>
      <c r="S1112" t="b">
        <v>0</v>
      </c>
      <c r="T1112" s="24" t="str">
        <f t="shared" si="107"/>
        <v>Text only</v>
      </c>
    </row>
    <row r="1113" spans="1:20" hidden="1" x14ac:dyDescent="0.2">
      <c r="A1113" t="s">
        <v>6222</v>
      </c>
      <c r="B1113" t="s">
        <v>2365</v>
      </c>
      <c r="C1113" t="s">
        <v>2366</v>
      </c>
      <c r="D1113" t="s">
        <v>6223</v>
      </c>
      <c r="E1113" t="s">
        <v>6224</v>
      </c>
      <c r="F1113" t="str">
        <f>IF(Table2[[#This Row],[Date posted]]&lt; DATE(2015,9,18),"Before Crisis","During Crisis")</f>
        <v>Before Crisis</v>
      </c>
      <c r="G1113" s="27">
        <f t="shared" si="102"/>
        <v>42205</v>
      </c>
      <c r="H1113" s="7" t="str">
        <f t="shared" si="103"/>
        <v>16:29:24</v>
      </c>
      <c r="I1113" s="8" t="str">
        <f t="shared" si="104"/>
        <v>Afternoon</v>
      </c>
      <c r="J1113" t="s">
        <v>6225</v>
      </c>
      <c r="K1113" t="s">
        <v>2370</v>
      </c>
      <c r="L1113" s="3">
        <v>0</v>
      </c>
      <c r="M1113" s="3">
        <v>0</v>
      </c>
      <c r="N1113" s="3">
        <v>0</v>
      </c>
      <c r="O1113" s="4">
        <f t="shared" si="105"/>
        <v>0</v>
      </c>
      <c r="P1113" s="5" t="str">
        <f t="shared" si="106"/>
        <v>No engagement</v>
      </c>
      <c r="Q1113" t="b">
        <v>0</v>
      </c>
      <c r="R1113" t="b">
        <v>0</v>
      </c>
      <c r="S1113" t="b">
        <v>0</v>
      </c>
      <c r="T1113" s="24" t="str">
        <f t="shared" si="107"/>
        <v>Text only</v>
      </c>
    </row>
    <row r="1114" spans="1:20" hidden="1" x14ac:dyDescent="0.2">
      <c r="A1114" t="s">
        <v>6219</v>
      </c>
      <c r="B1114" t="s">
        <v>2365</v>
      </c>
      <c r="C1114" t="s">
        <v>2366</v>
      </c>
      <c r="D1114" t="s">
        <v>6220</v>
      </c>
      <c r="E1114" t="s">
        <v>6221</v>
      </c>
      <c r="F1114" t="str">
        <f>IF(Table2[[#This Row],[Date posted]]&lt; DATE(2015,9,18),"Before Crisis","During Crisis")</f>
        <v>Before Crisis</v>
      </c>
      <c r="G1114" s="27">
        <f t="shared" si="102"/>
        <v>42205</v>
      </c>
      <c r="H1114" s="7" t="str">
        <f t="shared" si="103"/>
        <v>17:46:30</v>
      </c>
      <c r="I1114" s="8" t="str">
        <f t="shared" si="104"/>
        <v>Afternoon</v>
      </c>
      <c r="J1114" t="s">
        <v>6169</v>
      </c>
      <c r="K1114" t="s">
        <v>2370</v>
      </c>
      <c r="L1114">
        <v>1</v>
      </c>
      <c r="M1114">
        <v>1</v>
      </c>
      <c r="N1114" s="3">
        <v>0</v>
      </c>
      <c r="O1114" s="4">
        <f t="shared" si="105"/>
        <v>2</v>
      </c>
      <c r="P1114" s="5" t="str">
        <f t="shared" si="106"/>
        <v>Low engagement</v>
      </c>
      <c r="Q1114" t="b">
        <v>0</v>
      </c>
      <c r="R1114" t="b">
        <v>0</v>
      </c>
      <c r="S1114" t="b">
        <v>0</v>
      </c>
      <c r="T1114" s="24" t="str">
        <f t="shared" si="107"/>
        <v>Text only</v>
      </c>
    </row>
    <row r="1115" spans="1:20" hidden="1" x14ac:dyDescent="0.2">
      <c r="A1115" t="s">
        <v>6214</v>
      </c>
      <c r="B1115" t="s">
        <v>2365</v>
      </c>
      <c r="C1115" t="s">
        <v>2366</v>
      </c>
      <c r="D1115" t="s">
        <v>6215</v>
      </c>
      <c r="E1115" t="s">
        <v>6216</v>
      </c>
      <c r="F1115" t="str">
        <f>IF(Table2[[#This Row],[Date posted]]&lt; DATE(2015,9,18),"Before Crisis","During Crisis")</f>
        <v>Before Crisis</v>
      </c>
      <c r="G1115" s="27">
        <f t="shared" si="102"/>
        <v>42205</v>
      </c>
      <c r="H1115" s="7" t="str">
        <f t="shared" si="103"/>
        <v>17:46:31</v>
      </c>
      <c r="I1115" s="8" t="str">
        <f t="shared" si="104"/>
        <v>Afternoon</v>
      </c>
      <c r="J1115" t="s">
        <v>6213</v>
      </c>
      <c r="K1115" t="s">
        <v>2370</v>
      </c>
      <c r="L1115">
        <v>2</v>
      </c>
      <c r="M1115" s="3">
        <v>0</v>
      </c>
      <c r="N1115" s="3">
        <v>0</v>
      </c>
      <c r="O1115" s="4">
        <f t="shared" si="105"/>
        <v>2</v>
      </c>
      <c r="P1115" s="5" t="str">
        <f t="shared" si="106"/>
        <v>Low engagement</v>
      </c>
      <c r="Q1115" t="b">
        <v>0</v>
      </c>
      <c r="R1115" t="b">
        <v>0</v>
      </c>
      <c r="S1115" t="b">
        <v>0</v>
      </c>
      <c r="T1115" s="24" t="str">
        <f t="shared" si="107"/>
        <v>Text only</v>
      </c>
    </row>
    <row r="1116" spans="1:20" hidden="1" x14ac:dyDescent="0.2">
      <c r="A1116" t="s">
        <v>6217</v>
      </c>
      <c r="B1116" t="s">
        <v>2365</v>
      </c>
      <c r="C1116" t="s">
        <v>2366</v>
      </c>
      <c r="D1116" t="s">
        <v>6218</v>
      </c>
      <c r="E1116" t="s">
        <v>6216</v>
      </c>
      <c r="F1116" t="str">
        <f>IF(Table2[[#This Row],[Date posted]]&lt; DATE(2015,9,18),"Before Crisis","During Crisis")</f>
        <v>Before Crisis</v>
      </c>
      <c r="G1116" s="27">
        <f t="shared" si="102"/>
        <v>42205</v>
      </c>
      <c r="H1116" s="7" t="str">
        <f t="shared" si="103"/>
        <v>17:46:31</v>
      </c>
      <c r="I1116" s="8" t="str">
        <f t="shared" si="104"/>
        <v>Afternoon</v>
      </c>
      <c r="J1116" t="s">
        <v>6169</v>
      </c>
      <c r="K1116" t="s">
        <v>2370</v>
      </c>
      <c r="L1116">
        <v>2</v>
      </c>
      <c r="M1116">
        <v>2</v>
      </c>
      <c r="N1116" s="3">
        <v>0</v>
      </c>
      <c r="O1116" s="4">
        <f t="shared" si="105"/>
        <v>4</v>
      </c>
      <c r="P1116" s="5" t="str">
        <f t="shared" si="106"/>
        <v>Low engagement</v>
      </c>
      <c r="Q1116" t="b">
        <v>0</v>
      </c>
      <c r="R1116" t="b">
        <v>0</v>
      </c>
      <c r="S1116" t="b">
        <v>0</v>
      </c>
      <c r="T1116" s="24" t="str">
        <f t="shared" si="107"/>
        <v>Text only</v>
      </c>
    </row>
    <row r="1117" spans="1:20" hidden="1" x14ac:dyDescent="0.2">
      <c r="A1117" t="s">
        <v>6208</v>
      </c>
      <c r="B1117" t="s">
        <v>2365</v>
      </c>
      <c r="C1117" t="s">
        <v>2366</v>
      </c>
      <c r="D1117" t="s">
        <v>6209</v>
      </c>
      <c r="E1117" t="s">
        <v>6210</v>
      </c>
      <c r="F1117" t="str">
        <f>IF(Table2[[#This Row],[Date posted]]&lt; DATE(2015,9,18),"Before Crisis","During Crisis")</f>
        <v>Before Crisis</v>
      </c>
      <c r="G1117" s="27">
        <f t="shared" si="102"/>
        <v>42205</v>
      </c>
      <c r="H1117" s="7" t="str">
        <f t="shared" si="103"/>
        <v>17:46:33</v>
      </c>
      <c r="I1117" s="8" t="str">
        <f t="shared" si="104"/>
        <v>Afternoon</v>
      </c>
      <c r="J1117" t="s">
        <v>6207</v>
      </c>
      <c r="K1117" t="s">
        <v>2370</v>
      </c>
      <c r="L1117" s="3">
        <v>0</v>
      </c>
      <c r="M1117">
        <v>1</v>
      </c>
      <c r="N1117" s="3">
        <v>0</v>
      </c>
      <c r="O1117" s="4">
        <f t="shared" si="105"/>
        <v>1</v>
      </c>
      <c r="P1117" s="5" t="str">
        <f t="shared" si="106"/>
        <v>Low engagement</v>
      </c>
      <c r="Q1117" t="b">
        <v>0</v>
      </c>
      <c r="R1117" t="b">
        <v>0</v>
      </c>
      <c r="S1117" t="b">
        <v>0</v>
      </c>
      <c r="T1117" s="24" t="str">
        <f t="shared" si="107"/>
        <v>Text only</v>
      </c>
    </row>
    <row r="1118" spans="1:20" hidden="1" x14ac:dyDescent="0.2">
      <c r="A1118" t="s">
        <v>6211</v>
      </c>
      <c r="B1118" t="s">
        <v>2365</v>
      </c>
      <c r="C1118" t="s">
        <v>2366</v>
      </c>
      <c r="D1118" t="s">
        <v>6212</v>
      </c>
      <c r="E1118" t="s">
        <v>6210</v>
      </c>
      <c r="F1118" t="str">
        <f>IF(Table2[[#This Row],[Date posted]]&lt; DATE(2015,9,18),"Before Crisis","During Crisis")</f>
        <v>Before Crisis</v>
      </c>
      <c r="G1118" s="27">
        <f t="shared" si="102"/>
        <v>42205</v>
      </c>
      <c r="H1118" s="7" t="str">
        <f t="shared" si="103"/>
        <v>17:46:33</v>
      </c>
      <c r="I1118" s="8" t="str">
        <f t="shared" si="104"/>
        <v>Afternoon</v>
      </c>
      <c r="J1118" t="s">
        <v>6213</v>
      </c>
      <c r="K1118" t="s">
        <v>2370</v>
      </c>
      <c r="L1118">
        <v>2</v>
      </c>
      <c r="M1118">
        <v>1</v>
      </c>
      <c r="N1118" s="3">
        <v>0</v>
      </c>
      <c r="O1118" s="4">
        <f t="shared" si="105"/>
        <v>3</v>
      </c>
      <c r="P1118" s="5" t="str">
        <f t="shared" si="106"/>
        <v>Low engagement</v>
      </c>
      <c r="Q1118" t="b">
        <v>0</v>
      </c>
      <c r="R1118" t="b">
        <v>0</v>
      </c>
      <c r="S1118" t="b">
        <v>1</v>
      </c>
      <c r="T1118" s="24" t="str">
        <f t="shared" si="107"/>
        <v>Link</v>
      </c>
    </row>
    <row r="1119" spans="1:20" hidden="1" x14ac:dyDescent="0.2">
      <c r="A1119" t="s">
        <v>6202</v>
      </c>
      <c r="B1119" t="s">
        <v>2365</v>
      </c>
      <c r="C1119" t="s">
        <v>2366</v>
      </c>
      <c r="D1119" t="s">
        <v>6203</v>
      </c>
      <c r="E1119" t="s">
        <v>6204</v>
      </c>
      <c r="F1119" t="str">
        <f>IF(Table2[[#This Row],[Date posted]]&lt; DATE(2015,9,18),"Before Crisis","During Crisis")</f>
        <v>Before Crisis</v>
      </c>
      <c r="G1119" s="27">
        <f t="shared" si="102"/>
        <v>42205</v>
      </c>
      <c r="H1119" s="7" t="str">
        <f t="shared" si="103"/>
        <v>17:46:34</v>
      </c>
      <c r="I1119" s="8" t="str">
        <f t="shared" si="104"/>
        <v>Afternoon</v>
      </c>
      <c r="J1119" t="s">
        <v>6201</v>
      </c>
      <c r="K1119" t="s">
        <v>2370</v>
      </c>
      <c r="L1119" s="3">
        <v>0</v>
      </c>
      <c r="M1119" s="3">
        <v>0</v>
      </c>
      <c r="N1119" s="3">
        <v>0</v>
      </c>
      <c r="O1119" s="4">
        <f t="shared" si="105"/>
        <v>0</v>
      </c>
      <c r="P1119" s="5" t="str">
        <f t="shared" si="106"/>
        <v>No engagement</v>
      </c>
      <c r="Q1119" t="b">
        <v>0</v>
      </c>
      <c r="R1119" t="b">
        <v>0</v>
      </c>
      <c r="S1119" t="b">
        <v>0</v>
      </c>
      <c r="T1119" s="24" t="str">
        <f t="shared" si="107"/>
        <v>Text only</v>
      </c>
    </row>
    <row r="1120" spans="1:20" hidden="1" x14ac:dyDescent="0.2">
      <c r="A1120" t="s">
        <v>6205</v>
      </c>
      <c r="B1120" t="s">
        <v>2365</v>
      </c>
      <c r="C1120" t="s">
        <v>2366</v>
      </c>
      <c r="D1120" t="s">
        <v>6206</v>
      </c>
      <c r="E1120" t="s">
        <v>6204</v>
      </c>
      <c r="F1120" t="str">
        <f>IF(Table2[[#This Row],[Date posted]]&lt; DATE(2015,9,18),"Before Crisis","During Crisis")</f>
        <v>Before Crisis</v>
      </c>
      <c r="G1120" s="27">
        <f t="shared" si="102"/>
        <v>42205</v>
      </c>
      <c r="H1120" s="7" t="str">
        <f t="shared" si="103"/>
        <v>17:46:34</v>
      </c>
      <c r="I1120" s="8" t="str">
        <f t="shared" si="104"/>
        <v>Afternoon</v>
      </c>
      <c r="J1120" t="s">
        <v>6207</v>
      </c>
      <c r="K1120" t="s">
        <v>2370</v>
      </c>
      <c r="L1120" s="3">
        <v>0</v>
      </c>
      <c r="M1120">
        <v>1</v>
      </c>
      <c r="N1120" s="3">
        <v>0</v>
      </c>
      <c r="O1120" s="4">
        <f t="shared" si="105"/>
        <v>1</v>
      </c>
      <c r="P1120" s="5" t="str">
        <f t="shared" si="106"/>
        <v>Low engagement</v>
      </c>
      <c r="Q1120" t="b">
        <v>0</v>
      </c>
      <c r="R1120" t="b">
        <v>0</v>
      </c>
      <c r="S1120" t="b">
        <v>0</v>
      </c>
      <c r="T1120" s="24" t="str">
        <f t="shared" si="107"/>
        <v>Text only</v>
      </c>
    </row>
    <row r="1121" spans="1:20" hidden="1" x14ac:dyDescent="0.2">
      <c r="A1121" t="s">
        <v>6196</v>
      </c>
      <c r="B1121" t="s">
        <v>2365</v>
      </c>
      <c r="C1121" t="s">
        <v>2366</v>
      </c>
      <c r="D1121" t="s">
        <v>6197</v>
      </c>
      <c r="E1121" t="s">
        <v>6198</v>
      </c>
      <c r="F1121" t="str">
        <f>IF(Table2[[#This Row],[Date posted]]&lt; DATE(2015,9,18),"Before Crisis","During Crisis")</f>
        <v>Before Crisis</v>
      </c>
      <c r="G1121" s="27">
        <f t="shared" si="102"/>
        <v>42205</v>
      </c>
      <c r="H1121" s="7" t="str">
        <f t="shared" si="103"/>
        <v>17:46:35</v>
      </c>
      <c r="I1121" s="8" t="str">
        <f t="shared" si="104"/>
        <v>Afternoon</v>
      </c>
      <c r="J1121" t="s">
        <v>6195</v>
      </c>
      <c r="K1121" t="s">
        <v>2370</v>
      </c>
      <c r="L1121" s="3">
        <v>0</v>
      </c>
      <c r="M1121" s="3">
        <v>0</v>
      </c>
      <c r="N1121" s="3">
        <v>0</v>
      </c>
      <c r="O1121" s="4">
        <f t="shared" si="105"/>
        <v>0</v>
      </c>
      <c r="P1121" s="5" t="str">
        <f t="shared" si="106"/>
        <v>No engagement</v>
      </c>
      <c r="Q1121" t="b">
        <v>0</v>
      </c>
      <c r="R1121" t="b">
        <v>0</v>
      </c>
      <c r="S1121" t="b">
        <v>0</v>
      </c>
      <c r="T1121" s="24" t="str">
        <f t="shared" si="107"/>
        <v>Text only</v>
      </c>
    </row>
    <row r="1122" spans="1:20" hidden="1" x14ac:dyDescent="0.2">
      <c r="A1122" t="s">
        <v>6199</v>
      </c>
      <c r="B1122" t="s">
        <v>2365</v>
      </c>
      <c r="C1122" t="s">
        <v>2366</v>
      </c>
      <c r="D1122" t="s">
        <v>6200</v>
      </c>
      <c r="E1122" t="s">
        <v>6198</v>
      </c>
      <c r="F1122" t="str">
        <f>IF(Table2[[#This Row],[Date posted]]&lt; DATE(2015,9,18),"Before Crisis","During Crisis")</f>
        <v>Before Crisis</v>
      </c>
      <c r="G1122" s="27">
        <f t="shared" si="102"/>
        <v>42205</v>
      </c>
      <c r="H1122" s="7" t="str">
        <f t="shared" si="103"/>
        <v>17:46:35</v>
      </c>
      <c r="I1122" s="8" t="str">
        <f t="shared" si="104"/>
        <v>Afternoon</v>
      </c>
      <c r="J1122" t="s">
        <v>6201</v>
      </c>
      <c r="K1122" t="s">
        <v>2370</v>
      </c>
      <c r="L1122" s="3">
        <v>0</v>
      </c>
      <c r="M1122" s="3">
        <v>0</v>
      </c>
      <c r="N1122" s="3">
        <v>0</v>
      </c>
      <c r="O1122" s="4">
        <f t="shared" si="105"/>
        <v>0</v>
      </c>
      <c r="P1122" s="5" t="str">
        <f t="shared" si="106"/>
        <v>No engagement</v>
      </c>
      <c r="Q1122" t="b">
        <v>0</v>
      </c>
      <c r="R1122" t="b">
        <v>0</v>
      </c>
      <c r="S1122" t="b">
        <v>0</v>
      </c>
      <c r="T1122" s="24" t="str">
        <f t="shared" si="107"/>
        <v>Text only</v>
      </c>
    </row>
    <row r="1123" spans="1:20" hidden="1" x14ac:dyDescent="0.2">
      <c r="A1123" t="s">
        <v>6192</v>
      </c>
      <c r="B1123" t="s">
        <v>2365</v>
      </c>
      <c r="C1123" t="s">
        <v>2366</v>
      </c>
      <c r="D1123" t="s">
        <v>6193</v>
      </c>
      <c r="E1123" t="s">
        <v>6194</v>
      </c>
      <c r="F1123" t="str">
        <f>IF(Table2[[#This Row],[Date posted]]&lt; DATE(2015,9,18),"Before Crisis","During Crisis")</f>
        <v>Before Crisis</v>
      </c>
      <c r="G1123" s="27">
        <f t="shared" si="102"/>
        <v>42205</v>
      </c>
      <c r="H1123" s="7" t="str">
        <f t="shared" si="103"/>
        <v>17:46:36</v>
      </c>
      <c r="I1123" s="8" t="str">
        <f t="shared" si="104"/>
        <v>Afternoon</v>
      </c>
      <c r="J1123" t="s">
        <v>6195</v>
      </c>
      <c r="K1123" t="s">
        <v>2370</v>
      </c>
      <c r="L1123" s="3">
        <v>0</v>
      </c>
      <c r="M1123" s="3">
        <v>0</v>
      </c>
      <c r="N1123" s="3">
        <v>0</v>
      </c>
      <c r="O1123" s="4">
        <f t="shared" si="105"/>
        <v>0</v>
      </c>
      <c r="P1123" s="5" t="str">
        <f t="shared" si="106"/>
        <v>No engagement</v>
      </c>
      <c r="Q1123" t="b">
        <v>0</v>
      </c>
      <c r="R1123" t="b">
        <v>0</v>
      </c>
      <c r="S1123" t="b">
        <v>0</v>
      </c>
      <c r="T1123" s="24" t="str">
        <f t="shared" si="107"/>
        <v>Text only</v>
      </c>
    </row>
    <row r="1124" spans="1:20" hidden="1" x14ac:dyDescent="0.2">
      <c r="A1124" t="s">
        <v>6183</v>
      </c>
      <c r="B1124" t="s">
        <v>2365</v>
      </c>
      <c r="C1124" t="s">
        <v>2366</v>
      </c>
      <c r="D1124" t="s">
        <v>6184</v>
      </c>
      <c r="E1124" t="s">
        <v>6185</v>
      </c>
      <c r="F1124" t="str">
        <f>IF(Table2[[#This Row],[Date posted]]&lt; DATE(2015,9,18),"Before Crisis","During Crisis")</f>
        <v>Before Crisis</v>
      </c>
      <c r="G1124" s="27">
        <f t="shared" si="102"/>
        <v>42205</v>
      </c>
      <c r="H1124" s="7" t="str">
        <f t="shared" si="103"/>
        <v>17:46:39</v>
      </c>
      <c r="I1124" s="8" t="str">
        <f t="shared" si="104"/>
        <v>Afternoon</v>
      </c>
      <c r="J1124" t="s">
        <v>2370</v>
      </c>
      <c r="K1124" t="s">
        <v>2370</v>
      </c>
      <c r="L1124">
        <v>1</v>
      </c>
      <c r="M1124" s="3">
        <v>0</v>
      </c>
      <c r="N1124" s="3">
        <v>0</v>
      </c>
      <c r="O1124" s="4">
        <f t="shared" si="105"/>
        <v>1</v>
      </c>
      <c r="P1124" s="5" t="str">
        <f t="shared" si="106"/>
        <v>Low engagement</v>
      </c>
      <c r="Q1124" t="b">
        <v>0</v>
      </c>
      <c r="R1124" t="b">
        <v>0</v>
      </c>
      <c r="S1124" t="b">
        <v>0</v>
      </c>
      <c r="T1124" s="24" t="str">
        <f t="shared" si="107"/>
        <v>Text only</v>
      </c>
    </row>
    <row r="1125" spans="1:20" hidden="1" x14ac:dyDescent="0.2">
      <c r="A1125" t="s">
        <v>6166</v>
      </c>
      <c r="B1125" t="s">
        <v>2365</v>
      </c>
      <c r="C1125" t="s">
        <v>2366</v>
      </c>
      <c r="D1125" t="s">
        <v>6167</v>
      </c>
      <c r="E1125" t="s">
        <v>6168</v>
      </c>
      <c r="F1125" t="str">
        <f>IF(Table2[[#This Row],[Date posted]]&lt; DATE(2015,9,18),"Before Crisis","During Crisis")</f>
        <v>Before Crisis</v>
      </c>
      <c r="G1125" s="27">
        <f t="shared" si="102"/>
        <v>42206</v>
      </c>
      <c r="H1125" s="7" t="str">
        <f t="shared" si="103"/>
        <v>18:16:13</v>
      </c>
      <c r="I1125" s="8" t="str">
        <f t="shared" si="104"/>
        <v>Evening</v>
      </c>
      <c r="J1125" t="s">
        <v>6169</v>
      </c>
      <c r="K1125" t="s">
        <v>2370</v>
      </c>
      <c r="L1125" s="3">
        <v>0</v>
      </c>
      <c r="M1125" s="3">
        <v>0</v>
      </c>
      <c r="N1125" s="3">
        <v>0</v>
      </c>
      <c r="O1125" s="4">
        <f t="shared" si="105"/>
        <v>0</v>
      </c>
      <c r="P1125" s="5" t="str">
        <f t="shared" si="106"/>
        <v>No engagement</v>
      </c>
      <c r="Q1125" t="b">
        <v>0</v>
      </c>
      <c r="R1125" t="b">
        <v>0</v>
      </c>
      <c r="S1125" t="b">
        <v>0</v>
      </c>
      <c r="T1125" s="24" t="str">
        <f t="shared" si="107"/>
        <v>Text only</v>
      </c>
    </row>
    <row r="1126" spans="1:20" hidden="1" x14ac:dyDescent="0.2">
      <c r="A1126" t="s">
        <v>6162</v>
      </c>
      <c r="B1126" t="s">
        <v>2365</v>
      </c>
      <c r="C1126" t="s">
        <v>2366</v>
      </c>
      <c r="D1126" t="s">
        <v>6163</v>
      </c>
      <c r="E1126" t="s">
        <v>6164</v>
      </c>
      <c r="F1126" t="str">
        <f>IF(Table2[[#This Row],[Date posted]]&lt; DATE(2015,9,18),"Before Crisis","During Crisis")</f>
        <v>Before Crisis</v>
      </c>
      <c r="G1126" s="27">
        <f t="shared" si="102"/>
        <v>42206</v>
      </c>
      <c r="H1126" s="7" t="str">
        <f t="shared" si="103"/>
        <v>18:30:31</v>
      </c>
      <c r="I1126" s="8" t="str">
        <f t="shared" si="104"/>
        <v>Evening</v>
      </c>
      <c r="J1126" t="s">
        <v>6165</v>
      </c>
      <c r="K1126" t="s">
        <v>2370</v>
      </c>
      <c r="L1126" s="3">
        <v>0</v>
      </c>
      <c r="M1126" s="3">
        <v>0</v>
      </c>
      <c r="N1126" s="3">
        <v>0</v>
      </c>
      <c r="O1126" s="4">
        <f t="shared" si="105"/>
        <v>0</v>
      </c>
      <c r="P1126" s="5" t="str">
        <f t="shared" si="106"/>
        <v>No engagement</v>
      </c>
      <c r="Q1126" t="b">
        <v>0</v>
      </c>
      <c r="R1126" t="b">
        <v>0</v>
      </c>
      <c r="S1126" t="b">
        <v>0</v>
      </c>
      <c r="T1126" s="24" t="str">
        <f t="shared" si="107"/>
        <v>Text only</v>
      </c>
    </row>
    <row r="1127" spans="1:20" hidden="1" x14ac:dyDescent="0.2">
      <c r="A1127" t="s">
        <v>6153</v>
      </c>
      <c r="B1127" t="s">
        <v>2365</v>
      </c>
      <c r="C1127" t="s">
        <v>2366</v>
      </c>
      <c r="D1127" t="s">
        <v>6154</v>
      </c>
      <c r="E1127" t="s">
        <v>6155</v>
      </c>
      <c r="F1127" t="str">
        <f>IF(Table2[[#This Row],[Date posted]]&lt; DATE(2015,9,18),"Before Crisis","During Crisis")</f>
        <v>Before Crisis</v>
      </c>
      <c r="G1127" s="27">
        <f t="shared" si="102"/>
        <v>42206</v>
      </c>
      <c r="H1127" s="7" t="str">
        <f t="shared" si="103"/>
        <v>19:07:28</v>
      </c>
      <c r="I1127" s="8" t="str">
        <f t="shared" si="104"/>
        <v>Evening</v>
      </c>
      <c r="J1127" t="s">
        <v>6156</v>
      </c>
      <c r="K1127" t="s">
        <v>2370</v>
      </c>
      <c r="L1127" s="3">
        <v>0</v>
      </c>
      <c r="M1127" s="3">
        <v>0</v>
      </c>
      <c r="N1127" s="3">
        <v>0</v>
      </c>
      <c r="O1127" s="4">
        <f t="shared" si="105"/>
        <v>0</v>
      </c>
      <c r="P1127" s="5" t="str">
        <f t="shared" si="106"/>
        <v>No engagement</v>
      </c>
      <c r="Q1127" t="b">
        <v>0</v>
      </c>
      <c r="R1127" t="b">
        <v>0</v>
      </c>
      <c r="S1127" t="b">
        <v>0</v>
      </c>
      <c r="T1127" s="24" t="str">
        <f t="shared" si="107"/>
        <v>Text only</v>
      </c>
    </row>
    <row r="1128" spans="1:20" hidden="1" x14ac:dyDescent="0.2">
      <c r="A1128" t="s">
        <v>6157</v>
      </c>
      <c r="B1128" t="s">
        <v>2365</v>
      </c>
      <c r="C1128" t="s">
        <v>2366</v>
      </c>
      <c r="D1128" t="s">
        <v>6158</v>
      </c>
      <c r="E1128" t="s">
        <v>6155</v>
      </c>
      <c r="F1128" t="str">
        <f>IF(Table2[[#This Row],[Date posted]]&lt; DATE(2015,9,18),"Before Crisis","During Crisis")</f>
        <v>Before Crisis</v>
      </c>
      <c r="G1128" s="27">
        <f t="shared" si="102"/>
        <v>42206</v>
      </c>
      <c r="H1128" s="7" t="str">
        <f t="shared" si="103"/>
        <v>19:07:28</v>
      </c>
      <c r="I1128" s="8" t="str">
        <f t="shared" si="104"/>
        <v>Evening</v>
      </c>
      <c r="J1128" t="s">
        <v>6156</v>
      </c>
      <c r="K1128" t="s">
        <v>2370</v>
      </c>
      <c r="L1128" s="3">
        <v>0</v>
      </c>
      <c r="M1128" s="3">
        <v>0</v>
      </c>
      <c r="N1128" s="3">
        <v>0</v>
      </c>
      <c r="O1128" s="4">
        <f t="shared" si="105"/>
        <v>0</v>
      </c>
      <c r="P1128" s="5" t="str">
        <f t="shared" si="106"/>
        <v>No engagement</v>
      </c>
      <c r="Q1128" t="b">
        <v>0</v>
      </c>
      <c r="R1128" t="b">
        <v>0</v>
      </c>
      <c r="S1128" t="b">
        <v>0</v>
      </c>
      <c r="T1128" s="24" t="str">
        <f t="shared" si="107"/>
        <v>Text only</v>
      </c>
    </row>
    <row r="1129" spans="1:20" hidden="1" x14ac:dyDescent="0.2">
      <c r="A1129" t="s">
        <v>6137</v>
      </c>
      <c r="B1129" t="s">
        <v>2365</v>
      </c>
      <c r="C1129" t="s">
        <v>2366</v>
      </c>
      <c r="D1129" t="s">
        <v>6138</v>
      </c>
      <c r="E1129" t="s">
        <v>6139</v>
      </c>
      <c r="F1129" t="str">
        <f>IF(Table2[[#This Row],[Date posted]]&lt; DATE(2015,9,18),"Before Crisis","During Crisis")</f>
        <v>Before Crisis</v>
      </c>
      <c r="G1129" s="27">
        <f t="shared" si="102"/>
        <v>42207</v>
      </c>
      <c r="H1129" s="7" t="str">
        <f t="shared" si="103"/>
        <v>17:39:32</v>
      </c>
      <c r="I1129" s="8" t="str">
        <f t="shared" si="104"/>
        <v>Afternoon</v>
      </c>
      <c r="J1129" t="s">
        <v>2370</v>
      </c>
      <c r="K1129" t="s">
        <v>2370</v>
      </c>
      <c r="L1129" s="3">
        <v>0</v>
      </c>
      <c r="M1129" s="3">
        <v>0</v>
      </c>
      <c r="N1129" s="3">
        <v>0</v>
      </c>
      <c r="O1129" s="4">
        <f t="shared" si="105"/>
        <v>0</v>
      </c>
      <c r="P1129" s="5" t="str">
        <f t="shared" si="106"/>
        <v>No engagement</v>
      </c>
      <c r="Q1129" t="b">
        <v>0</v>
      </c>
      <c r="R1129" t="b">
        <v>0</v>
      </c>
      <c r="S1129" t="b">
        <v>0</v>
      </c>
      <c r="T1129" s="24" t="str">
        <f t="shared" si="107"/>
        <v>Text only</v>
      </c>
    </row>
    <row r="1130" spans="1:20" hidden="1" x14ac:dyDescent="0.2">
      <c r="A1130" t="s">
        <v>6133</v>
      </c>
      <c r="B1130" t="s">
        <v>2365</v>
      </c>
      <c r="C1130" t="s">
        <v>2366</v>
      </c>
      <c r="D1130" t="s">
        <v>6134</v>
      </c>
      <c r="E1130" t="s">
        <v>6135</v>
      </c>
      <c r="F1130" t="str">
        <f>IF(Table2[[#This Row],[Date posted]]&lt; DATE(2015,9,18),"Before Crisis","During Crisis")</f>
        <v>Before Crisis</v>
      </c>
      <c r="G1130" s="27">
        <f t="shared" si="102"/>
        <v>42207</v>
      </c>
      <c r="H1130" s="7" t="str">
        <f t="shared" si="103"/>
        <v>17:39:33</v>
      </c>
      <c r="I1130" s="8" t="str">
        <f t="shared" si="104"/>
        <v>Afternoon</v>
      </c>
      <c r="J1130" t="s">
        <v>6136</v>
      </c>
      <c r="K1130" t="s">
        <v>2370</v>
      </c>
      <c r="L1130" s="3">
        <v>0</v>
      </c>
      <c r="M1130" s="3">
        <v>0</v>
      </c>
      <c r="N1130" s="3">
        <v>0</v>
      </c>
      <c r="O1130" s="4">
        <f t="shared" si="105"/>
        <v>0</v>
      </c>
      <c r="P1130" s="5" t="str">
        <f t="shared" si="106"/>
        <v>No engagement</v>
      </c>
      <c r="Q1130" t="b">
        <v>0</v>
      </c>
      <c r="R1130" t="b">
        <v>0</v>
      </c>
      <c r="S1130" t="b">
        <v>0</v>
      </c>
      <c r="T1130" s="24" t="str">
        <f t="shared" si="107"/>
        <v>Text only</v>
      </c>
    </row>
    <row r="1131" spans="1:20" hidden="1" x14ac:dyDescent="0.2">
      <c r="A1131" t="s">
        <v>6129</v>
      </c>
      <c r="B1131" t="s">
        <v>2365</v>
      </c>
      <c r="C1131" t="s">
        <v>2366</v>
      </c>
      <c r="D1131" t="s">
        <v>6130</v>
      </c>
      <c r="E1131" t="s">
        <v>6131</v>
      </c>
      <c r="F1131" t="str">
        <f>IF(Table2[[#This Row],[Date posted]]&lt; DATE(2015,9,18),"Before Crisis","During Crisis")</f>
        <v>Before Crisis</v>
      </c>
      <c r="G1131" s="27">
        <f t="shared" si="102"/>
        <v>42207</v>
      </c>
      <c r="H1131" s="7" t="str">
        <f t="shared" si="103"/>
        <v>19:38:54</v>
      </c>
      <c r="I1131" s="8" t="str">
        <f t="shared" si="104"/>
        <v>Evening</v>
      </c>
      <c r="J1131" t="s">
        <v>6132</v>
      </c>
      <c r="K1131" t="s">
        <v>2370</v>
      </c>
      <c r="L1131" s="3">
        <v>0</v>
      </c>
      <c r="M1131" s="3">
        <v>0</v>
      </c>
      <c r="N1131" s="3">
        <v>0</v>
      </c>
      <c r="O1131" s="4">
        <f t="shared" si="105"/>
        <v>0</v>
      </c>
      <c r="P1131" s="5" t="str">
        <f t="shared" si="106"/>
        <v>No engagement</v>
      </c>
      <c r="Q1131" t="b">
        <v>0</v>
      </c>
      <c r="R1131" t="b">
        <v>0</v>
      </c>
      <c r="S1131" t="b">
        <v>0</v>
      </c>
      <c r="T1131" s="24" t="str">
        <f t="shared" si="107"/>
        <v>Text only</v>
      </c>
    </row>
    <row r="1132" spans="1:20" hidden="1" x14ac:dyDescent="0.2">
      <c r="A1132" t="s">
        <v>6126</v>
      </c>
      <c r="B1132" t="s">
        <v>2365</v>
      </c>
      <c r="C1132" t="s">
        <v>2366</v>
      </c>
      <c r="D1132" t="s">
        <v>6127</v>
      </c>
      <c r="E1132" t="s">
        <v>6128</v>
      </c>
      <c r="F1132" t="str">
        <f>IF(Table2[[#This Row],[Date posted]]&lt; DATE(2015,9,18),"Before Crisis","During Crisis")</f>
        <v>Before Crisis</v>
      </c>
      <c r="G1132" s="27">
        <f t="shared" si="102"/>
        <v>42207</v>
      </c>
      <c r="H1132" s="7" t="str">
        <f t="shared" si="103"/>
        <v>20:15:12</v>
      </c>
      <c r="I1132" s="8" t="str">
        <f t="shared" si="104"/>
        <v>Evening</v>
      </c>
      <c r="J1132" t="s">
        <v>6125</v>
      </c>
      <c r="K1132" t="s">
        <v>2370</v>
      </c>
      <c r="L1132" s="3">
        <v>0</v>
      </c>
      <c r="M1132" s="3">
        <v>0</v>
      </c>
      <c r="N1132" s="3">
        <v>0</v>
      </c>
      <c r="O1132" s="4">
        <f t="shared" si="105"/>
        <v>0</v>
      </c>
      <c r="P1132" s="5" t="str">
        <f t="shared" si="106"/>
        <v>No engagement</v>
      </c>
      <c r="Q1132" t="b">
        <v>0</v>
      </c>
      <c r="R1132" t="b">
        <v>0</v>
      </c>
      <c r="S1132" t="b">
        <v>0</v>
      </c>
      <c r="T1132" s="24" t="str">
        <f t="shared" si="107"/>
        <v>Text only</v>
      </c>
    </row>
    <row r="1133" spans="1:20" hidden="1" x14ac:dyDescent="0.2">
      <c r="A1133" t="s">
        <v>6122</v>
      </c>
      <c r="B1133" t="s">
        <v>2365</v>
      </c>
      <c r="C1133" t="s">
        <v>2366</v>
      </c>
      <c r="D1133" t="s">
        <v>6123</v>
      </c>
      <c r="E1133" t="s">
        <v>6124</v>
      </c>
      <c r="F1133" t="str">
        <f>IF(Table2[[#This Row],[Date posted]]&lt; DATE(2015,9,18),"Before Crisis","During Crisis")</f>
        <v>Before Crisis</v>
      </c>
      <c r="G1133" s="27">
        <f t="shared" si="102"/>
        <v>42207</v>
      </c>
      <c r="H1133" s="7" t="str">
        <f t="shared" si="103"/>
        <v>20:15:13</v>
      </c>
      <c r="I1133" s="8" t="str">
        <f t="shared" si="104"/>
        <v>Evening</v>
      </c>
      <c r="J1133" t="s">
        <v>6125</v>
      </c>
      <c r="K1133" t="s">
        <v>2370</v>
      </c>
      <c r="L1133" s="3">
        <v>0</v>
      </c>
      <c r="M1133" s="3">
        <v>0</v>
      </c>
      <c r="N1133" s="3">
        <v>0</v>
      </c>
      <c r="O1133" s="4">
        <f t="shared" si="105"/>
        <v>0</v>
      </c>
      <c r="P1133" s="5" t="str">
        <f t="shared" si="106"/>
        <v>No engagement</v>
      </c>
      <c r="Q1133" t="b">
        <v>0</v>
      </c>
      <c r="R1133" t="b">
        <v>0</v>
      </c>
      <c r="S1133" t="b">
        <v>0</v>
      </c>
      <c r="T1133" s="24" t="str">
        <f t="shared" si="107"/>
        <v>Text only</v>
      </c>
    </row>
    <row r="1134" spans="1:20" hidden="1" x14ac:dyDescent="0.2">
      <c r="A1134" t="s">
        <v>6109</v>
      </c>
      <c r="B1134" t="s">
        <v>2365</v>
      </c>
      <c r="C1134" t="s">
        <v>2366</v>
      </c>
      <c r="D1134" t="s">
        <v>6110</v>
      </c>
      <c r="E1134" t="s">
        <v>6111</v>
      </c>
      <c r="F1134" t="str">
        <f>IF(Table2[[#This Row],[Date posted]]&lt; DATE(2015,9,18),"Before Crisis","During Crisis")</f>
        <v>Before Crisis</v>
      </c>
      <c r="G1134" s="27">
        <f t="shared" si="102"/>
        <v>42208</v>
      </c>
      <c r="H1134" s="7" t="str">
        <f t="shared" si="103"/>
        <v>12:09:27</v>
      </c>
      <c r="I1134" s="8" t="str">
        <f t="shared" si="104"/>
        <v>Mid-day</v>
      </c>
      <c r="J1134" t="s">
        <v>6112</v>
      </c>
      <c r="K1134" t="s">
        <v>2370</v>
      </c>
      <c r="L1134" s="3">
        <v>0</v>
      </c>
      <c r="M1134">
        <v>1</v>
      </c>
      <c r="N1134" s="3">
        <v>0</v>
      </c>
      <c r="O1134" s="4">
        <f t="shared" si="105"/>
        <v>1</v>
      </c>
      <c r="P1134" s="5" t="str">
        <f t="shared" si="106"/>
        <v>Low engagement</v>
      </c>
      <c r="Q1134" t="b">
        <v>0</v>
      </c>
      <c r="R1134" t="b">
        <v>0</v>
      </c>
      <c r="S1134" t="b">
        <v>0</v>
      </c>
      <c r="T1134" s="24" t="str">
        <f t="shared" si="107"/>
        <v>Text only</v>
      </c>
    </row>
    <row r="1135" spans="1:20" hidden="1" x14ac:dyDescent="0.2">
      <c r="A1135" t="s">
        <v>6106</v>
      </c>
      <c r="B1135" t="s">
        <v>2365</v>
      </c>
      <c r="C1135" t="s">
        <v>2366</v>
      </c>
      <c r="D1135" t="s">
        <v>6107</v>
      </c>
      <c r="E1135" t="s">
        <v>6108</v>
      </c>
      <c r="F1135" t="str">
        <f>IF(Table2[[#This Row],[Date posted]]&lt; DATE(2015,9,18),"Before Crisis","During Crisis")</f>
        <v>Before Crisis</v>
      </c>
      <c r="G1135" s="27">
        <f t="shared" si="102"/>
        <v>42208</v>
      </c>
      <c r="H1135" s="7" t="str">
        <f t="shared" si="103"/>
        <v>12:30:43</v>
      </c>
      <c r="I1135" s="8" t="str">
        <f t="shared" si="104"/>
        <v>Mid-day</v>
      </c>
      <c r="J1135" t="s">
        <v>2370</v>
      </c>
      <c r="K1135" t="s">
        <v>2370</v>
      </c>
      <c r="L1135" s="3">
        <v>0</v>
      </c>
      <c r="M1135" s="3">
        <v>0</v>
      </c>
      <c r="N1135" s="3">
        <v>0</v>
      </c>
      <c r="O1135" s="4">
        <f t="shared" si="105"/>
        <v>0</v>
      </c>
      <c r="P1135" s="5" t="str">
        <f t="shared" si="106"/>
        <v>No engagement</v>
      </c>
      <c r="Q1135" t="b">
        <v>0</v>
      </c>
      <c r="R1135" t="b">
        <v>0</v>
      </c>
      <c r="S1135" t="b">
        <v>0</v>
      </c>
      <c r="T1135" s="24" t="str">
        <f t="shared" si="107"/>
        <v>Text only</v>
      </c>
    </row>
    <row r="1136" spans="1:20" hidden="1" x14ac:dyDescent="0.2">
      <c r="A1136" t="s">
        <v>6100</v>
      </c>
      <c r="B1136" t="s">
        <v>2365</v>
      </c>
      <c r="C1136" t="s">
        <v>2366</v>
      </c>
      <c r="D1136" t="s">
        <v>6101</v>
      </c>
      <c r="E1136" t="s">
        <v>6102</v>
      </c>
      <c r="F1136" t="str">
        <f>IF(Table2[[#This Row],[Date posted]]&lt; DATE(2015,9,18),"Before Crisis","During Crisis")</f>
        <v>Before Crisis</v>
      </c>
      <c r="G1136" s="27">
        <f t="shared" si="102"/>
        <v>42208</v>
      </c>
      <c r="H1136" s="7" t="str">
        <f t="shared" si="103"/>
        <v>16:14:57</v>
      </c>
      <c r="I1136" s="8" t="str">
        <f t="shared" si="104"/>
        <v>Afternoon</v>
      </c>
      <c r="J1136" t="s">
        <v>2370</v>
      </c>
      <c r="K1136" t="s">
        <v>2370</v>
      </c>
      <c r="L1136" s="3">
        <v>0</v>
      </c>
      <c r="M1136" s="3">
        <v>0</v>
      </c>
      <c r="N1136" s="3">
        <v>0</v>
      </c>
      <c r="O1136" s="4">
        <f t="shared" si="105"/>
        <v>0</v>
      </c>
      <c r="P1136" s="5" t="str">
        <f t="shared" si="106"/>
        <v>No engagement</v>
      </c>
      <c r="Q1136" t="b">
        <v>0</v>
      </c>
      <c r="R1136" t="b">
        <v>0</v>
      </c>
      <c r="S1136" t="b">
        <v>0</v>
      </c>
      <c r="T1136" s="24" t="str">
        <f t="shared" si="107"/>
        <v>Text only</v>
      </c>
    </row>
    <row r="1137" spans="1:20" hidden="1" x14ac:dyDescent="0.2">
      <c r="A1137" t="s">
        <v>6096</v>
      </c>
      <c r="B1137" t="s">
        <v>2365</v>
      </c>
      <c r="C1137" t="s">
        <v>2366</v>
      </c>
      <c r="D1137" t="s">
        <v>6097</v>
      </c>
      <c r="E1137" t="s">
        <v>6098</v>
      </c>
      <c r="F1137" t="str">
        <f>IF(Table2[[#This Row],[Date posted]]&lt; DATE(2015,9,18),"Before Crisis","During Crisis")</f>
        <v>Before Crisis</v>
      </c>
      <c r="G1137" s="27">
        <f t="shared" si="102"/>
        <v>42208</v>
      </c>
      <c r="H1137" s="7" t="str">
        <f t="shared" si="103"/>
        <v>16:18:32</v>
      </c>
      <c r="I1137" s="8" t="str">
        <f t="shared" si="104"/>
        <v>Afternoon</v>
      </c>
      <c r="J1137" t="s">
        <v>6099</v>
      </c>
      <c r="K1137" t="s">
        <v>2370</v>
      </c>
      <c r="L1137" s="3">
        <v>0</v>
      </c>
      <c r="M1137" s="3">
        <v>0</v>
      </c>
      <c r="N1137" s="3">
        <v>0</v>
      </c>
      <c r="O1137" s="4">
        <f t="shared" si="105"/>
        <v>0</v>
      </c>
      <c r="P1137" s="5" t="str">
        <f t="shared" si="106"/>
        <v>No engagement</v>
      </c>
      <c r="Q1137" t="b">
        <v>0</v>
      </c>
      <c r="R1137" t="b">
        <v>0</v>
      </c>
      <c r="S1137" t="b">
        <v>0</v>
      </c>
      <c r="T1137" s="24" t="str">
        <f t="shared" si="107"/>
        <v>Text only</v>
      </c>
    </row>
    <row r="1138" spans="1:20" hidden="1" x14ac:dyDescent="0.2">
      <c r="A1138" t="s">
        <v>6093</v>
      </c>
      <c r="B1138" t="s">
        <v>2365</v>
      </c>
      <c r="C1138" t="s">
        <v>2366</v>
      </c>
      <c r="D1138" t="s">
        <v>6094</v>
      </c>
      <c r="E1138" t="s">
        <v>6095</v>
      </c>
      <c r="F1138" t="str">
        <f>IF(Table2[[#This Row],[Date posted]]&lt; DATE(2015,9,18),"Before Crisis","During Crisis")</f>
        <v>Before Crisis</v>
      </c>
      <c r="G1138" s="27">
        <f t="shared" si="102"/>
        <v>42208</v>
      </c>
      <c r="H1138" s="7" t="str">
        <f t="shared" si="103"/>
        <v>17:35:24</v>
      </c>
      <c r="I1138" s="8" t="str">
        <f t="shared" si="104"/>
        <v>Afternoon</v>
      </c>
      <c r="J1138" t="s">
        <v>5818</v>
      </c>
      <c r="K1138" t="s">
        <v>2370</v>
      </c>
      <c r="L1138" s="3">
        <v>0</v>
      </c>
      <c r="M1138" s="3">
        <v>0</v>
      </c>
      <c r="N1138" s="3">
        <v>0</v>
      </c>
      <c r="O1138" s="4">
        <f t="shared" si="105"/>
        <v>0</v>
      </c>
      <c r="P1138" s="5" t="str">
        <f t="shared" si="106"/>
        <v>No engagement</v>
      </c>
      <c r="Q1138" t="b">
        <v>0</v>
      </c>
      <c r="R1138" t="b">
        <v>0</v>
      </c>
      <c r="S1138" t="b">
        <v>0</v>
      </c>
      <c r="T1138" s="24" t="str">
        <f t="shared" si="107"/>
        <v>Text only</v>
      </c>
    </row>
    <row r="1139" spans="1:20" hidden="1" x14ac:dyDescent="0.2">
      <c r="A1139" t="s">
        <v>6074</v>
      </c>
      <c r="B1139" t="s">
        <v>2365</v>
      </c>
      <c r="C1139" t="s">
        <v>2366</v>
      </c>
      <c r="D1139" t="s">
        <v>6075</v>
      </c>
      <c r="E1139" t="s">
        <v>6076</v>
      </c>
      <c r="F1139" t="str">
        <f>IF(Table2[[#This Row],[Date posted]]&lt; DATE(2015,9,18),"Before Crisis","During Crisis")</f>
        <v>Before Crisis</v>
      </c>
      <c r="G1139" s="27">
        <f t="shared" si="102"/>
        <v>42209</v>
      </c>
      <c r="H1139" s="7" t="str">
        <f t="shared" si="103"/>
        <v>16:35:26</v>
      </c>
      <c r="I1139" s="8" t="str">
        <f t="shared" si="104"/>
        <v>Afternoon</v>
      </c>
      <c r="J1139" t="s">
        <v>6077</v>
      </c>
      <c r="K1139" t="s">
        <v>2370</v>
      </c>
      <c r="L1139" s="3">
        <v>0</v>
      </c>
      <c r="M1139" s="3">
        <v>0</v>
      </c>
      <c r="N1139" s="3">
        <v>0</v>
      </c>
      <c r="O1139" s="4">
        <f t="shared" si="105"/>
        <v>0</v>
      </c>
      <c r="P1139" s="5" t="str">
        <f t="shared" si="106"/>
        <v>No engagement</v>
      </c>
      <c r="Q1139" t="b">
        <v>0</v>
      </c>
      <c r="R1139" t="b">
        <v>0</v>
      </c>
      <c r="S1139" t="b">
        <v>0</v>
      </c>
      <c r="T1139" s="24" t="str">
        <f t="shared" si="107"/>
        <v>Text only</v>
      </c>
    </row>
    <row r="1140" spans="1:20" hidden="1" x14ac:dyDescent="0.2">
      <c r="A1140" t="s">
        <v>6070</v>
      </c>
      <c r="B1140" t="s">
        <v>2365</v>
      </c>
      <c r="C1140" t="s">
        <v>2366</v>
      </c>
      <c r="D1140" t="s">
        <v>6071</v>
      </c>
      <c r="E1140" t="s">
        <v>6072</v>
      </c>
      <c r="F1140" t="str">
        <f>IF(Table2[[#This Row],[Date posted]]&lt; DATE(2015,9,18),"Before Crisis","During Crisis")</f>
        <v>Before Crisis</v>
      </c>
      <c r="G1140" s="27">
        <f t="shared" si="102"/>
        <v>42209</v>
      </c>
      <c r="H1140" s="7" t="str">
        <f t="shared" si="103"/>
        <v>16:39:05</v>
      </c>
      <c r="I1140" s="8" t="str">
        <f t="shared" si="104"/>
        <v>Afternoon</v>
      </c>
      <c r="J1140" t="s">
        <v>6073</v>
      </c>
      <c r="K1140" t="s">
        <v>2370</v>
      </c>
      <c r="L1140" s="3">
        <v>0</v>
      </c>
      <c r="M1140" s="3">
        <v>0</v>
      </c>
      <c r="N1140" s="3">
        <v>0</v>
      </c>
      <c r="O1140" s="4">
        <f t="shared" si="105"/>
        <v>0</v>
      </c>
      <c r="P1140" s="5" t="str">
        <f t="shared" si="106"/>
        <v>No engagement</v>
      </c>
      <c r="Q1140" t="b">
        <v>0</v>
      </c>
      <c r="R1140" t="b">
        <v>0</v>
      </c>
      <c r="S1140" t="b">
        <v>0</v>
      </c>
      <c r="T1140" s="24" t="str">
        <f t="shared" si="107"/>
        <v>Text only</v>
      </c>
    </row>
    <row r="1141" spans="1:20" hidden="1" x14ac:dyDescent="0.2">
      <c r="A1141" t="s">
        <v>6066</v>
      </c>
      <c r="B1141" t="s">
        <v>2365</v>
      </c>
      <c r="C1141" t="s">
        <v>2366</v>
      </c>
      <c r="D1141" t="s">
        <v>6067</v>
      </c>
      <c r="E1141" t="s">
        <v>6068</v>
      </c>
      <c r="F1141" t="str">
        <f>IF(Table2[[#This Row],[Date posted]]&lt; DATE(2015,9,18),"Before Crisis","During Crisis")</f>
        <v>Before Crisis</v>
      </c>
      <c r="G1141" s="27">
        <f t="shared" si="102"/>
        <v>42209</v>
      </c>
      <c r="H1141" s="7" t="str">
        <f t="shared" si="103"/>
        <v>16:42:37</v>
      </c>
      <c r="I1141" s="8" t="str">
        <f t="shared" si="104"/>
        <v>Afternoon</v>
      </c>
      <c r="J1141" t="s">
        <v>6069</v>
      </c>
      <c r="K1141" t="s">
        <v>2370</v>
      </c>
      <c r="L1141" s="3">
        <v>0</v>
      </c>
      <c r="M1141">
        <v>1</v>
      </c>
      <c r="N1141" s="3">
        <v>0</v>
      </c>
      <c r="O1141" s="4">
        <f t="shared" si="105"/>
        <v>1</v>
      </c>
      <c r="P1141" s="5" t="str">
        <f t="shared" si="106"/>
        <v>Low engagement</v>
      </c>
      <c r="Q1141" t="b">
        <v>0</v>
      </c>
      <c r="R1141" t="b">
        <v>0</v>
      </c>
      <c r="S1141" t="b">
        <v>0</v>
      </c>
      <c r="T1141" s="24" t="str">
        <f t="shared" si="107"/>
        <v>Text only</v>
      </c>
    </row>
    <row r="1142" spans="1:20" hidden="1" x14ac:dyDescent="0.2">
      <c r="A1142" t="s">
        <v>6063</v>
      </c>
      <c r="B1142" t="s">
        <v>2365</v>
      </c>
      <c r="C1142" t="s">
        <v>2366</v>
      </c>
      <c r="D1142" t="s">
        <v>6064</v>
      </c>
      <c r="E1142" t="s">
        <v>6065</v>
      </c>
      <c r="F1142" t="str">
        <f>IF(Table2[[#This Row],[Date posted]]&lt; DATE(2015,9,18),"Before Crisis","During Crisis")</f>
        <v>Before Crisis</v>
      </c>
      <c r="G1142" s="27">
        <f t="shared" si="102"/>
        <v>42209</v>
      </c>
      <c r="H1142" s="7" t="str">
        <f t="shared" si="103"/>
        <v>16:53:18</v>
      </c>
      <c r="I1142" s="8" t="str">
        <f t="shared" si="104"/>
        <v>Afternoon</v>
      </c>
      <c r="J1142" t="s">
        <v>2370</v>
      </c>
      <c r="K1142" t="s">
        <v>2370</v>
      </c>
      <c r="L1142" s="3">
        <v>0</v>
      </c>
      <c r="M1142" s="3">
        <v>0</v>
      </c>
      <c r="N1142" s="3">
        <v>0</v>
      </c>
      <c r="O1142" s="4">
        <f t="shared" si="105"/>
        <v>0</v>
      </c>
      <c r="P1142" s="5" t="str">
        <f t="shared" si="106"/>
        <v>No engagement</v>
      </c>
      <c r="Q1142" t="b">
        <v>0</v>
      </c>
      <c r="R1142" t="b">
        <v>0</v>
      </c>
      <c r="S1142" t="b">
        <v>0</v>
      </c>
      <c r="T1142" s="24" t="str">
        <f t="shared" si="107"/>
        <v>Text only</v>
      </c>
    </row>
    <row r="1143" spans="1:20" hidden="1" x14ac:dyDescent="0.2">
      <c r="A1143" t="s">
        <v>6042</v>
      </c>
      <c r="B1143" t="s">
        <v>2365</v>
      </c>
      <c r="C1143" t="s">
        <v>2366</v>
      </c>
      <c r="D1143" t="s">
        <v>6043</v>
      </c>
      <c r="E1143" t="s">
        <v>6044</v>
      </c>
      <c r="F1143" t="str">
        <f>IF(Table2[[#This Row],[Date posted]]&lt; DATE(2015,9,18),"Before Crisis","During Crisis")</f>
        <v>Before Crisis</v>
      </c>
      <c r="G1143" s="27">
        <f t="shared" si="102"/>
        <v>42210</v>
      </c>
      <c r="H1143" s="7" t="str">
        <f t="shared" si="103"/>
        <v>14:38:44</v>
      </c>
      <c r="I1143" s="8" t="str">
        <f t="shared" si="104"/>
        <v>Afternoon</v>
      </c>
      <c r="J1143" t="s">
        <v>6045</v>
      </c>
      <c r="K1143" t="s">
        <v>2370</v>
      </c>
      <c r="L1143" s="3">
        <v>0</v>
      </c>
      <c r="M1143" s="3">
        <v>0</v>
      </c>
      <c r="N1143" s="3">
        <v>0</v>
      </c>
      <c r="O1143" s="4">
        <f t="shared" si="105"/>
        <v>0</v>
      </c>
      <c r="P1143" s="5" t="str">
        <f t="shared" si="106"/>
        <v>No engagement</v>
      </c>
      <c r="Q1143" t="b">
        <v>0</v>
      </c>
      <c r="R1143" t="b">
        <v>0</v>
      </c>
      <c r="S1143" t="b">
        <v>0</v>
      </c>
      <c r="T1143" s="24" t="str">
        <f t="shared" si="107"/>
        <v>Text only</v>
      </c>
    </row>
    <row r="1144" spans="1:20" hidden="1" x14ac:dyDescent="0.2">
      <c r="A1144" t="s">
        <v>6039</v>
      </c>
      <c r="B1144" t="s">
        <v>2365</v>
      </c>
      <c r="C1144" t="s">
        <v>2366</v>
      </c>
      <c r="D1144" t="s">
        <v>6040</v>
      </c>
      <c r="E1144" t="s">
        <v>6038</v>
      </c>
      <c r="F1144" t="str">
        <f>IF(Table2[[#This Row],[Date posted]]&lt; DATE(2015,9,18),"Before Crisis","During Crisis")</f>
        <v>Before Crisis</v>
      </c>
      <c r="G1144" s="27">
        <f t="shared" si="102"/>
        <v>42210</v>
      </c>
      <c r="H1144" s="7" t="str">
        <f t="shared" si="103"/>
        <v>14:45:44</v>
      </c>
      <c r="I1144" s="8" t="str">
        <f t="shared" si="104"/>
        <v>Afternoon</v>
      </c>
      <c r="J1144" t="s">
        <v>6041</v>
      </c>
      <c r="K1144" t="s">
        <v>2370</v>
      </c>
      <c r="L1144">
        <v>1</v>
      </c>
      <c r="M1144">
        <v>1</v>
      </c>
      <c r="N1144" s="3">
        <v>0</v>
      </c>
      <c r="O1144" s="4">
        <f t="shared" si="105"/>
        <v>2</v>
      </c>
      <c r="P1144" s="5" t="str">
        <f t="shared" si="106"/>
        <v>Low engagement</v>
      </c>
      <c r="Q1144" t="b">
        <v>0</v>
      </c>
      <c r="R1144" t="b">
        <v>0</v>
      </c>
      <c r="S1144" t="b">
        <v>0</v>
      </c>
      <c r="T1144" s="24" t="str">
        <f t="shared" si="107"/>
        <v>Text only</v>
      </c>
    </row>
    <row r="1145" spans="1:20" hidden="1" x14ac:dyDescent="0.2">
      <c r="A1145" t="s">
        <v>6032</v>
      </c>
      <c r="B1145" t="s">
        <v>2365</v>
      </c>
      <c r="C1145" t="s">
        <v>2366</v>
      </c>
      <c r="D1145" t="s">
        <v>6033</v>
      </c>
      <c r="E1145" t="s">
        <v>6034</v>
      </c>
      <c r="F1145" t="str">
        <f>IF(Table2[[#This Row],[Date posted]]&lt; DATE(2015,9,18),"Before Crisis","During Crisis")</f>
        <v>Before Crisis</v>
      </c>
      <c r="G1145" s="27">
        <f t="shared" si="102"/>
        <v>42210</v>
      </c>
      <c r="H1145" s="7" t="str">
        <f t="shared" si="103"/>
        <v>14:59:45</v>
      </c>
      <c r="I1145" s="8" t="str">
        <f t="shared" si="104"/>
        <v>Afternoon</v>
      </c>
      <c r="J1145" t="s">
        <v>6035</v>
      </c>
      <c r="K1145" t="s">
        <v>2370</v>
      </c>
      <c r="L1145" s="3">
        <v>0</v>
      </c>
      <c r="M1145" s="3">
        <v>0</v>
      </c>
      <c r="N1145" s="3">
        <v>0</v>
      </c>
      <c r="O1145" s="4">
        <f t="shared" si="105"/>
        <v>0</v>
      </c>
      <c r="P1145" s="5" t="str">
        <f t="shared" si="106"/>
        <v>No engagement</v>
      </c>
      <c r="Q1145" t="b">
        <v>0</v>
      </c>
      <c r="R1145" t="b">
        <v>0</v>
      </c>
      <c r="S1145" t="b">
        <v>1</v>
      </c>
      <c r="T1145" s="24" t="str">
        <f t="shared" si="107"/>
        <v>Link</v>
      </c>
    </row>
    <row r="1146" spans="1:20" hidden="1" x14ac:dyDescent="0.2">
      <c r="A1146" t="s">
        <v>5965</v>
      </c>
      <c r="B1146" t="s">
        <v>2365</v>
      </c>
      <c r="C1146" t="s">
        <v>2366</v>
      </c>
      <c r="D1146" t="s">
        <v>5966</v>
      </c>
      <c r="E1146" t="s">
        <v>5967</v>
      </c>
      <c r="F1146" t="str">
        <f>IF(Table2[[#This Row],[Date posted]]&lt; DATE(2015,9,18),"Before Crisis","During Crisis")</f>
        <v>Before Crisis</v>
      </c>
      <c r="G1146" s="27">
        <f t="shared" si="102"/>
        <v>42213</v>
      </c>
      <c r="H1146" s="7" t="str">
        <f t="shared" si="103"/>
        <v>12:08:15</v>
      </c>
      <c r="I1146" s="8" t="str">
        <f t="shared" si="104"/>
        <v>Mid-day</v>
      </c>
      <c r="J1146" t="s">
        <v>5968</v>
      </c>
      <c r="K1146" t="s">
        <v>2370</v>
      </c>
      <c r="L1146" s="3">
        <v>0</v>
      </c>
      <c r="M1146">
        <v>1</v>
      </c>
      <c r="N1146" s="3">
        <v>0</v>
      </c>
      <c r="O1146" s="4">
        <f t="shared" si="105"/>
        <v>1</v>
      </c>
      <c r="P1146" s="5" t="str">
        <f t="shared" si="106"/>
        <v>Low engagement</v>
      </c>
      <c r="Q1146" t="b">
        <v>0</v>
      </c>
      <c r="R1146" t="b">
        <v>0</v>
      </c>
      <c r="S1146" t="b">
        <v>0</v>
      </c>
      <c r="T1146" s="24" t="str">
        <f t="shared" si="107"/>
        <v>Text only</v>
      </c>
    </row>
    <row r="1147" spans="1:20" hidden="1" x14ac:dyDescent="0.2">
      <c r="A1147" t="s">
        <v>5969</v>
      </c>
      <c r="B1147" t="s">
        <v>2365</v>
      </c>
      <c r="C1147" t="s">
        <v>2366</v>
      </c>
      <c r="D1147" t="s">
        <v>5970</v>
      </c>
      <c r="E1147" t="s">
        <v>5967</v>
      </c>
      <c r="F1147" t="str">
        <f>IF(Table2[[#This Row],[Date posted]]&lt; DATE(2015,9,18),"Before Crisis","During Crisis")</f>
        <v>Before Crisis</v>
      </c>
      <c r="G1147" s="27">
        <f t="shared" si="102"/>
        <v>42213</v>
      </c>
      <c r="H1147" s="7" t="str">
        <f t="shared" si="103"/>
        <v>12:08:15</v>
      </c>
      <c r="I1147" s="8" t="str">
        <f t="shared" si="104"/>
        <v>Mid-day</v>
      </c>
      <c r="J1147" t="s">
        <v>5721</v>
      </c>
      <c r="K1147" t="s">
        <v>2370</v>
      </c>
      <c r="L1147" s="3">
        <v>0</v>
      </c>
      <c r="M1147" s="3">
        <v>0</v>
      </c>
      <c r="N1147" s="3">
        <v>0</v>
      </c>
      <c r="O1147" s="4">
        <f t="shared" si="105"/>
        <v>0</v>
      </c>
      <c r="P1147" s="5" t="str">
        <f t="shared" si="106"/>
        <v>No engagement</v>
      </c>
      <c r="Q1147" t="b">
        <v>0</v>
      </c>
      <c r="R1147" t="b">
        <v>0</v>
      </c>
      <c r="S1147" t="b">
        <v>0</v>
      </c>
      <c r="T1147" s="24" t="str">
        <f t="shared" si="107"/>
        <v>Text only</v>
      </c>
    </row>
    <row r="1148" spans="1:20" hidden="1" x14ac:dyDescent="0.2">
      <c r="A1148" t="s">
        <v>5961</v>
      </c>
      <c r="B1148" t="s">
        <v>2365</v>
      </c>
      <c r="C1148" t="s">
        <v>2366</v>
      </c>
      <c r="D1148" t="s">
        <v>5962</v>
      </c>
      <c r="E1148" t="s">
        <v>5963</v>
      </c>
      <c r="F1148" t="str">
        <f>IF(Table2[[#This Row],[Date posted]]&lt; DATE(2015,9,18),"Before Crisis","During Crisis")</f>
        <v>Before Crisis</v>
      </c>
      <c r="G1148" s="27">
        <f t="shared" si="102"/>
        <v>42213</v>
      </c>
      <c r="H1148" s="7" t="str">
        <f t="shared" si="103"/>
        <v>12:08:16</v>
      </c>
      <c r="I1148" s="8" t="str">
        <f t="shared" si="104"/>
        <v>Mid-day</v>
      </c>
      <c r="J1148" t="s">
        <v>5964</v>
      </c>
      <c r="K1148" t="s">
        <v>2370</v>
      </c>
      <c r="L1148" s="3">
        <v>0</v>
      </c>
      <c r="M1148" s="3">
        <v>0</v>
      </c>
      <c r="N1148" s="3">
        <v>0</v>
      </c>
      <c r="O1148" s="4">
        <f t="shared" si="105"/>
        <v>0</v>
      </c>
      <c r="P1148" s="5" t="str">
        <f t="shared" si="106"/>
        <v>No engagement</v>
      </c>
      <c r="Q1148" t="b">
        <v>0</v>
      </c>
      <c r="R1148" t="b">
        <v>0</v>
      </c>
      <c r="S1148" t="b">
        <v>0</v>
      </c>
      <c r="T1148" s="24" t="str">
        <f t="shared" si="107"/>
        <v>Text only</v>
      </c>
    </row>
    <row r="1149" spans="1:20" hidden="1" x14ac:dyDescent="0.2">
      <c r="A1149" t="s">
        <v>5954</v>
      </c>
      <c r="B1149" t="s">
        <v>2365</v>
      </c>
      <c r="C1149" t="s">
        <v>2366</v>
      </c>
      <c r="D1149" t="s">
        <v>5955</v>
      </c>
      <c r="E1149" t="s">
        <v>5956</v>
      </c>
      <c r="F1149" t="str">
        <f>IF(Table2[[#This Row],[Date posted]]&lt; DATE(2015,9,18),"Before Crisis","During Crisis")</f>
        <v>Before Crisis</v>
      </c>
      <c r="G1149" s="27">
        <f t="shared" si="102"/>
        <v>42213</v>
      </c>
      <c r="H1149" s="7" t="str">
        <f t="shared" si="103"/>
        <v>12:26:19</v>
      </c>
      <c r="I1149" s="8" t="str">
        <f t="shared" si="104"/>
        <v>Mid-day</v>
      </c>
      <c r="J1149" t="s">
        <v>5957</v>
      </c>
      <c r="K1149" t="s">
        <v>2370</v>
      </c>
      <c r="L1149" s="3">
        <v>0</v>
      </c>
      <c r="M1149" s="3">
        <v>0</v>
      </c>
      <c r="N1149" s="3">
        <v>0</v>
      </c>
      <c r="O1149" s="4">
        <f t="shared" si="105"/>
        <v>0</v>
      </c>
      <c r="P1149" s="5" t="str">
        <f t="shared" si="106"/>
        <v>No engagement</v>
      </c>
      <c r="Q1149" t="b">
        <v>0</v>
      </c>
      <c r="R1149" t="b">
        <v>0</v>
      </c>
      <c r="S1149" t="b">
        <v>0</v>
      </c>
      <c r="T1149" s="24" t="str">
        <f t="shared" si="107"/>
        <v>Text only</v>
      </c>
    </row>
    <row r="1150" spans="1:20" hidden="1" x14ac:dyDescent="0.2">
      <c r="A1150" t="s">
        <v>5958</v>
      </c>
      <c r="B1150" t="s">
        <v>2365</v>
      </c>
      <c r="C1150" t="s">
        <v>2366</v>
      </c>
      <c r="D1150" t="s">
        <v>5959</v>
      </c>
      <c r="E1150" t="s">
        <v>5956</v>
      </c>
      <c r="F1150" t="str">
        <f>IF(Table2[[#This Row],[Date posted]]&lt; DATE(2015,9,18),"Before Crisis","During Crisis")</f>
        <v>Before Crisis</v>
      </c>
      <c r="G1150" s="27">
        <f t="shared" si="102"/>
        <v>42213</v>
      </c>
      <c r="H1150" s="7" t="str">
        <f t="shared" si="103"/>
        <v>12:26:19</v>
      </c>
      <c r="I1150" s="8" t="str">
        <f t="shared" si="104"/>
        <v>Mid-day</v>
      </c>
      <c r="J1150" t="s">
        <v>5960</v>
      </c>
      <c r="K1150" t="s">
        <v>2370</v>
      </c>
      <c r="L1150" s="3">
        <v>0</v>
      </c>
      <c r="M1150" s="3">
        <v>0</v>
      </c>
      <c r="N1150" s="3">
        <v>0</v>
      </c>
      <c r="O1150" s="4">
        <f t="shared" si="105"/>
        <v>0</v>
      </c>
      <c r="P1150" s="5" t="str">
        <f t="shared" si="106"/>
        <v>No engagement</v>
      </c>
      <c r="Q1150" t="b">
        <v>0</v>
      </c>
      <c r="R1150" t="b">
        <v>0</v>
      </c>
      <c r="S1150" t="b">
        <v>0</v>
      </c>
      <c r="T1150" s="24" t="str">
        <f t="shared" si="107"/>
        <v>Text only</v>
      </c>
    </row>
    <row r="1151" spans="1:20" hidden="1" x14ac:dyDescent="0.2">
      <c r="A1151" t="s">
        <v>5951</v>
      </c>
      <c r="B1151" t="s">
        <v>2365</v>
      </c>
      <c r="C1151" t="s">
        <v>2366</v>
      </c>
      <c r="D1151" t="s">
        <v>5952</v>
      </c>
      <c r="E1151" t="s">
        <v>5953</v>
      </c>
      <c r="F1151" t="str">
        <f>IF(Table2[[#This Row],[Date posted]]&lt; DATE(2015,9,18),"Before Crisis","During Crisis")</f>
        <v>Before Crisis</v>
      </c>
      <c r="G1151" s="27">
        <f t="shared" si="102"/>
        <v>42213</v>
      </c>
      <c r="H1151" s="7" t="str">
        <f t="shared" si="103"/>
        <v>12:30:25</v>
      </c>
      <c r="I1151" s="8" t="str">
        <f t="shared" si="104"/>
        <v>Mid-day</v>
      </c>
      <c r="J1151" t="s">
        <v>2370</v>
      </c>
      <c r="K1151" t="s">
        <v>2370</v>
      </c>
      <c r="L1151" s="3">
        <v>0</v>
      </c>
      <c r="M1151" s="3">
        <v>0</v>
      </c>
      <c r="N1151" s="3">
        <v>0</v>
      </c>
      <c r="O1151" s="4">
        <f t="shared" si="105"/>
        <v>0</v>
      </c>
      <c r="P1151" s="5" t="str">
        <f t="shared" si="106"/>
        <v>No engagement</v>
      </c>
      <c r="Q1151" t="b">
        <v>0</v>
      </c>
      <c r="R1151" t="b">
        <v>0</v>
      </c>
      <c r="S1151" t="b">
        <v>0</v>
      </c>
      <c r="T1151" s="24" t="str">
        <f t="shared" si="107"/>
        <v>Text only</v>
      </c>
    </row>
    <row r="1152" spans="1:20" hidden="1" x14ac:dyDescent="0.2">
      <c r="A1152" t="s">
        <v>5947</v>
      </c>
      <c r="B1152" t="s">
        <v>2365</v>
      </c>
      <c r="C1152" t="s">
        <v>2366</v>
      </c>
      <c r="D1152" t="s">
        <v>5948</v>
      </c>
      <c r="E1152" t="s">
        <v>5949</v>
      </c>
      <c r="F1152" t="str">
        <f>IF(Table2[[#This Row],[Date posted]]&lt; DATE(2015,9,18),"Before Crisis","During Crisis")</f>
        <v>Before Crisis</v>
      </c>
      <c r="G1152" s="27">
        <f t="shared" si="102"/>
        <v>42213</v>
      </c>
      <c r="H1152" s="7" t="str">
        <f t="shared" si="103"/>
        <v>12:30:26</v>
      </c>
      <c r="I1152" s="8" t="str">
        <f t="shared" si="104"/>
        <v>Mid-day</v>
      </c>
      <c r="J1152" t="s">
        <v>5950</v>
      </c>
      <c r="K1152" t="s">
        <v>2370</v>
      </c>
      <c r="L1152" s="3">
        <v>0</v>
      </c>
      <c r="M1152" s="3">
        <v>0</v>
      </c>
      <c r="N1152" s="3">
        <v>0</v>
      </c>
      <c r="O1152" s="4">
        <f t="shared" si="105"/>
        <v>0</v>
      </c>
      <c r="P1152" s="5" t="str">
        <f t="shared" si="106"/>
        <v>No engagement</v>
      </c>
      <c r="Q1152" t="b">
        <v>0</v>
      </c>
      <c r="R1152" t="b">
        <v>0</v>
      </c>
      <c r="S1152" t="b">
        <v>0</v>
      </c>
      <c r="T1152" s="24" t="str">
        <f t="shared" si="107"/>
        <v>Text only</v>
      </c>
    </row>
    <row r="1153" spans="1:20" hidden="1" x14ac:dyDescent="0.2">
      <c r="A1153" t="s">
        <v>5901</v>
      </c>
      <c r="B1153" t="s">
        <v>2365</v>
      </c>
      <c r="C1153" t="s">
        <v>2366</v>
      </c>
      <c r="D1153" t="s">
        <v>5902</v>
      </c>
      <c r="E1153" t="s">
        <v>5903</v>
      </c>
      <c r="F1153" t="str">
        <f>IF(Table2[[#This Row],[Date posted]]&lt; DATE(2015,9,18),"Before Crisis","During Crisis")</f>
        <v>Before Crisis</v>
      </c>
      <c r="G1153" s="27">
        <f t="shared" si="102"/>
        <v>42214</v>
      </c>
      <c r="H1153" s="7" t="str">
        <f t="shared" si="103"/>
        <v>19:31:27</v>
      </c>
      <c r="I1153" s="8" t="str">
        <f t="shared" si="104"/>
        <v>Evening</v>
      </c>
      <c r="J1153" t="s">
        <v>2370</v>
      </c>
      <c r="K1153" t="s">
        <v>2370</v>
      </c>
      <c r="L1153" s="3">
        <v>0</v>
      </c>
      <c r="M1153" s="3">
        <v>0</v>
      </c>
      <c r="N1153" s="3">
        <v>0</v>
      </c>
      <c r="O1153" s="4">
        <f t="shared" si="105"/>
        <v>0</v>
      </c>
      <c r="P1153" s="5" t="str">
        <f t="shared" si="106"/>
        <v>No engagement</v>
      </c>
      <c r="Q1153" t="b">
        <v>0</v>
      </c>
      <c r="R1153" t="b">
        <v>0</v>
      </c>
      <c r="S1153" t="b">
        <v>0</v>
      </c>
      <c r="T1153" s="24" t="str">
        <f t="shared" si="107"/>
        <v>Text only</v>
      </c>
    </row>
    <row r="1154" spans="1:20" hidden="1" x14ac:dyDescent="0.2">
      <c r="A1154" t="s">
        <v>5898</v>
      </c>
      <c r="B1154" t="s">
        <v>2365</v>
      </c>
      <c r="C1154" t="s">
        <v>2366</v>
      </c>
      <c r="D1154" t="s">
        <v>5899</v>
      </c>
      <c r="E1154" t="s">
        <v>5900</v>
      </c>
      <c r="F1154" t="str">
        <f>IF(Table2[[#This Row],[Date posted]]&lt; DATE(2015,9,18),"Before Crisis","During Crisis")</f>
        <v>Before Crisis</v>
      </c>
      <c r="G1154" s="27">
        <f t="shared" ref="G1154:G1217" si="108">DATEVALUE(LEFT(E1154,10))</f>
        <v>42214</v>
      </c>
      <c r="H1154" s="7" t="str">
        <f t="shared" ref="H1154:H1217" si="109">MID(E1154,12,8)</f>
        <v>19:49:37</v>
      </c>
      <c r="I1154" s="8" t="str">
        <f t="shared" ref="I1154:I1217" si="110">IF(HOUR(H1154)&lt;7,"Early morning",
IF(HOUR(H1154)&lt;11,"Morning",
IF(HOUR(H1154)&lt;14,"Mid-day",
IF(HOUR(H1154)&lt;18,"Afternoon","Evening"))))</f>
        <v>Evening</v>
      </c>
      <c r="J1154" t="s">
        <v>2370</v>
      </c>
      <c r="K1154" t="s">
        <v>2370</v>
      </c>
      <c r="L1154" s="3">
        <v>0</v>
      </c>
      <c r="M1154" s="3">
        <v>0</v>
      </c>
      <c r="N1154" s="3">
        <v>0</v>
      </c>
      <c r="O1154" s="4">
        <f t="shared" ref="O1154:O1217" si="111">L1154+M1154+N1154</f>
        <v>0</v>
      </c>
      <c r="P1154" s="5" t="str">
        <f t="shared" ref="P1154:P1217" si="112">IF(O1154&lt;1,"No engagement", IF(O1154&lt;5,"Low engagement", IF(O1154&lt;10,"Moderate engagement", "High engagement")))</f>
        <v>No engagement</v>
      </c>
      <c r="Q1154" t="b">
        <v>0</v>
      </c>
      <c r="R1154" t="b">
        <v>0</v>
      </c>
      <c r="S1154" t="b">
        <v>0</v>
      </c>
      <c r="T1154" s="24" t="str">
        <f t="shared" ref="T1154:T1217" si="113">IF(Q1154=TRUE,"Photo",
    IF(R1154=TRUE,"Video",
        IF(S1154=TRUE,"Link","Text only")))</f>
        <v>Text only</v>
      </c>
    </row>
    <row r="1155" spans="1:20" hidden="1" x14ac:dyDescent="0.2">
      <c r="A1155" t="s">
        <v>5876</v>
      </c>
      <c r="B1155" t="s">
        <v>2365</v>
      </c>
      <c r="C1155" t="s">
        <v>2366</v>
      </c>
      <c r="D1155" t="s">
        <v>5877</v>
      </c>
      <c r="E1155" t="s">
        <v>5878</v>
      </c>
      <c r="F1155" t="str">
        <f>IF(Table2[[#This Row],[Date posted]]&lt; DATE(2015,9,18),"Before Crisis","During Crisis")</f>
        <v>Before Crisis</v>
      </c>
      <c r="G1155" s="27">
        <f t="shared" si="108"/>
        <v>42216</v>
      </c>
      <c r="H1155" s="7" t="str">
        <f t="shared" si="109"/>
        <v>18:46:56</v>
      </c>
      <c r="I1155" s="8" t="str">
        <f t="shared" si="110"/>
        <v>Evening</v>
      </c>
      <c r="J1155" t="s">
        <v>2370</v>
      </c>
      <c r="K1155" t="s">
        <v>2370</v>
      </c>
      <c r="L1155" s="3">
        <v>0</v>
      </c>
      <c r="M1155" s="3">
        <v>0</v>
      </c>
      <c r="N1155" s="3">
        <v>0</v>
      </c>
      <c r="O1155" s="4">
        <f t="shared" si="111"/>
        <v>0</v>
      </c>
      <c r="P1155" s="5" t="str">
        <f t="shared" si="112"/>
        <v>No engagement</v>
      </c>
      <c r="Q1155" t="b">
        <v>0</v>
      </c>
      <c r="R1155" t="b">
        <v>0</v>
      </c>
      <c r="S1155" t="b">
        <v>0</v>
      </c>
      <c r="T1155" s="24" t="str">
        <f t="shared" si="113"/>
        <v>Text only</v>
      </c>
    </row>
    <row r="1156" spans="1:20" hidden="1" x14ac:dyDescent="0.2">
      <c r="A1156" t="s">
        <v>5819</v>
      </c>
      <c r="B1156" t="s">
        <v>2365</v>
      </c>
      <c r="C1156" t="s">
        <v>2366</v>
      </c>
      <c r="D1156" t="s">
        <v>5820</v>
      </c>
      <c r="E1156" t="s">
        <v>5821</v>
      </c>
      <c r="F1156" t="str">
        <f>IF(Table2[[#This Row],[Date posted]]&lt; DATE(2015,9,18),"Before Crisis","During Crisis")</f>
        <v>Before Crisis</v>
      </c>
      <c r="G1156" s="27">
        <f t="shared" si="108"/>
        <v>42219</v>
      </c>
      <c r="H1156" s="7" t="str">
        <f t="shared" si="109"/>
        <v>19:03:23</v>
      </c>
      <c r="I1156" s="8" t="str">
        <f t="shared" si="110"/>
        <v>Evening</v>
      </c>
      <c r="J1156" t="s">
        <v>5822</v>
      </c>
      <c r="K1156" t="s">
        <v>2370</v>
      </c>
      <c r="L1156" s="3">
        <v>0</v>
      </c>
      <c r="M1156" s="3">
        <v>0</v>
      </c>
      <c r="N1156" s="3">
        <v>0</v>
      </c>
      <c r="O1156" s="4">
        <f t="shared" si="111"/>
        <v>0</v>
      </c>
      <c r="P1156" s="5" t="str">
        <f t="shared" si="112"/>
        <v>No engagement</v>
      </c>
      <c r="Q1156" t="b">
        <v>0</v>
      </c>
      <c r="R1156" t="b">
        <v>0</v>
      </c>
      <c r="S1156" t="b">
        <v>1</v>
      </c>
      <c r="T1156" s="24" t="str">
        <f t="shared" si="113"/>
        <v>Link</v>
      </c>
    </row>
    <row r="1157" spans="1:20" hidden="1" x14ac:dyDescent="0.2">
      <c r="A1157" t="s">
        <v>5823</v>
      </c>
      <c r="B1157" t="s">
        <v>2365</v>
      </c>
      <c r="C1157" t="s">
        <v>2366</v>
      </c>
      <c r="D1157" t="s">
        <v>5824</v>
      </c>
      <c r="E1157" t="s">
        <v>5821</v>
      </c>
      <c r="F1157" t="str">
        <f>IF(Table2[[#This Row],[Date posted]]&lt; DATE(2015,9,18),"Before Crisis","During Crisis")</f>
        <v>Before Crisis</v>
      </c>
      <c r="G1157" s="27">
        <f t="shared" si="108"/>
        <v>42219</v>
      </c>
      <c r="H1157" s="7" t="str">
        <f t="shared" si="109"/>
        <v>19:03:23</v>
      </c>
      <c r="I1157" s="8" t="str">
        <f t="shared" si="110"/>
        <v>Evening</v>
      </c>
      <c r="J1157" t="s">
        <v>5822</v>
      </c>
      <c r="K1157" t="s">
        <v>2370</v>
      </c>
      <c r="L1157" s="3">
        <v>0</v>
      </c>
      <c r="M1157" s="3">
        <v>0</v>
      </c>
      <c r="N1157" s="3">
        <v>0</v>
      </c>
      <c r="O1157" s="4">
        <f t="shared" si="111"/>
        <v>0</v>
      </c>
      <c r="P1157" s="5" t="str">
        <f t="shared" si="112"/>
        <v>No engagement</v>
      </c>
      <c r="Q1157" t="b">
        <v>0</v>
      </c>
      <c r="R1157" t="b">
        <v>0</v>
      </c>
      <c r="S1157" t="b">
        <v>0</v>
      </c>
      <c r="T1157" s="24" t="str">
        <f t="shared" si="113"/>
        <v>Text only</v>
      </c>
    </row>
    <row r="1158" spans="1:20" hidden="1" x14ac:dyDescent="0.2">
      <c r="A1158" t="s">
        <v>5799</v>
      </c>
      <c r="B1158" t="s">
        <v>2365</v>
      </c>
      <c r="C1158" t="s">
        <v>2366</v>
      </c>
      <c r="D1158" t="s">
        <v>5800</v>
      </c>
      <c r="E1158" t="s">
        <v>5801</v>
      </c>
      <c r="F1158" t="str">
        <f>IF(Table2[[#This Row],[Date posted]]&lt; DATE(2015,9,18),"Before Crisis","During Crisis")</f>
        <v>Before Crisis</v>
      </c>
      <c r="G1158" s="27">
        <f t="shared" si="108"/>
        <v>42220</v>
      </c>
      <c r="H1158" s="7" t="str">
        <f t="shared" si="109"/>
        <v>18:50:36</v>
      </c>
      <c r="I1158" s="8" t="str">
        <f t="shared" si="110"/>
        <v>Evening</v>
      </c>
      <c r="J1158" t="s">
        <v>2370</v>
      </c>
      <c r="K1158" t="s">
        <v>2370</v>
      </c>
      <c r="L1158" s="3">
        <v>0</v>
      </c>
      <c r="M1158" s="3">
        <v>0</v>
      </c>
      <c r="N1158" s="3">
        <v>0</v>
      </c>
      <c r="O1158" s="4">
        <f t="shared" si="111"/>
        <v>0</v>
      </c>
      <c r="P1158" s="5" t="str">
        <f t="shared" si="112"/>
        <v>No engagement</v>
      </c>
      <c r="Q1158" t="b">
        <v>0</v>
      </c>
      <c r="R1158" t="b">
        <v>0</v>
      </c>
      <c r="S1158" t="b">
        <v>0</v>
      </c>
      <c r="T1158" s="24" t="str">
        <f t="shared" si="113"/>
        <v>Text only</v>
      </c>
    </row>
    <row r="1159" spans="1:20" hidden="1" x14ac:dyDescent="0.2">
      <c r="A1159" t="s">
        <v>5802</v>
      </c>
      <c r="B1159" t="s">
        <v>2365</v>
      </c>
      <c r="C1159" t="s">
        <v>2366</v>
      </c>
      <c r="D1159" t="s">
        <v>5803</v>
      </c>
      <c r="E1159" t="s">
        <v>5801</v>
      </c>
      <c r="F1159" t="str">
        <f>IF(Table2[[#This Row],[Date posted]]&lt; DATE(2015,9,18),"Before Crisis","During Crisis")</f>
        <v>Before Crisis</v>
      </c>
      <c r="G1159" s="27">
        <f t="shared" si="108"/>
        <v>42220</v>
      </c>
      <c r="H1159" s="7" t="str">
        <f t="shared" si="109"/>
        <v>18:50:36</v>
      </c>
      <c r="I1159" s="8" t="str">
        <f t="shared" si="110"/>
        <v>Evening</v>
      </c>
      <c r="J1159" t="s">
        <v>2370</v>
      </c>
      <c r="K1159" t="s">
        <v>2370</v>
      </c>
      <c r="L1159" s="3">
        <v>0</v>
      </c>
      <c r="M1159" s="3">
        <v>0</v>
      </c>
      <c r="N1159" s="3">
        <v>0</v>
      </c>
      <c r="O1159" s="4">
        <f t="shared" si="111"/>
        <v>0</v>
      </c>
      <c r="P1159" s="5" t="str">
        <f t="shared" si="112"/>
        <v>No engagement</v>
      </c>
      <c r="Q1159" t="b">
        <v>0</v>
      </c>
      <c r="R1159" t="b">
        <v>0</v>
      </c>
      <c r="S1159" t="b">
        <v>0</v>
      </c>
      <c r="T1159" s="24" t="str">
        <f t="shared" si="113"/>
        <v>Text only</v>
      </c>
    </row>
    <row r="1160" spans="1:20" hidden="1" x14ac:dyDescent="0.2">
      <c r="A1160" t="s">
        <v>5780</v>
      </c>
      <c r="B1160" t="s">
        <v>2365</v>
      </c>
      <c r="C1160" t="s">
        <v>2366</v>
      </c>
      <c r="D1160" t="s">
        <v>5781</v>
      </c>
      <c r="E1160" t="s">
        <v>5782</v>
      </c>
      <c r="F1160" t="str">
        <f>IF(Table2[[#This Row],[Date posted]]&lt; DATE(2015,9,18),"Before Crisis","During Crisis")</f>
        <v>Before Crisis</v>
      </c>
      <c r="G1160" s="27">
        <f t="shared" si="108"/>
        <v>42220</v>
      </c>
      <c r="H1160" s="7" t="str">
        <f t="shared" si="109"/>
        <v>22:34:34</v>
      </c>
      <c r="I1160" s="8" t="str">
        <f t="shared" si="110"/>
        <v>Evening</v>
      </c>
      <c r="J1160" t="s">
        <v>2370</v>
      </c>
      <c r="K1160" t="s">
        <v>2370</v>
      </c>
      <c r="L1160" s="3">
        <v>0</v>
      </c>
      <c r="M1160" s="3">
        <v>0</v>
      </c>
      <c r="N1160" s="3">
        <v>0</v>
      </c>
      <c r="O1160" s="4">
        <f t="shared" si="111"/>
        <v>0</v>
      </c>
      <c r="P1160" s="5" t="str">
        <f t="shared" si="112"/>
        <v>No engagement</v>
      </c>
      <c r="Q1160" t="b">
        <v>0</v>
      </c>
      <c r="R1160" t="b">
        <v>0</v>
      </c>
      <c r="S1160" t="b">
        <v>0</v>
      </c>
      <c r="T1160" s="24" t="str">
        <f t="shared" si="113"/>
        <v>Text only</v>
      </c>
    </row>
    <row r="1161" spans="1:20" hidden="1" x14ac:dyDescent="0.2">
      <c r="A1161" t="s">
        <v>5768</v>
      </c>
      <c r="B1161" t="s">
        <v>2365</v>
      </c>
      <c r="C1161" t="s">
        <v>2366</v>
      </c>
      <c r="D1161" t="s">
        <v>5769</v>
      </c>
      <c r="E1161" t="s">
        <v>5770</v>
      </c>
      <c r="F1161" t="str">
        <f>IF(Table2[[#This Row],[Date posted]]&lt; DATE(2015,9,18),"Before Crisis","During Crisis")</f>
        <v>Before Crisis</v>
      </c>
      <c r="G1161" s="27">
        <f t="shared" si="108"/>
        <v>42221</v>
      </c>
      <c r="H1161" s="7" t="str">
        <f t="shared" si="109"/>
        <v>20:45:20</v>
      </c>
      <c r="I1161" s="8" t="str">
        <f t="shared" si="110"/>
        <v>Evening</v>
      </c>
      <c r="J1161" t="s">
        <v>2370</v>
      </c>
      <c r="K1161" t="s">
        <v>2370</v>
      </c>
      <c r="L1161" s="3">
        <v>0</v>
      </c>
      <c r="M1161" s="3">
        <v>0</v>
      </c>
      <c r="N1161" s="3">
        <v>0</v>
      </c>
      <c r="O1161" s="4">
        <f t="shared" si="111"/>
        <v>0</v>
      </c>
      <c r="P1161" s="5" t="str">
        <f t="shared" si="112"/>
        <v>No engagement</v>
      </c>
      <c r="Q1161" t="b">
        <v>0</v>
      </c>
      <c r="R1161" t="b">
        <v>0</v>
      </c>
      <c r="S1161" t="b">
        <v>0</v>
      </c>
      <c r="T1161" s="24" t="str">
        <f t="shared" si="113"/>
        <v>Text only</v>
      </c>
    </row>
    <row r="1162" spans="1:20" hidden="1" x14ac:dyDescent="0.2">
      <c r="A1162" t="s">
        <v>5760</v>
      </c>
      <c r="B1162" t="s">
        <v>2365</v>
      </c>
      <c r="C1162" t="s">
        <v>2366</v>
      </c>
      <c r="D1162" t="s">
        <v>5761</v>
      </c>
      <c r="E1162" t="s">
        <v>5762</v>
      </c>
      <c r="F1162" t="str">
        <f>IF(Table2[[#This Row],[Date posted]]&lt; DATE(2015,9,18),"Before Crisis","During Crisis")</f>
        <v>Before Crisis</v>
      </c>
      <c r="G1162" s="27">
        <f t="shared" si="108"/>
        <v>42221</v>
      </c>
      <c r="H1162" s="7" t="str">
        <f t="shared" si="109"/>
        <v>21:00:08</v>
      </c>
      <c r="I1162" s="8" t="str">
        <f t="shared" si="110"/>
        <v>Evening</v>
      </c>
      <c r="J1162" t="s">
        <v>2370</v>
      </c>
      <c r="K1162" t="s">
        <v>2370</v>
      </c>
      <c r="L1162" s="3">
        <v>0</v>
      </c>
      <c r="M1162" s="3">
        <v>0</v>
      </c>
      <c r="N1162" s="3">
        <v>0</v>
      </c>
      <c r="O1162" s="4">
        <f t="shared" si="111"/>
        <v>0</v>
      </c>
      <c r="P1162" s="5" t="str">
        <f t="shared" si="112"/>
        <v>No engagement</v>
      </c>
      <c r="Q1162" t="b">
        <v>0</v>
      </c>
      <c r="R1162" t="b">
        <v>0</v>
      </c>
      <c r="S1162" t="b">
        <v>0</v>
      </c>
      <c r="T1162" s="24" t="str">
        <f t="shared" si="113"/>
        <v>Text only</v>
      </c>
    </row>
    <row r="1163" spans="1:20" hidden="1" x14ac:dyDescent="0.2">
      <c r="A1163" t="s">
        <v>5763</v>
      </c>
      <c r="B1163" t="s">
        <v>2365</v>
      </c>
      <c r="C1163" t="s">
        <v>2366</v>
      </c>
      <c r="D1163" t="s">
        <v>5764</v>
      </c>
      <c r="E1163" t="s">
        <v>5762</v>
      </c>
      <c r="F1163" t="str">
        <f>IF(Table2[[#This Row],[Date posted]]&lt; DATE(2015,9,18),"Before Crisis","During Crisis")</f>
        <v>Before Crisis</v>
      </c>
      <c r="G1163" s="27">
        <f t="shared" si="108"/>
        <v>42221</v>
      </c>
      <c r="H1163" s="7" t="str">
        <f t="shared" si="109"/>
        <v>21:00:08</v>
      </c>
      <c r="I1163" s="8" t="str">
        <f t="shared" si="110"/>
        <v>Evening</v>
      </c>
      <c r="J1163" t="s">
        <v>2370</v>
      </c>
      <c r="K1163" t="s">
        <v>2370</v>
      </c>
      <c r="L1163" s="3">
        <v>0</v>
      </c>
      <c r="M1163" s="3">
        <v>0</v>
      </c>
      <c r="N1163" s="3">
        <v>0</v>
      </c>
      <c r="O1163" s="4">
        <f t="shared" si="111"/>
        <v>0</v>
      </c>
      <c r="P1163" s="5" t="str">
        <f t="shared" si="112"/>
        <v>No engagement</v>
      </c>
      <c r="Q1163" t="b">
        <v>0</v>
      </c>
      <c r="R1163" t="b">
        <v>0</v>
      </c>
      <c r="S1163" t="b">
        <v>0</v>
      </c>
      <c r="T1163" s="24" t="str">
        <f t="shared" si="113"/>
        <v>Text only</v>
      </c>
    </row>
    <row r="1164" spans="1:20" hidden="1" x14ac:dyDescent="0.2">
      <c r="A1164" t="s">
        <v>5731</v>
      </c>
      <c r="B1164" t="s">
        <v>2365</v>
      </c>
      <c r="C1164" t="s">
        <v>2366</v>
      </c>
      <c r="D1164" t="s">
        <v>5732</v>
      </c>
      <c r="E1164" t="s">
        <v>5733</v>
      </c>
      <c r="F1164" t="str">
        <f>IF(Table2[[#This Row],[Date posted]]&lt; DATE(2015,9,18),"Before Crisis","During Crisis")</f>
        <v>Before Crisis</v>
      </c>
      <c r="G1164" s="27">
        <f t="shared" si="108"/>
        <v>42224</v>
      </c>
      <c r="H1164" s="7" t="str">
        <f t="shared" si="109"/>
        <v>17:15:44</v>
      </c>
      <c r="I1164" s="8" t="str">
        <f t="shared" si="110"/>
        <v>Afternoon</v>
      </c>
      <c r="J1164" t="s">
        <v>5734</v>
      </c>
      <c r="K1164" t="s">
        <v>2370</v>
      </c>
      <c r="L1164" s="3">
        <v>0</v>
      </c>
      <c r="M1164" s="3">
        <v>0</v>
      </c>
      <c r="N1164" s="3">
        <v>0</v>
      </c>
      <c r="O1164" s="4">
        <f t="shared" si="111"/>
        <v>0</v>
      </c>
      <c r="P1164" s="5" t="str">
        <f t="shared" si="112"/>
        <v>No engagement</v>
      </c>
      <c r="Q1164" t="b">
        <v>0</v>
      </c>
      <c r="R1164" t="b">
        <v>0</v>
      </c>
      <c r="S1164" t="b">
        <v>0</v>
      </c>
      <c r="T1164" s="24" t="str">
        <f t="shared" si="113"/>
        <v>Text only</v>
      </c>
    </row>
    <row r="1165" spans="1:20" hidden="1" x14ac:dyDescent="0.2">
      <c r="A1165" t="s">
        <v>5735</v>
      </c>
      <c r="B1165" t="s">
        <v>2365</v>
      </c>
      <c r="C1165" t="s">
        <v>2366</v>
      </c>
      <c r="D1165" t="s">
        <v>5736</v>
      </c>
      <c r="E1165" t="s">
        <v>5733</v>
      </c>
      <c r="F1165" t="str">
        <f>IF(Table2[[#This Row],[Date posted]]&lt; DATE(2015,9,18),"Before Crisis","During Crisis")</f>
        <v>Before Crisis</v>
      </c>
      <c r="G1165" s="27">
        <f t="shared" si="108"/>
        <v>42224</v>
      </c>
      <c r="H1165" s="7" t="str">
        <f t="shared" si="109"/>
        <v>17:15:44</v>
      </c>
      <c r="I1165" s="8" t="str">
        <f t="shared" si="110"/>
        <v>Afternoon</v>
      </c>
      <c r="J1165" t="s">
        <v>5734</v>
      </c>
      <c r="K1165" t="s">
        <v>2370</v>
      </c>
      <c r="L1165">
        <v>1</v>
      </c>
      <c r="M1165" s="3">
        <v>0</v>
      </c>
      <c r="N1165" s="3">
        <v>0</v>
      </c>
      <c r="O1165" s="4">
        <f t="shared" si="111"/>
        <v>1</v>
      </c>
      <c r="P1165" s="5" t="str">
        <f t="shared" si="112"/>
        <v>Low engagement</v>
      </c>
      <c r="Q1165" t="b">
        <v>0</v>
      </c>
      <c r="R1165" t="b">
        <v>0</v>
      </c>
      <c r="S1165" t="b">
        <v>0</v>
      </c>
      <c r="T1165" s="24" t="str">
        <f t="shared" si="113"/>
        <v>Text only</v>
      </c>
    </row>
    <row r="1166" spans="1:20" hidden="1" x14ac:dyDescent="0.2">
      <c r="A1166" t="s">
        <v>5725</v>
      </c>
      <c r="B1166" t="s">
        <v>2365</v>
      </c>
      <c r="C1166" t="s">
        <v>2366</v>
      </c>
      <c r="D1166" t="s">
        <v>5726</v>
      </c>
      <c r="E1166" t="s">
        <v>5727</v>
      </c>
      <c r="F1166" t="str">
        <f>IF(Table2[[#This Row],[Date posted]]&lt; DATE(2015,9,18),"Before Crisis","During Crisis")</f>
        <v>Before Crisis</v>
      </c>
      <c r="G1166" s="27">
        <f t="shared" si="108"/>
        <v>42224</v>
      </c>
      <c r="H1166" s="7" t="str">
        <f t="shared" si="109"/>
        <v>17:15:45</v>
      </c>
      <c r="I1166" s="8" t="str">
        <f t="shared" si="110"/>
        <v>Afternoon</v>
      </c>
      <c r="J1166" t="s">
        <v>5609</v>
      </c>
      <c r="K1166" t="s">
        <v>2370</v>
      </c>
      <c r="L1166" s="3">
        <v>0</v>
      </c>
      <c r="M1166" s="3">
        <v>0</v>
      </c>
      <c r="N1166" s="3">
        <v>0</v>
      </c>
      <c r="O1166" s="4">
        <f t="shared" si="111"/>
        <v>0</v>
      </c>
      <c r="P1166" s="5" t="str">
        <f t="shared" si="112"/>
        <v>No engagement</v>
      </c>
      <c r="Q1166" t="b">
        <v>0</v>
      </c>
      <c r="R1166" t="b">
        <v>0</v>
      </c>
      <c r="S1166" t="b">
        <v>0</v>
      </c>
      <c r="T1166" s="24" t="str">
        <f t="shared" si="113"/>
        <v>Text only</v>
      </c>
    </row>
    <row r="1167" spans="1:20" hidden="1" x14ac:dyDescent="0.2">
      <c r="A1167" t="s">
        <v>5688</v>
      </c>
      <c r="B1167" t="s">
        <v>2365</v>
      </c>
      <c r="C1167" t="s">
        <v>2366</v>
      </c>
      <c r="D1167" t="s">
        <v>5689</v>
      </c>
      <c r="E1167" t="s">
        <v>5690</v>
      </c>
      <c r="F1167" t="str">
        <f>IF(Table2[[#This Row],[Date posted]]&lt; DATE(2015,9,18),"Before Crisis","During Crisis")</f>
        <v>Before Crisis</v>
      </c>
      <c r="G1167" s="27">
        <f t="shared" si="108"/>
        <v>42226</v>
      </c>
      <c r="H1167" s="7" t="str">
        <f t="shared" si="109"/>
        <v>21:50:28</v>
      </c>
      <c r="I1167" s="8" t="str">
        <f t="shared" si="110"/>
        <v>Evening</v>
      </c>
      <c r="J1167" t="s">
        <v>2370</v>
      </c>
      <c r="K1167" t="s">
        <v>2370</v>
      </c>
      <c r="L1167" s="3">
        <v>0</v>
      </c>
      <c r="M1167" s="3">
        <v>0</v>
      </c>
      <c r="N1167" s="3">
        <v>0</v>
      </c>
      <c r="O1167" s="4">
        <f t="shared" si="111"/>
        <v>0</v>
      </c>
      <c r="P1167" s="5" t="str">
        <f t="shared" si="112"/>
        <v>No engagement</v>
      </c>
      <c r="Q1167" t="b">
        <v>0</v>
      </c>
      <c r="R1167" t="b">
        <v>0</v>
      </c>
      <c r="S1167" t="b">
        <v>0</v>
      </c>
      <c r="T1167" s="24" t="str">
        <f t="shared" si="113"/>
        <v>Text only</v>
      </c>
    </row>
    <row r="1168" spans="1:20" hidden="1" x14ac:dyDescent="0.2">
      <c r="A1168" t="s">
        <v>5670</v>
      </c>
      <c r="B1168" t="s">
        <v>2365</v>
      </c>
      <c r="C1168" t="s">
        <v>2366</v>
      </c>
      <c r="D1168" t="s">
        <v>5671</v>
      </c>
      <c r="E1168" t="s">
        <v>5672</v>
      </c>
      <c r="F1168" t="str">
        <f>IF(Table2[[#This Row],[Date posted]]&lt; DATE(2015,9,18),"Before Crisis","During Crisis")</f>
        <v>Before Crisis</v>
      </c>
      <c r="G1168" s="27">
        <f t="shared" si="108"/>
        <v>42227</v>
      </c>
      <c r="H1168" s="7" t="str">
        <f t="shared" si="109"/>
        <v>22:00:41</v>
      </c>
      <c r="I1168" s="8" t="str">
        <f t="shared" si="110"/>
        <v>Evening</v>
      </c>
      <c r="J1168" t="s">
        <v>5673</v>
      </c>
      <c r="K1168" t="s">
        <v>2370</v>
      </c>
      <c r="L1168" s="3">
        <v>0</v>
      </c>
      <c r="M1168" s="3">
        <v>0</v>
      </c>
      <c r="N1168" s="3">
        <v>0</v>
      </c>
      <c r="O1168" s="4">
        <f t="shared" si="111"/>
        <v>0</v>
      </c>
      <c r="P1168" s="5" t="str">
        <f t="shared" si="112"/>
        <v>No engagement</v>
      </c>
      <c r="Q1168" t="b">
        <v>0</v>
      </c>
      <c r="R1168" t="b">
        <v>0</v>
      </c>
      <c r="S1168" t="b">
        <v>0</v>
      </c>
      <c r="T1168" s="24" t="str">
        <f t="shared" si="113"/>
        <v>Text only</v>
      </c>
    </row>
    <row r="1169" spans="1:20" hidden="1" x14ac:dyDescent="0.2">
      <c r="A1169" t="s">
        <v>5653</v>
      </c>
      <c r="B1169" t="s">
        <v>2365</v>
      </c>
      <c r="C1169" t="s">
        <v>2366</v>
      </c>
      <c r="D1169" t="s">
        <v>5654</v>
      </c>
      <c r="E1169" t="s">
        <v>5655</v>
      </c>
      <c r="F1169" t="str">
        <f>IF(Table2[[#This Row],[Date posted]]&lt; DATE(2015,9,18),"Before Crisis","During Crisis")</f>
        <v>Before Crisis</v>
      </c>
      <c r="G1169" s="27">
        <f t="shared" si="108"/>
        <v>42228</v>
      </c>
      <c r="H1169" s="7" t="str">
        <f t="shared" si="109"/>
        <v>12:31:33</v>
      </c>
      <c r="I1169" s="8" t="str">
        <f t="shared" si="110"/>
        <v>Mid-day</v>
      </c>
      <c r="J1169" t="s">
        <v>5617</v>
      </c>
      <c r="K1169" t="s">
        <v>2370</v>
      </c>
      <c r="L1169">
        <v>1</v>
      </c>
      <c r="M1169" s="3">
        <v>0</v>
      </c>
      <c r="N1169" s="3">
        <v>0</v>
      </c>
      <c r="O1169" s="4">
        <f t="shared" si="111"/>
        <v>1</v>
      </c>
      <c r="P1169" s="5" t="str">
        <f t="shared" si="112"/>
        <v>Low engagement</v>
      </c>
      <c r="Q1169" t="b">
        <v>0</v>
      </c>
      <c r="R1169" t="b">
        <v>0</v>
      </c>
      <c r="S1169" t="b">
        <v>0</v>
      </c>
      <c r="T1169" s="24" t="str">
        <f t="shared" si="113"/>
        <v>Text only</v>
      </c>
    </row>
    <row r="1170" spans="1:20" hidden="1" x14ac:dyDescent="0.2">
      <c r="A1170" t="s">
        <v>5639</v>
      </c>
      <c r="B1170" t="s">
        <v>2365</v>
      </c>
      <c r="C1170" t="s">
        <v>2366</v>
      </c>
      <c r="D1170" t="s">
        <v>5640</v>
      </c>
      <c r="E1170" t="s">
        <v>5637</v>
      </c>
      <c r="F1170" t="str">
        <f>IF(Table2[[#This Row],[Date posted]]&lt; DATE(2015,9,18),"Before Crisis","During Crisis")</f>
        <v>Before Crisis</v>
      </c>
      <c r="G1170" s="27">
        <f t="shared" si="108"/>
        <v>42228</v>
      </c>
      <c r="H1170" s="7" t="str">
        <f t="shared" si="109"/>
        <v>18:36:42</v>
      </c>
      <c r="I1170" s="8" t="str">
        <f t="shared" si="110"/>
        <v>Evening</v>
      </c>
      <c r="J1170" t="s">
        <v>5638</v>
      </c>
      <c r="K1170" t="s">
        <v>2370</v>
      </c>
      <c r="L1170" s="3">
        <v>0</v>
      </c>
      <c r="M1170" s="3">
        <v>0</v>
      </c>
      <c r="N1170" s="3">
        <v>0</v>
      </c>
      <c r="O1170" s="4">
        <f t="shared" si="111"/>
        <v>0</v>
      </c>
      <c r="P1170" s="5" t="str">
        <f t="shared" si="112"/>
        <v>No engagement</v>
      </c>
      <c r="Q1170" t="b">
        <v>0</v>
      </c>
      <c r="R1170" t="b">
        <v>0</v>
      </c>
      <c r="S1170" t="b">
        <v>0</v>
      </c>
      <c r="T1170" s="24" t="str">
        <f t="shared" si="113"/>
        <v>Text only</v>
      </c>
    </row>
    <row r="1171" spans="1:20" hidden="1" x14ac:dyDescent="0.2">
      <c r="A1171" t="s">
        <v>5588</v>
      </c>
      <c r="B1171" t="s">
        <v>2365</v>
      </c>
      <c r="C1171" t="s">
        <v>2366</v>
      </c>
      <c r="D1171" t="s">
        <v>5589</v>
      </c>
      <c r="E1171" t="s">
        <v>5587</v>
      </c>
      <c r="F1171" t="str">
        <f>IF(Table2[[#This Row],[Date posted]]&lt; DATE(2015,9,18),"Before Crisis","During Crisis")</f>
        <v>Before Crisis</v>
      </c>
      <c r="G1171" s="27">
        <f t="shared" si="108"/>
        <v>42230</v>
      </c>
      <c r="H1171" s="7" t="str">
        <f t="shared" si="109"/>
        <v>17:50:26</v>
      </c>
      <c r="I1171" s="8" t="str">
        <f t="shared" si="110"/>
        <v>Afternoon</v>
      </c>
      <c r="J1171" t="s">
        <v>2370</v>
      </c>
      <c r="K1171" t="s">
        <v>2370</v>
      </c>
      <c r="L1171" s="3">
        <v>0</v>
      </c>
      <c r="M1171" s="3">
        <v>0</v>
      </c>
      <c r="N1171" s="3">
        <v>0</v>
      </c>
      <c r="O1171" s="4">
        <f t="shared" si="111"/>
        <v>0</v>
      </c>
      <c r="P1171" s="5" t="str">
        <f t="shared" si="112"/>
        <v>No engagement</v>
      </c>
      <c r="Q1171" t="b">
        <v>0</v>
      </c>
      <c r="R1171" t="b">
        <v>0</v>
      </c>
      <c r="S1171" t="b">
        <v>0</v>
      </c>
      <c r="T1171" s="24" t="str">
        <f t="shared" si="113"/>
        <v>Text only</v>
      </c>
    </row>
    <row r="1172" spans="1:20" x14ac:dyDescent="0.2">
      <c r="A1172" t="s">
        <v>5570</v>
      </c>
      <c r="B1172" t="s">
        <v>2365</v>
      </c>
      <c r="C1172" t="s">
        <v>2366</v>
      </c>
      <c r="D1172" t="s">
        <v>5571</v>
      </c>
      <c r="E1172" t="s">
        <v>5569</v>
      </c>
      <c r="F1172" t="str">
        <f>IF(Table2[[#This Row],[Date posted]]&lt; DATE(2015,9,18),"Before Crisis","During Crisis")</f>
        <v>Before Crisis</v>
      </c>
      <c r="G1172" s="27">
        <f t="shared" si="108"/>
        <v>42231</v>
      </c>
      <c r="H1172" s="7" t="str">
        <f t="shared" si="109"/>
        <v>00:09:37</v>
      </c>
      <c r="I1172" s="8" t="str">
        <f t="shared" si="110"/>
        <v>Early morning</v>
      </c>
      <c r="J1172" t="s">
        <v>2370</v>
      </c>
      <c r="K1172" t="s">
        <v>2370</v>
      </c>
      <c r="L1172" s="3">
        <v>0</v>
      </c>
      <c r="M1172" s="3">
        <v>0</v>
      </c>
      <c r="N1172" s="3">
        <v>0</v>
      </c>
      <c r="O1172" s="4">
        <f t="shared" si="111"/>
        <v>0</v>
      </c>
      <c r="P1172" s="5" t="str">
        <f t="shared" si="112"/>
        <v>No engagement</v>
      </c>
      <c r="Q1172" t="b">
        <v>0</v>
      </c>
      <c r="R1172" t="b">
        <v>0</v>
      </c>
      <c r="S1172" t="b">
        <v>0</v>
      </c>
      <c r="T1172" s="24" t="str">
        <f t="shared" si="113"/>
        <v>Text only</v>
      </c>
    </row>
    <row r="1173" spans="1:20" hidden="1" x14ac:dyDescent="0.2">
      <c r="A1173" t="s">
        <v>5546</v>
      </c>
      <c r="B1173" t="s">
        <v>2365</v>
      </c>
      <c r="C1173" t="s">
        <v>2366</v>
      </c>
      <c r="D1173" t="s">
        <v>5547</v>
      </c>
      <c r="E1173" t="s">
        <v>5548</v>
      </c>
      <c r="F1173" t="str">
        <f>IF(Table2[[#This Row],[Date posted]]&lt; DATE(2015,9,18),"Before Crisis","During Crisis")</f>
        <v>Before Crisis</v>
      </c>
      <c r="G1173" s="27">
        <f t="shared" si="108"/>
        <v>42233</v>
      </c>
      <c r="H1173" s="7" t="str">
        <f t="shared" si="109"/>
        <v>18:19:57</v>
      </c>
      <c r="I1173" s="8" t="str">
        <f t="shared" si="110"/>
        <v>Evening</v>
      </c>
      <c r="J1173" t="s">
        <v>5549</v>
      </c>
      <c r="K1173" t="s">
        <v>2370</v>
      </c>
      <c r="L1173" s="3">
        <v>0</v>
      </c>
      <c r="M1173">
        <v>1</v>
      </c>
      <c r="N1173" s="3">
        <v>0</v>
      </c>
      <c r="O1173" s="4">
        <f t="shared" si="111"/>
        <v>1</v>
      </c>
      <c r="P1173" s="5" t="str">
        <f t="shared" si="112"/>
        <v>Low engagement</v>
      </c>
      <c r="Q1173" t="b">
        <v>0</v>
      </c>
      <c r="R1173" t="b">
        <v>0</v>
      </c>
      <c r="S1173" t="b">
        <v>0</v>
      </c>
      <c r="T1173" s="24" t="str">
        <f t="shared" si="113"/>
        <v>Text only</v>
      </c>
    </row>
    <row r="1174" spans="1:20" hidden="1" x14ac:dyDescent="0.2">
      <c r="A1174" t="s">
        <v>5550</v>
      </c>
      <c r="B1174" t="s">
        <v>2365</v>
      </c>
      <c r="C1174" t="s">
        <v>2366</v>
      </c>
      <c r="D1174" t="s">
        <v>5551</v>
      </c>
      <c r="E1174" t="s">
        <v>5548</v>
      </c>
      <c r="F1174" t="str">
        <f>IF(Table2[[#This Row],[Date posted]]&lt; DATE(2015,9,18),"Before Crisis","During Crisis")</f>
        <v>Before Crisis</v>
      </c>
      <c r="G1174" s="27">
        <f t="shared" si="108"/>
        <v>42233</v>
      </c>
      <c r="H1174" s="7" t="str">
        <f t="shared" si="109"/>
        <v>18:19:57</v>
      </c>
      <c r="I1174" s="8" t="str">
        <f t="shared" si="110"/>
        <v>Evening</v>
      </c>
      <c r="J1174" t="s">
        <v>5549</v>
      </c>
      <c r="K1174" t="s">
        <v>2370</v>
      </c>
      <c r="L1174" s="3">
        <v>0</v>
      </c>
      <c r="M1174" s="3">
        <v>0</v>
      </c>
      <c r="N1174" s="3">
        <v>0</v>
      </c>
      <c r="O1174" s="4">
        <f t="shared" si="111"/>
        <v>0</v>
      </c>
      <c r="P1174" s="5" t="str">
        <f t="shared" si="112"/>
        <v>No engagement</v>
      </c>
      <c r="Q1174" t="b">
        <v>0</v>
      </c>
      <c r="R1174" t="b">
        <v>0</v>
      </c>
      <c r="S1174" t="b">
        <v>1</v>
      </c>
      <c r="T1174" s="24" t="str">
        <f t="shared" si="113"/>
        <v>Link</v>
      </c>
    </row>
    <row r="1175" spans="1:20" hidden="1" x14ac:dyDescent="0.2">
      <c r="A1175" t="s">
        <v>5542</v>
      </c>
      <c r="B1175" t="s">
        <v>2365</v>
      </c>
      <c r="C1175" t="s">
        <v>2366</v>
      </c>
      <c r="D1175" t="s">
        <v>5543</v>
      </c>
      <c r="E1175" t="s">
        <v>5544</v>
      </c>
      <c r="F1175" t="str">
        <f>IF(Table2[[#This Row],[Date posted]]&lt; DATE(2015,9,18),"Before Crisis","During Crisis")</f>
        <v>Before Crisis</v>
      </c>
      <c r="G1175" s="27">
        <f t="shared" si="108"/>
        <v>42233</v>
      </c>
      <c r="H1175" s="7" t="str">
        <f t="shared" si="109"/>
        <v>18:19:58</v>
      </c>
      <c r="I1175" s="8" t="str">
        <f t="shared" si="110"/>
        <v>Evening</v>
      </c>
      <c r="J1175" t="s">
        <v>5545</v>
      </c>
      <c r="K1175" t="s">
        <v>2370</v>
      </c>
      <c r="L1175" s="3">
        <v>0</v>
      </c>
      <c r="M1175" s="3">
        <v>0</v>
      </c>
      <c r="N1175" s="3">
        <v>0</v>
      </c>
      <c r="O1175" s="4">
        <f t="shared" si="111"/>
        <v>0</v>
      </c>
      <c r="P1175" s="5" t="str">
        <f t="shared" si="112"/>
        <v>No engagement</v>
      </c>
      <c r="Q1175" t="b">
        <v>0</v>
      </c>
      <c r="R1175" t="b">
        <v>0</v>
      </c>
      <c r="S1175" t="b">
        <v>1</v>
      </c>
      <c r="T1175" s="24" t="str">
        <f t="shared" si="113"/>
        <v>Link</v>
      </c>
    </row>
    <row r="1176" spans="1:20" hidden="1" x14ac:dyDescent="0.2">
      <c r="A1176" t="s">
        <v>5540</v>
      </c>
      <c r="B1176" t="s">
        <v>2365</v>
      </c>
      <c r="C1176" t="s">
        <v>2366</v>
      </c>
      <c r="D1176" t="s">
        <v>5541</v>
      </c>
      <c r="E1176" t="s">
        <v>5538</v>
      </c>
      <c r="F1176" t="str">
        <f>IF(Table2[[#This Row],[Date posted]]&lt; DATE(2015,9,18),"Before Crisis","During Crisis")</f>
        <v>Before Crisis</v>
      </c>
      <c r="G1176" s="27">
        <f t="shared" si="108"/>
        <v>42233</v>
      </c>
      <c r="H1176" s="7" t="str">
        <f t="shared" si="109"/>
        <v>18:28:03</v>
      </c>
      <c r="I1176" s="8" t="str">
        <f t="shared" si="110"/>
        <v>Evening</v>
      </c>
      <c r="J1176" t="s">
        <v>2370</v>
      </c>
      <c r="K1176" t="s">
        <v>2370</v>
      </c>
      <c r="L1176" s="3">
        <v>0</v>
      </c>
      <c r="M1176" s="3">
        <v>0</v>
      </c>
      <c r="N1176" s="3">
        <v>0</v>
      </c>
      <c r="O1176" s="4">
        <f t="shared" si="111"/>
        <v>0</v>
      </c>
      <c r="P1176" s="5" t="str">
        <f t="shared" si="112"/>
        <v>No engagement</v>
      </c>
      <c r="Q1176" t="b">
        <v>0</v>
      </c>
      <c r="R1176" t="b">
        <v>0</v>
      </c>
      <c r="S1176" t="b">
        <v>0</v>
      </c>
      <c r="T1176" s="24" t="str">
        <f t="shared" si="113"/>
        <v>Text only</v>
      </c>
    </row>
    <row r="1177" spans="1:20" hidden="1" x14ac:dyDescent="0.2">
      <c r="A1177" t="s">
        <v>5521</v>
      </c>
      <c r="B1177" t="s">
        <v>2365</v>
      </c>
      <c r="C1177" t="s">
        <v>2366</v>
      </c>
      <c r="D1177" t="s">
        <v>5522</v>
      </c>
      <c r="E1177" t="s">
        <v>5523</v>
      </c>
      <c r="F1177" t="str">
        <f>IF(Table2[[#This Row],[Date posted]]&lt; DATE(2015,9,18),"Before Crisis","During Crisis")</f>
        <v>Before Crisis</v>
      </c>
      <c r="G1177" s="27">
        <f t="shared" si="108"/>
        <v>42233</v>
      </c>
      <c r="H1177" s="7" t="str">
        <f t="shared" si="109"/>
        <v>21:37:01</v>
      </c>
      <c r="I1177" s="8" t="str">
        <f t="shared" si="110"/>
        <v>Evening</v>
      </c>
      <c r="J1177" t="s">
        <v>5524</v>
      </c>
      <c r="K1177" t="s">
        <v>2370</v>
      </c>
      <c r="L1177" s="3">
        <v>0</v>
      </c>
      <c r="M1177" s="3">
        <v>0</v>
      </c>
      <c r="N1177" s="3">
        <v>0</v>
      </c>
      <c r="O1177" s="4">
        <f t="shared" si="111"/>
        <v>0</v>
      </c>
      <c r="P1177" s="5" t="str">
        <f t="shared" si="112"/>
        <v>No engagement</v>
      </c>
      <c r="Q1177" t="b">
        <v>0</v>
      </c>
      <c r="R1177" t="b">
        <v>0</v>
      </c>
      <c r="S1177" t="b">
        <v>0</v>
      </c>
      <c r="T1177" s="24" t="str">
        <f t="shared" si="113"/>
        <v>Text only</v>
      </c>
    </row>
    <row r="1178" spans="1:20" hidden="1" x14ac:dyDescent="0.2">
      <c r="A1178" t="s">
        <v>5512</v>
      </c>
      <c r="B1178" t="s">
        <v>2365</v>
      </c>
      <c r="C1178" t="s">
        <v>2366</v>
      </c>
      <c r="D1178" t="s">
        <v>5513</v>
      </c>
      <c r="E1178" t="s">
        <v>5508</v>
      </c>
      <c r="F1178" t="str">
        <f>IF(Table2[[#This Row],[Date posted]]&lt; DATE(2015,9,18),"Before Crisis","During Crisis")</f>
        <v>Before Crisis</v>
      </c>
      <c r="G1178" s="27">
        <f t="shared" si="108"/>
        <v>42233</v>
      </c>
      <c r="H1178" s="7" t="str">
        <f t="shared" si="109"/>
        <v>21:37:04</v>
      </c>
      <c r="I1178" s="8" t="str">
        <f t="shared" si="110"/>
        <v>Evening</v>
      </c>
      <c r="J1178" t="s">
        <v>5511</v>
      </c>
      <c r="K1178" t="s">
        <v>2370</v>
      </c>
      <c r="L1178" s="3">
        <v>0</v>
      </c>
      <c r="M1178" s="3">
        <v>0</v>
      </c>
      <c r="N1178" s="3">
        <v>0</v>
      </c>
      <c r="O1178" s="4">
        <f t="shared" si="111"/>
        <v>0</v>
      </c>
      <c r="P1178" s="5" t="str">
        <f t="shared" si="112"/>
        <v>No engagement</v>
      </c>
      <c r="Q1178" t="b">
        <v>0</v>
      </c>
      <c r="R1178" t="b">
        <v>0</v>
      </c>
      <c r="S1178" t="b">
        <v>0</v>
      </c>
      <c r="T1178" s="24" t="str">
        <f t="shared" si="113"/>
        <v>Text only</v>
      </c>
    </row>
    <row r="1179" spans="1:20" hidden="1" x14ac:dyDescent="0.2">
      <c r="A1179" t="s">
        <v>5484</v>
      </c>
      <c r="B1179" t="s">
        <v>2365</v>
      </c>
      <c r="C1179" t="s">
        <v>2366</v>
      </c>
      <c r="D1179" t="s">
        <v>5485</v>
      </c>
      <c r="E1179" t="s">
        <v>5482</v>
      </c>
      <c r="F1179" t="str">
        <f>IF(Table2[[#This Row],[Date posted]]&lt; DATE(2015,9,18),"Before Crisis","During Crisis")</f>
        <v>Before Crisis</v>
      </c>
      <c r="G1179" s="27">
        <f t="shared" si="108"/>
        <v>42234</v>
      </c>
      <c r="H1179" s="7" t="str">
        <f t="shared" si="109"/>
        <v>18:13:54</v>
      </c>
      <c r="I1179" s="8" t="str">
        <f t="shared" si="110"/>
        <v>Evening</v>
      </c>
      <c r="J1179" t="s">
        <v>5483</v>
      </c>
      <c r="K1179" t="s">
        <v>2370</v>
      </c>
      <c r="L1179" s="3">
        <v>0</v>
      </c>
      <c r="M1179" s="3">
        <v>0</v>
      </c>
      <c r="N1179" s="3">
        <v>0</v>
      </c>
      <c r="O1179" s="4">
        <f t="shared" si="111"/>
        <v>0</v>
      </c>
      <c r="P1179" s="5" t="str">
        <f t="shared" si="112"/>
        <v>No engagement</v>
      </c>
      <c r="Q1179" t="b">
        <v>0</v>
      </c>
      <c r="R1179" t="b">
        <v>0</v>
      </c>
      <c r="S1179" t="b">
        <v>0</v>
      </c>
      <c r="T1179" s="24" t="str">
        <f t="shared" si="113"/>
        <v>Text only</v>
      </c>
    </row>
    <row r="1180" spans="1:20" hidden="1" x14ac:dyDescent="0.2">
      <c r="A1180" t="s">
        <v>5442</v>
      </c>
      <c r="B1180" t="s">
        <v>2365</v>
      </c>
      <c r="C1180" t="s">
        <v>2366</v>
      </c>
      <c r="D1180" t="s">
        <v>5443</v>
      </c>
      <c r="E1180" t="s">
        <v>5440</v>
      </c>
      <c r="F1180" t="str">
        <f>IF(Table2[[#This Row],[Date posted]]&lt; DATE(2015,9,18),"Before Crisis","During Crisis")</f>
        <v>Before Crisis</v>
      </c>
      <c r="G1180" s="27">
        <f t="shared" si="108"/>
        <v>42236</v>
      </c>
      <c r="H1180" s="7" t="str">
        <f t="shared" si="109"/>
        <v>22:55:31</v>
      </c>
      <c r="I1180" s="8" t="str">
        <f t="shared" si="110"/>
        <v>Evening</v>
      </c>
      <c r="J1180" t="s">
        <v>5444</v>
      </c>
      <c r="K1180" t="s">
        <v>2370</v>
      </c>
      <c r="L1180" s="3">
        <v>0</v>
      </c>
      <c r="M1180" s="3">
        <v>0</v>
      </c>
      <c r="N1180" s="3">
        <v>0</v>
      </c>
      <c r="O1180" s="4">
        <f t="shared" si="111"/>
        <v>0</v>
      </c>
      <c r="P1180" s="5" t="str">
        <f t="shared" si="112"/>
        <v>No engagement</v>
      </c>
      <c r="Q1180" t="b">
        <v>0</v>
      </c>
      <c r="R1180" t="b">
        <v>0</v>
      </c>
      <c r="S1180" t="b">
        <v>0</v>
      </c>
      <c r="T1180" s="24" t="str">
        <f t="shared" si="113"/>
        <v>Text only</v>
      </c>
    </row>
    <row r="1181" spans="1:20" hidden="1" x14ac:dyDescent="0.2">
      <c r="A1181" t="s">
        <v>5408</v>
      </c>
      <c r="B1181" t="s">
        <v>2365</v>
      </c>
      <c r="C1181" t="s">
        <v>2366</v>
      </c>
      <c r="D1181" t="s">
        <v>5409</v>
      </c>
      <c r="E1181" t="s">
        <v>5410</v>
      </c>
      <c r="F1181" t="str">
        <f>IF(Table2[[#This Row],[Date posted]]&lt; DATE(2015,9,18),"Before Crisis","During Crisis")</f>
        <v>Before Crisis</v>
      </c>
      <c r="G1181" s="27">
        <f t="shared" si="108"/>
        <v>42238</v>
      </c>
      <c r="H1181" s="7" t="str">
        <f t="shared" si="109"/>
        <v>16:48:34</v>
      </c>
      <c r="I1181" s="8" t="str">
        <f t="shared" si="110"/>
        <v>Afternoon</v>
      </c>
      <c r="J1181" t="s">
        <v>2370</v>
      </c>
      <c r="K1181" t="s">
        <v>2370</v>
      </c>
      <c r="L1181">
        <v>1</v>
      </c>
      <c r="M1181" s="3">
        <v>0</v>
      </c>
      <c r="N1181" s="3">
        <v>0</v>
      </c>
      <c r="O1181" s="4">
        <f t="shared" si="111"/>
        <v>1</v>
      </c>
      <c r="P1181" s="5" t="str">
        <f t="shared" si="112"/>
        <v>Low engagement</v>
      </c>
      <c r="Q1181" t="b">
        <v>0</v>
      </c>
      <c r="R1181" t="b">
        <v>0</v>
      </c>
      <c r="S1181" t="b">
        <v>0</v>
      </c>
      <c r="T1181" s="24" t="str">
        <f t="shared" si="113"/>
        <v>Text only</v>
      </c>
    </row>
    <row r="1182" spans="1:20" hidden="1" x14ac:dyDescent="0.2">
      <c r="A1182" t="s">
        <v>5399</v>
      </c>
      <c r="B1182" t="s">
        <v>2365</v>
      </c>
      <c r="C1182" t="s">
        <v>2366</v>
      </c>
      <c r="D1182" t="s">
        <v>5400</v>
      </c>
      <c r="E1182" t="s">
        <v>5401</v>
      </c>
      <c r="F1182" t="str">
        <f>IF(Table2[[#This Row],[Date posted]]&lt; DATE(2015,9,18),"Before Crisis","During Crisis")</f>
        <v>Before Crisis</v>
      </c>
      <c r="G1182" s="27">
        <f t="shared" si="108"/>
        <v>42240</v>
      </c>
      <c r="H1182" s="7" t="str">
        <f t="shared" si="109"/>
        <v>17:04:26</v>
      </c>
      <c r="I1182" s="8" t="str">
        <f t="shared" si="110"/>
        <v>Afternoon</v>
      </c>
      <c r="J1182" t="s">
        <v>2370</v>
      </c>
      <c r="K1182" t="s">
        <v>2370</v>
      </c>
      <c r="L1182" s="3">
        <v>0</v>
      </c>
      <c r="M1182" s="3">
        <v>0</v>
      </c>
      <c r="N1182" s="3">
        <v>0</v>
      </c>
      <c r="O1182" s="4">
        <f t="shared" si="111"/>
        <v>0</v>
      </c>
      <c r="P1182" s="5" t="str">
        <f t="shared" si="112"/>
        <v>No engagement</v>
      </c>
      <c r="Q1182" t="b">
        <v>0</v>
      </c>
      <c r="R1182" t="b">
        <v>0</v>
      </c>
      <c r="S1182" t="b">
        <v>0</v>
      </c>
      <c r="T1182" s="24" t="str">
        <f t="shared" si="113"/>
        <v>Text only</v>
      </c>
    </row>
    <row r="1183" spans="1:20" hidden="1" x14ac:dyDescent="0.2">
      <c r="A1183" t="s">
        <v>5395</v>
      </c>
      <c r="B1183" t="s">
        <v>2365</v>
      </c>
      <c r="C1183" t="s">
        <v>2366</v>
      </c>
      <c r="D1183" t="s">
        <v>5396</v>
      </c>
      <c r="E1183" t="s">
        <v>5397</v>
      </c>
      <c r="F1183" t="str">
        <f>IF(Table2[[#This Row],[Date posted]]&lt; DATE(2015,9,18),"Before Crisis","During Crisis")</f>
        <v>Before Crisis</v>
      </c>
      <c r="G1183" s="27">
        <f t="shared" si="108"/>
        <v>42240</v>
      </c>
      <c r="H1183" s="7" t="str">
        <f t="shared" si="109"/>
        <v>17:04:27</v>
      </c>
      <c r="I1183" s="8" t="str">
        <f t="shared" si="110"/>
        <v>Afternoon</v>
      </c>
      <c r="J1183" t="s">
        <v>5398</v>
      </c>
      <c r="K1183" t="s">
        <v>2370</v>
      </c>
      <c r="L1183" s="3">
        <v>0</v>
      </c>
      <c r="M1183" s="3">
        <v>0</v>
      </c>
      <c r="N1183" s="3">
        <v>0</v>
      </c>
      <c r="O1183" s="4">
        <f t="shared" si="111"/>
        <v>0</v>
      </c>
      <c r="P1183" s="5" t="str">
        <f t="shared" si="112"/>
        <v>No engagement</v>
      </c>
      <c r="Q1183" t="b">
        <v>0</v>
      </c>
      <c r="R1183" t="b">
        <v>0</v>
      </c>
      <c r="S1183" t="b">
        <v>0</v>
      </c>
      <c r="T1183" s="24" t="str">
        <f t="shared" si="113"/>
        <v>Text only</v>
      </c>
    </row>
    <row r="1184" spans="1:20" hidden="1" x14ac:dyDescent="0.2">
      <c r="A1184" t="s">
        <v>5387</v>
      </c>
      <c r="B1184" t="s">
        <v>2365</v>
      </c>
      <c r="C1184" t="s">
        <v>2366</v>
      </c>
      <c r="D1184" t="s">
        <v>5388</v>
      </c>
      <c r="E1184" t="s">
        <v>5385</v>
      </c>
      <c r="F1184" t="str">
        <f>IF(Table2[[#This Row],[Date posted]]&lt; DATE(2015,9,18),"Before Crisis","During Crisis")</f>
        <v>Before Crisis</v>
      </c>
      <c r="G1184" s="27">
        <f t="shared" si="108"/>
        <v>42240</v>
      </c>
      <c r="H1184" s="7" t="str">
        <f t="shared" si="109"/>
        <v>17:12:47</v>
      </c>
      <c r="I1184" s="8" t="str">
        <f t="shared" si="110"/>
        <v>Afternoon</v>
      </c>
      <c r="J1184" t="s">
        <v>5386</v>
      </c>
      <c r="K1184" t="s">
        <v>2370</v>
      </c>
      <c r="L1184" s="3">
        <v>0</v>
      </c>
      <c r="M1184" s="3">
        <v>0</v>
      </c>
      <c r="N1184" s="3">
        <v>0</v>
      </c>
      <c r="O1184" s="4">
        <f t="shared" si="111"/>
        <v>0</v>
      </c>
      <c r="P1184" s="5" t="str">
        <f t="shared" si="112"/>
        <v>No engagement</v>
      </c>
      <c r="Q1184" t="b">
        <v>0</v>
      </c>
      <c r="R1184" t="b">
        <v>0</v>
      </c>
      <c r="S1184" t="b">
        <v>0</v>
      </c>
      <c r="T1184" s="24" t="str">
        <f t="shared" si="113"/>
        <v>Text only</v>
      </c>
    </row>
    <row r="1185" spans="1:20" hidden="1" x14ac:dyDescent="0.2">
      <c r="A1185" t="s">
        <v>5377</v>
      </c>
      <c r="B1185" t="s">
        <v>2365</v>
      </c>
      <c r="C1185" t="s">
        <v>2366</v>
      </c>
      <c r="D1185" t="s">
        <v>5378</v>
      </c>
      <c r="E1185" t="s">
        <v>5379</v>
      </c>
      <c r="F1185" t="str">
        <f>IF(Table2[[#This Row],[Date posted]]&lt; DATE(2015,9,18),"Before Crisis","During Crisis")</f>
        <v>Before Crisis</v>
      </c>
      <c r="G1185" s="27">
        <f t="shared" si="108"/>
        <v>42240</v>
      </c>
      <c r="H1185" s="7" t="str">
        <f t="shared" si="109"/>
        <v>17:12:48</v>
      </c>
      <c r="I1185" s="8" t="str">
        <f t="shared" si="110"/>
        <v>Afternoon</v>
      </c>
      <c r="J1185" t="s">
        <v>5380</v>
      </c>
      <c r="K1185" t="s">
        <v>2370</v>
      </c>
      <c r="L1185" s="3">
        <v>0</v>
      </c>
      <c r="M1185" s="3">
        <v>0</v>
      </c>
      <c r="N1185" s="3">
        <v>0</v>
      </c>
      <c r="O1185" s="4">
        <f t="shared" si="111"/>
        <v>0</v>
      </c>
      <c r="P1185" s="5" t="str">
        <f t="shared" si="112"/>
        <v>No engagement</v>
      </c>
      <c r="Q1185" t="b">
        <v>0</v>
      </c>
      <c r="R1185" t="b">
        <v>0</v>
      </c>
      <c r="S1185" t="b">
        <v>1</v>
      </c>
      <c r="T1185" s="24" t="str">
        <f t="shared" si="113"/>
        <v>Link</v>
      </c>
    </row>
    <row r="1186" spans="1:20" hidden="1" x14ac:dyDescent="0.2">
      <c r="A1186" t="s">
        <v>5381</v>
      </c>
      <c r="B1186" t="s">
        <v>2365</v>
      </c>
      <c r="C1186" t="s">
        <v>2366</v>
      </c>
      <c r="D1186" t="s">
        <v>5382</v>
      </c>
      <c r="E1186" t="s">
        <v>5379</v>
      </c>
      <c r="F1186" t="str">
        <f>IF(Table2[[#This Row],[Date posted]]&lt; DATE(2015,9,18),"Before Crisis","During Crisis")</f>
        <v>Before Crisis</v>
      </c>
      <c r="G1186" s="27">
        <f t="shared" si="108"/>
        <v>42240</v>
      </c>
      <c r="H1186" s="7" t="str">
        <f t="shared" si="109"/>
        <v>17:12:48</v>
      </c>
      <c r="I1186" s="8" t="str">
        <f t="shared" si="110"/>
        <v>Afternoon</v>
      </c>
      <c r="J1186" t="s">
        <v>5380</v>
      </c>
      <c r="K1186" t="s">
        <v>2370</v>
      </c>
      <c r="L1186" s="3">
        <v>0</v>
      </c>
      <c r="M1186" s="3">
        <v>0</v>
      </c>
      <c r="N1186" s="3">
        <v>0</v>
      </c>
      <c r="O1186" s="4">
        <f t="shared" si="111"/>
        <v>0</v>
      </c>
      <c r="P1186" s="5" t="str">
        <f t="shared" si="112"/>
        <v>No engagement</v>
      </c>
      <c r="Q1186" t="b">
        <v>0</v>
      </c>
      <c r="R1186" t="b">
        <v>0</v>
      </c>
      <c r="S1186" t="b">
        <v>0</v>
      </c>
      <c r="T1186" s="24" t="str">
        <f t="shared" si="113"/>
        <v>Text only</v>
      </c>
    </row>
    <row r="1187" spans="1:20" hidden="1" x14ac:dyDescent="0.2">
      <c r="A1187" t="s">
        <v>5366</v>
      </c>
      <c r="B1187" t="s">
        <v>2365</v>
      </c>
      <c r="C1187" t="s">
        <v>2366</v>
      </c>
      <c r="D1187" t="s">
        <v>5367</v>
      </c>
      <c r="E1187" t="s">
        <v>5368</v>
      </c>
      <c r="F1187" t="str">
        <f>IF(Table2[[#This Row],[Date posted]]&lt; DATE(2015,9,18),"Before Crisis","During Crisis")</f>
        <v>Before Crisis</v>
      </c>
      <c r="G1187" s="27">
        <f t="shared" si="108"/>
        <v>42241</v>
      </c>
      <c r="H1187" s="7" t="str">
        <f t="shared" si="109"/>
        <v>17:54:41</v>
      </c>
      <c r="I1187" s="8" t="str">
        <f t="shared" si="110"/>
        <v>Afternoon</v>
      </c>
      <c r="J1187" t="s">
        <v>2370</v>
      </c>
      <c r="K1187" t="s">
        <v>2370</v>
      </c>
      <c r="L1187" s="3">
        <v>0</v>
      </c>
      <c r="M1187" s="3">
        <v>0</v>
      </c>
      <c r="N1187" s="3">
        <v>0</v>
      </c>
      <c r="O1187" s="4">
        <f t="shared" si="111"/>
        <v>0</v>
      </c>
      <c r="P1187" s="5" t="str">
        <f t="shared" si="112"/>
        <v>No engagement</v>
      </c>
      <c r="Q1187" t="b">
        <v>0</v>
      </c>
      <c r="R1187" t="b">
        <v>0</v>
      </c>
      <c r="S1187" t="b">
        <v>0</v>
      </c>
      <c r="T1187" s="24" t="str">
        <f t="shared" si="113"/>
        <v>Text only</v>
      </c>
    </row>
    <row r="1188" spans="1:20" hidden="1" x14ac:dyDescent="0.2">
      <c r="A1188" t="s">
        <v>5369</v>
      </c>
      <c r="B1188" t="s">
        <v>2365</v>
      </c>
      <c r="C1188" t="s">
        <v>2366</v>
      </c>
      <c r="D1188" t="s">
        <v>5370</v>
      </c>
      <c r="E1188" t="s">
        <v>5368</v>
      </c>
      <c r="F1188" t="str">
        <f>IF(Table2[[#This Row],[Date posted]]&lt; DATE(2015,9,18),"Before Crisis","During Crisis")</f>
        <v>Before Crisis</v>
      </c>
      <c r="G1188" s="27">
        <f t="shared" si="108"/>
        <v>42241</v>
      </c>
      <c r="H1188" s="7" t="str">
        <f t="shared" si="109"/>
        <v>17:54:41</v>
      </c>
      <c r="I1188" s="8" t="str">
        <f t="shared" si="110"/>
        <v>Afternoon</v>
      </c>
      <c r="J1188" t="s">
        <v>2370</v>
      </c>
      <c r="K1188" t="s">
        <v>2370</v>
      </c>
      <c r="L1188" s="3">
        <v>0</v>
      </c>
      <c r="M1188" s="3">
        <v>0</v>
      </c>
      <c r="N1188" s="3">
        <v>0</v>
      </c>
      <c r="O1188" s="4">
        <f t="shared" si="111"/>
        <v>0</v>
      </c>
      <c r="P1188" s="5" t="str">
        <f t="shared" si="112"/>
        <v>No engagement</v>
      </c>
      <c r="Q1188" t="b">
        <v>0</v>
      </c>
      <c r="R1188" t="b">
        <v>0</v>
      </c>
      <c r="S1188" t="b">
        <v>0</v>
      </c>
      <c r="T1188" s="24" t="str">
        <f t="shared" si="113"/>
        <v>Text only</v>
      </c>
    </row>
    <row r="1189" spans="1:20" hidden="1" x14ac:dyDescent="0.2">
      <c r="A1189" t="s">
        <v>5363</v>
      </c>
      <c r="B1189" t="s">
        <v>2365</v>
      </c>
      <c r="C1189" t="s">
        <v>2366</v>
      </c>
      <c r="D1189" t="s">
        <v>5364</v>
      </c>
      <c r="E1189" t="s">
        <v>5360</v>
      </c>
      <c r="F1189" t="str">
        <f>IF(Table2[[#This Row],[Date posted]]&lt; DATE(2015,9,18),"Before Crisis","During Crisis")</f>
        <v>Before Crisis</v>
      </c>
      <c r="G1189" s="27">
        <f t="shared" si="108"/>
        <v>42241</v>
      </c>
      <c r="H1189" s="7" t="str">
        <f t="shared" si="109"/>
        <v>17:54:42</v>
      </c>
      <c r="I1189" s="8" t="str">
        <f t="shared" si="110"/>
        <v>Afternoon</v>
      </c>
      <c r="J1189" t="s">
        <v>5365</v>
      </c>
      <c r="K1189" t="s">
        <v>2370</v>
      </c>
      <c r="L1189">
        <v>1</v>
      </c>
      <c r="M1189" s="3">
        <v>0</v>
      </c>
      <c r="N1189" s="3">
        <v>0</v>
      </c>
      <c r="O1189" s="4">
        <f t="shared" si="111"/>
        <v>1</v>
      </c>
      <c r="P1189" s="5" t="str">
        <f t="shared" si="112"/>
        <v>Low engagement</v>
      </c>
      <c r="Q1189" t="b">
        <v>0</v>
      </c>
      <c r="R1189" t="b">
        <v>0</v>
      </c>
      <c r="S1189" t="b">
        <v>0</v>
      </c>
      <c r="T1189" s="24" t="str">
        <f t="shared" si="113"/>
        <v>Text only</v>
      </c>
    </row>
    <row r="1190" spans="1:20" hidden="1" x14ac:dyDescent="0.2">
      <c r="A1190" t="s">
        <v>5334</v>
      </c>
      <c r="B1190" t="s">
        <v>2365</v>
      </c>
      <c r="C1190" t="s">
        <v>2366</v>
      </c>
      <c r="D1190" t="s">
        <v>5335</v>
      </c>
      <c r="E1190" t="s">
        <v>5336</v>
      </c>
      <c r="F1190" t="str">
        <f>IF(Table2[[#This Row],[Date posted]]&lt; DATE(2015,9,18),"Before Crisis","During Crisis")</f>
        <v>Before Crisis</v>
      </c>
      <c r="G1190" s="27">
        <f t="shared" si="108"/>
        <v>42242</v>
      </c>
      <c r="H1190" s="7" t="str">
        <f t="shared" si="109"/>
        <v>15:29:42</v>
      </c>
      <c r="I1190" s="8" t="str">
        <f t="shared" si="110"/>
        <v>Afternoon</v>
      </c>
      <c r="J1190" t="s">
        <v>5337</v>
      </c>
      <c r="K1190" t="s">
        <v>2370</v>
      </c>
      <c r="L1190" s="3">
        <v>0</v>
      </c>
      <c r="M1190" s="3">
        <v>0</v>
      </c>
      <c r="N1190" s="3">
        <v>0</v>
      </c>
      <c r="O1190" s="4">
        <f t="shared" si="111"/>
        <v>0</v>
      </c>
      <c r="P1190" s="5" t="str">
        <f t="shared" si="112"/>
        <v>No engagement</v>
      </c>
      <c r="Q1190" t="b">
        <v>0</v>
      </c>
      <c r="R1190" t="b">
        <v>0</v>
      </c>
      <c r="S1190" t="b">
        <v>0</v>
      </c>
      <c r="T1190" s="24" t="str">
        <f t="shared" si="113"/>
        <v>Text only</v>
      </c>
    </row>
    <row r="1191" spans="1:20" hidden="1" x14ac:dyDescent="0.2">
      <c r="A1191" t="s">
        <v>5324</v>
      </c>
      <c r="B1191" t="s">
        <v>2365</v>
      </c>
      <c r="C1191" t="s">
        <v>2366</v>
      </c>
      <c r="D1191" t="s">
        <v>5325</v>
      </c>
      <c r="E1191" t="s">
        <v>5326</v>
      </c>
      <c r="F1191" t="str">
        <f>IF(Table2[[#This Row],[Date posted]]&lt; DATE(2015,9,18),"Before Crisis","During Crisis")</f>
        <v>Before Crisis</v>
      </c>
      <c r="G1191" s="27">
        <f t="shared" si="108"/>
        <v>42242</v>
      </c>
      <c r="H1191" s="7" t="str">
        <f t="shared" si="109"/>
        <v>20:45:42</v>
      </c>
      <c r="I1191" s="8" t="str">
        <f t="shared" si="110"/>
        <v>Evening</v>
      </c>
      <c r="J1191" t="s">
        <v>5327</v>
      </c>
      <c r="K1191" t="s">
        <v>2370</v>
      </c>
      <c r="L1191" s="3">
        <v>0</v>
      </c>
      <c r="M1191" s="3">
        <v>0</v>
      </c>
      <c r="N1191" s="3">
        <v>0</v>
      </c>
      <c r="O1191" s="4">
        <f t="shared" si="111"/>
        <v>0</v>
      </c>
      <c r="P1191" s="5" t="str">
        <f t="shared" si="112"/>
        <v>No engagement</v>
      </c>
      <c r="Q1191" t="b">
        <v>0</v>
      </c>
      <c r="R1191" t="b">
        <v>0</v>
      </c>
      <c r="S1191" t="b">
        <v>0</v>
      </c>
      <c r="T1191" s="24" t="str">
        <f t="shared" si="113"/>
        <v>Text only</v>
      </c>
    </row>
    <row r="1192" spans="1:20" hidden="1" x14ac:dyDescent="0.2">
      <c r="A1192" t="s">
        <v>5317</v>
      </c>
      <c r="B1192" t="s">
        <v>2365</v>
      </c>
      <c r="C1192" t="s">
        <v>2366</v>
      </c>
      <c r="D1192" t="s">
        <v>5318</v>
      </c>
      <c r="E1192" t="s">
        <v>5319</v>
      </c>
      <c r="F1192" t="str">
        <f>IF(Table2[[#This Row],[Date posted]]&lt; DATE(2015,9,18),"Before Crisis","During Crisis")</f>
        <v>Before Crisis</v>
      </c>
      <c r="G1192" s="27">
        <f t="shared" si="108"/>
        <v>42243</v>
      </c>
      <c r="H1192" s="7" t="str">
        <f t="shared" si="109"/>
        <v>21:20:47</v>
      </c>
      <c r="I1192" s="8" t="str">
        <f t="shared" si="110"/>
        <v>Evening</v>
      </c>
      <c r="J1192" t="s">
        <v>5320</v>
      </c>
      <c r="K1192" t="s">
        <v>2370</v>
      </c>
      <c r="L1192">
        <v>1</v>
      </c>
      <c r="M1192" s="3">
        <v>0</v>
      </c>
      <c r="N1192" s="3">
        <v>0</v>
      </c>
      <c r="O1192" s="4">
        <f t="shared" si="111"/>
        <v>1</v>
      </c>
      <c r="P1192" s="5" t="str">
        <f t="shared" si="112"/>
        <v>Low engagement</v>
      </c>
      <c r="Q1192" t="b">
        <v>0</v>
      </c>
      <c r="R1192" t="b">
        <v>0</v>
      </c>
      <c r="S1192" t="b">
        <v>0</v>
      </c>
      <c r="T1192" s="24" t="str">
        <f t="shared" si="113"/>
        <v>Text only</v>
      </c>
    </row>
    <row r="1193" spans="1:20" hidden="1" x14ac:dyDescent="0.2">
      <c r="A1193" t="s">
        <v>5313</v>
      </c>
      <c r="B1193" t="s">
        <v>2365</v>
      </c>
      <c r="C1193" t="s">
        <v>2366</v>
      </c>
      <c r="D1193" t="s">
        <v>5314</v>
      </c>
      <c r="E1193" t="s">
        <v>5315</v>
      </c>
      <c r="F1193" t="str">
        <f>IF(Table2[[#This Row],[Date posted]]&lt; DATE(2015,9,18),"Before Crisis","During Crisis")</f>
        <v>Before Crisis</v>
      </c>
      <c r="G1193" s="27">
        <f t="shared" si="108"/>
        <v>42243</v>
      </c>
      <c r="H1193" s="7" t="str">
        <f t="shared" si="109"/>
        <v>22:04:03</v>
      </c>
      <c r="I1193" s="8" t="str">
        <f t="shared" si="110"/>
        <v>Evening</v>
      </c>
      <c r="J1193" t="s">
        <v>5316</v>
      </c>
      <c r="K1193" t="s">
        <v>2370</v>
      </c>
      <c r="L1193" s="3">
        <v>0</v>
      </c>
      <c r="M1193" s="3">
        <v>0</v>
      </c>
      <c r="N1193" s="3">
        <v>0</v>
      </c>
      <c r="O1193" s="4">
        <f t="shared" si="111"/>
        <v>0</v>
      </c>
      <c r="P1193" s="5" t="str">
        <f t="shared" si="112"/>
        <v>No engagement</v>
      </c>
      <c r="Q1193" t="b">
        <v>0</v>
      </c>
      <c r="R1193" t="b">
        <v>0</v>
      </c>
      <c r="S1193" t="b">
        <v>0</v>
      </c>
      <c r="T1193" s="24" t="str">
        <f t="shared" si="113"/>
        <v>Text only</v>
      </c>
    </row>
    <row r="1194" spans="1:20" hidden="1" x14ac:dyDescent="0.2">
      <c r="A1194" t="s">
        <v>5310</v>
      </c>
      <c r="B1194" t="s">
        <v>2365</v>
      </c>
      <c r="C1194" t="s">
        <v>2366</v>
      </c>
      <c r="D1194" t="s">
        <v>5311</v>
      </c>
      <c r="E1194" t="s">
        <v>5312</v>
      </c>
      <c r="F1194" t="str">
        <f>IF(Table2[[#This Row],[Date posted]]&lt; DATE(2015,9,18),"Before Crisis","During Crisis")</f>
        <v>Before Crisis</v>
      </c>
      <c r="G1194" s="27">
        <f t="shared" si="108"/>
        <v>42243</v>
      </c>
      <c r="H1194" s="7" t="str">
        <f t="shared" si="109"/>
        <v>22:04:04</v>
      </c>
      <c r="I1194" s="8" t="str">
        <f t="shared" si="110"/>
        <v>Evening</v>
      </c>
      <c r="J1194" t="s">
        <v>2370</v>
      </c>
      <c r="K1194" t="s">
        <v>2370</v>
      </c>
      <c r="L1194" s="3">
        <v>0</v>
      </c>
      <c r="M1194" s="3">
        <v>0</v>
      </c>
      <c r="N1194" s="3">
        <v>0</v>
      </c>
      <c r="O1194" s="4">
        <f t="shared" si="111"/>
        <v>0</v>
      </c>
      <c r="P1194" s="5" t="str">
        <f t="shared" si="112"/>
        <v>No engagement</v>
      </c>
      <c r="Q1194" t="b">
        <v>0</v>
      </c>
      <c r="R1194" t="b">
        <v>0</v>
      </c>
      <c r="S1194" t="b">
        <v>0</v>
      </c>
      <c r="T1194" s="24" t="str">
        <f t="shared" si="113"/>
        <v>Text only</v>
      </c>
    </row>
    <row r="1195" spans="1:20" hidden="1" x14ac:dyDescent="0.2">
      <c r="A1195" t="s">
        <v>5304</v>
      </c>
      <c r="B1195" t="s">
        <v>2365</v>
      </c>
      <c r="C1195" t="s">
        <v>2366</v>
      </c>
      <c r="D1195" t="s">
        <v>5305</v>
      </c>
      <c r="E1195" t="s">
        <v>5306</v>
      </c>
      <c r="F1195" t="str">
        <f>IF(Table2[[#This Row],[Date posted]]&lt; DATE(2015,9,18),"Before Crisis","During Crisis")</f>
        <v>Before Crisis</v>
      </c>
      <c r="G1195" s="27">
        <f t="shared" si="108"/>
        <v>42243</v>
      </c>
      <c r="H1195" s="7" t="str">
        <f t="shared" si="109"/>
        <v>23:04:38</v>
      </c>
      <c r="I1195" s="8" t="str">
        <f t="shared" si="110"/>
        <v>Evening</v>
      </c>
      <c r="J1195" t="s">
        <v>5307</v>
      </c>
      <c r="K1195" t="s">
        <v>2370</v>
      </c>
      <c r="L1195" s="3">
        <v>0</v>
      </c>
      <c r="M1195">
        <v>1</v>
      </c>
      <c r="N1195" s="3">
        <v>0</v>
      </c>
      <c r="O1195" s="4">
        <f t="shared" si="111"/>
        <v>1</v>
      </c>
      <c r="P1195" s="5" t="str">
        <f t="shared" si="112"/>
        <v>Low engagement</v>
      </c>
      <c r="Q1195" t="b">
        <v>0</v>
      </c>
      <c r="R1195" t="b">
        <v>0</v>
      </c>
      <c r="S1195" t="b">
        <v>1</v>
      </c>
      <c r="T1195" s="24" t="str">
        <f t="shared" si="113"/>
        <v>Link</v>
      </c>
    </row>
    <row r="1196" spans="1:20" hidden="1" x14ac:dyDescent="0.2">
      <c r="A1196" t="s">
        <v>5308</v>
      </c>
      <c r="B1196" t="s">
        <v>2365</v>
      </c>
      <c r="C1196" t="s">
        <v>2366</v>
      </c>
      <c r="D1196" t="s">
        <v>5309</v>
      </c>
      <c r="E1196" t="s">
        <v>5306</v>
      </c>
      <c r="F1196" t="str">
        <f>IF(Table2[[#This Row],[Date posted]]&lt; DATE(2015,9,18),"Before Crisis","During Crisis")</f>
        <v>Before Crisis</v>
      </c>
      <c r="G1196" s="27">
        <f t="shared" si="108"/>
        <v>42243</v>
      </c>
      <c r="H1196" s="7" t="str">
        <f t="shared" si="109"/>
        <v>23:04:38</v>
      </c>
      <c r="I1196" s="8" t="str">
        <f t="shared" si="110"/>
        <v>Evening</v>
      </c>
      <c r="J1196" t="s">
        <v>5307</v>
      </c>
      <c r="K1196" t="s">
        <v>2370</v>
      </c>
      <c r="L1196" s="3">
        <v>0</v>
      </c>
      <c r="M1196" s="3">
        <v>0</v>
      </c>
      <c r="N1196" s="3">
        <v>0</v>
      </c>
      <c r="O1196" s="4">
        <f t="shared" si="111"/>
        <v>0</v>
      </c>
      <c r="P1196" s="5" t="str">
        <f t="shared" si="112"/>
        <v>No engagement</v>
      </c>
      <c r="Q1196" t="b">
        <v>0</v>
      </c>
      <c r="R1196" t="b">
        <v>0</v>
      </c>
      <c r="S1196" t="b">
        <v>0</v>
      </c>
      <c r="T1196" s="24" t="str">
        <f t="shared" si="113"/>
        <v>Text only</v>
      </c>
    </row>
    <row r="1197" spans="1:20" hidden="1" x14ac:dyDescent="0.2">
      <c r="A1197" t="s">
        <v>5294</v>
      </c>
      <c r="B1197" t="s">
        <v>2365</v>
      </c>
      <c r="C1197" t="s">
        <v>2366</v>
      </c>
      <c r="D1197" t="s">
        <v>5295</v>
      </c>
      <c r="E1197" t="s">
        <v>5293</v>
      </c>
      <c r="F1197" t="str">
        <f>IF(Table2[[#This Row],[Date posted]]&lt; DATE(2015,9,18),"Before Crisis","During Crisis")</f>
        <v>Before Crisis</v>
      </c>
      <c r="G1197" s="27">
        <f t="shared" si="108"/>
        <v>42244</v>
      </c>
      <c r="H1197" s="7" t="str">
        <f t="shared" si="109"/>
        <v>12:09:10</v>
      </c>
      <c r="I1197" s="8" t="str">
        <f t="shared" si="110"/>
        <v>Mid-day</v>
      </c>
      <c r="J1197" t="s">
        <v>2370</v>
      </c>
      <c r="K1197" t="s">
        <v>2370</v>
      </c>
      <c r="L1197" s="3">
        <v>0</v>
      </c>
      <c r="M1197" s="3">
        <v>0</v>
      </c>
      <c r="N1197" s="3">
        <v>0</v>
      </c>
      <c r="O1197" s="4">
        <f t="shared" si="111"/>
        <v>0</v>
      </c>
      <c r="P1197" s="5" t="str">
        <f t="shared" si="112"/>
        <v>No engagement</v>
      </c>
      <c r="Q1197" t="b">
        <v>0</v>
      </c>
      <c r="R1197" t="b">
        <v>0</v>
      </c>
      <c r="S1197" t="b">
        <v>0</v>
      </c>
      <c r="T1197" s="24" t="str">
        <f t="shared" si="113"/>
        <v>Text only</v>
      </c>
    </row>
    <row r="1198" spans="1:20" hidden="1" x14ac:dyDescent="0.2">
      <c r="A1198" t="s">
        <v>5281</v>
      </c>
      <c r="B1198" t="s">
        <v>2365</v>
      </c>
      <c r="C1198" t="s">
        <v>2366</v>
      </c>
      <c r="D1198" t="s">
        <v>5282</v>
      </c>
      <c r="E1198" t="s">
        <v>5276</v>
      </c>
      <c r="F1198" t="str">
        <f>IF(Table2[[#This Row],[Date posted]]&lt; DATE(2015,9,18),"Before Crisis","During Crisis")</f>
        <v>Before Crisis</v>
      </c>
      <c r="G1198" s="27">
        <f t="shared" si="108"/>
        <v>42244</v>
      </c>
      <c r="H1198" s="7" t="str">
        <f t="shared" si="109"/>
        <v>19:18:12</v>
      </c>
      <c r="I1198" s="8" t="str">
        <f t="shared" si="110"/>
        <v>Evening</v>
      </c>
      <c r="J1198" t="s">
        <v>5280</v>
      </c>
      <c r="K1198" t="s">
        <v>2370</v>
      </c>
      <c r="L1198" s="3">
        <v>0</v>
      </c>
      <c r="M1198" s="3">
        <v>0</v>
      </c>
      <c r="N1198" s="3">
        <v>0</v>
      </c>
      <c r="O1198" s="4">
        <f t="shared" si="111"/>
        <v>0</v>
      </c>
      <c r="P1198" s="5" t="str">
        <f t="shared" si="112"/>
        <v>No engagement</v>
      </c>
      <c r="Q1198" t="b">
        <v>0</v>
      </c>
      <c r="R1198" t="b">
        <v>0</v>
      </c>
      <c r="S1198" t="b">
        <v>0</v>
      </c>
      <c r="T1198" s="24" t="str">
        <f t="shared" si="113"/>
        <v>Text only</v>
      </c>
    </row>
    <row r="1199" spans="1:20" hidden="1" x14ac:dyDescent="0.2">
      <c r="A1199" t="s">
        <v>5256</v>
      </c>
      <c r="B1199" t="s">
        <v>2365</v>
      </c>
      <c r="C1199" t="s">
        <v>2366</v>
      </c>
      <c r="D1199" t="s">
        <v>5257</v>
      </c>
      <c r="E1199" t="s">
        <v>5258</v>
      </c>
      <c r="F1199" t="str">
        <f>IF(Table2[[#This Row],[Date posted]]&lt; DATE(2015,9,18),"Before Crisis","During Crisis")</f>
        <v>Before Crisis</v>
      </c>
      <c r="G1199" s="27">
        <f t="shared" si="108"/>
        <v>42247</v>
      </c>
      <c r="H1199" s="7" t="str">
        <f t="shared" si="109"/>
        <v>18:04:41</v>
      </c>
      <c r="I1199" s="8" t="str">
        <f t="shared" si="110"/>
        <v>Evening</v>
      </c>
      <c r="J1199" t="s">
        <v>5259</v>
      </c>
      <c r="K1199" t="s">
        <v>2370</v>
      </c>
      <c r="L1199" s="3">
        <v>0</v>
      </c>
      <c r="M1199" s="3">
        <v>0</v>
      </c>
      <c r="N1199" s="3">
        <v>0</v>
      </c>
      <c r="O1199" s="4">
        <f t="shared" si="111"/>
        <v>0</v>
      </c>
      <c r="P1199" s="5" t="str">
        <f t="shared" si="112"/>
        <v>No engagement</v>
      </c>
      <c r="Q1199" t="b">
        <v>0</v>
      </c>
      <c r="R1199" t="b">
        <v>0</v>
      </c>
      <c r="S1199" t="b">
        <v>0</v>
      </c>
      <c r="T1199" s="24" t="str">
        <f t="shared" si="113"/>
        <v>Text only</v>
      </c>
    </row>
    <row r="1200" spans="1:20" hidden="1" x14ac:dyDescent="0.2">
      <c r="A1200" t="s">
        <v>5226</v>
      </c>
      <c r="B1200" t="s">
        <v>2365</v>
      </c>
      <c r="C1200" t="s">
        <v>2366</v>
      </c>
      <c r="D1200" t="s">
        <v>5227</v>
      </c>
      <c r="E1200" t="s">
        <v>5228</v>
      </c>
      <c r="F1200" t="str">
        <f>IF(Table2[[#This Row],[Date posted]]&lt; DATE(2015,9,18),"Before Crisis","During Crisis")</f>
        <v>Before Crisis</v>
      </c>
      <c r="G1200" s="27">
        <f t="shared" si="108"/>
        <v>42247</v>
      </c>
      <c r="H1200" s="7" t="str">
        <f t="shared" si="109"/>
        <v>22:46:52</v>
      </c>
      <c r="I1200" s="8" t="str">
        <f t="shared" si="110"/>
        <v>Evening</v>
      </c>
      <c r="J1200" t="s">
        <v>5195</v>
      </c>
      <c r="K1200" t="s">
        <v>2370</v>
      </c>
      <c r="L1200" s="3">
        <v>0</v>
      </c>
      <c r="M1200">
        <v>1</v>
      </c>
      <c r="N1200" s="3">
        <v>0</v>
      </c>
      <c r="O1200" s="4">
        <f t="shared" si="111"/>
        <v>1</v>
      </c>
      <c r="P1200" s="5" t="str">
        <f t="shared" si="112"/>
        <v>Low engagement</v>
      </c>
      <c r="Q1200" t="b">
        <v>0</v>
      </c>
      <c r="R1200" t="b">
        <v>0</v>
      </c>
      <c r="S1200" t="b">
        <v>0</v>
      </c>
      <c r="T1200" s="24" t="str">
        <f t="shared" si="113"/>
        <v>Text only</v>
      </c>
    </row>
    <row r="1201" spans="1:20" hidden="1" x14ac:dyDescent="0.2">
      <c r="A1201" t="s">
        <v>5232</v>
      </c>
      <c r="B1201" t="s">
        <v>2365</v>
      </c>
      <c r="C1201" t="s">
        <v>2366</v>
      </c>
      <c r="D1201" t="s">
        <v>5233</v>
      </c>
      <c r="E1201" t="s">
        <v>5228</v>
      </c>
      <c r="F1201" t="str">
        <f>IF(Table2[[#This Row],[Date posted]]&lt; DATE(2015,9,18),"Before Crisis","During Crisis")</f>
        <v>Before Crisis</v>
      </c>
      <c r="G1201" s="27">
        <f t="shared" si="108"/>
        <v>42247</v>
      </c>
      <c r="H1201" s="7" t="str">
        <f t="shared" si="109"/>
        <v>22:46:52</v>
      </c>
      <c r="I1201" s="8" t="str">
        <f t="shared" si="110"/>
        <v>Evening</v>
      </c>
      <c r="J1201" t="s">
        <v>2370</v>
      </c>
      <c r="K1201" t="s">
        <v>2370</v>
      </c>
      <c r="L1201" s="3">
        <v>0</v>
      </c>
      <c r="M1201" s="3">
        <v>0</v>
      </c>
      <c r="N1201" s="3">
        <v>0</v>
      </c>
      <c r="O1201" s="4">
        <f t="shared" si="111"/>
        <v>0</v>
      </c>
      <c r="P1201" s="5" t="str">
        <f t="shared" si="112"/>
        <v>No engagement</v>
      </c>
      <c r="Q1201" t="b">
        <v>0</v>
      </c>
      <c r="R1201" t="b">
        <v>0</v>
      </c>
      <c r="S1201" t="b">
        <v>0</v>
      </c>
      <c r="T1201" s="24" t="str">
        <f t="shared" si="113"/>
        <v>Text only</v>
      </c>
    </row>
    <row r="1202" spans="1:20" hidden="1" x14ac:dyDescent="0.2">
      <c r="A1202" t="s">
        <v>5213</v>
      </c>
      <c r="B1202" t="s">
        <v>2365</v>
      </c>
      <c r="C1202" t="s">
        <v>2366</v>
      </c>
      <c r="D1202" t="s">
        <v>5214</v>
      </c>
      <c r="E1202" t="s">
        <v>5215</v>
      </c>
      <c r="F1202" t="str">
        <f>IF(Table2[[#This Row],[Date posted]]&lt; DATE(2015,9,18),"Before Crisis","During Crisis")</f>
        <v>Before Crisis</v>
      </c>
      <c r="G1202" s="27">
        <f t="shared" si="108"/>
        <v>42248</v>
      </c>
      <c r="H1202" s="7" t="str">
        <f t="shared" si="109"/>
        <v>16:12:41</v>
      </c>
      <c r="I1202" s="8" t="str">
        <f t="shared" si="110"/>
        <v>Afternoon</v>
      </c>
      <c r="J1202" t="s">
        <v>2370</v>
      </c>
      <c r="K1202" t="s">
        <v>2370</v>
      </c>
      <c r="L1202" s="3">
        <v>0</v>
      </c>
      <c r="M1202" s="3">
        <v>0</v>
      </c>
      <c r="N1202" s="3">
        <v>0</v>
      </c>
      <c r="O1202" s="4">
        <f t="shared" si="111"/>
        <v>0</v>
      </c>
      <c r="P1202" s="5" t="str">
        <f t="shared" si="112"/>
        <v>No engagement</v>
      </c>
      <c r="Q1202" t="b">
        <v>0</v>
      </c>
      <c r="R1202" t="b">
        <v>0</v>
      </c>
      <c r="S1202" t="b">
        <v>0</v>
      </c>
      <c r="T1202" s="24" t="str">
        <f t="shared" si="113"/>
        <v>Text only</v>
      </c>
    </row>
    <row r="1203" spans="1:20" hidden="1" x14ac:dyDescent="0.2">
      <c r="A1203" t="s">
        <v>5133</v>
      </c>
      <c r="B1203" t="s">
        <v>2365</v>
      </c>
      <c r="C1203" t="s">
        <v>2366</v>
      </c>
      <c r="D1203" t="s">
        <v>5134</v>
      </c>
      <c r="E1203" t="s">
        <v>5135</v>
      </c>
      <c r="F1203" t="str">
        <f>IF(Table2[[#This Row],[Date posted]]&lt; DATE(2015,9,18),"Before Crisis","During Crisis")</f>
        <v>Before Crisis</v>
      </c>
      <c r="G1203" s="27">
        <f t="shared" si="108"/>
        <v>42256</v>
      </c>
      <c r="H1203" s="7" t="str">
        <f t="shared" si="109"/>
        <v>12:20:57</v>
      </c>
      <c r="I1203" s="8" t="str">
        <f t="shared" si="110"/>
        <v>Mid-day</v>
      </c>
      <c r="J1203" t="s">
        <v>5136</v>
      </c>
      <c r="K1203" t="s">
        <v>2370</v>
      </c>
      <c r="L1203" s="3">
        <v>0</v>
      </c>
      <c r="M1203" s="3">
        <v>0</v>
      </c>
      <c r="N1203" s="3">
        <v>0</v>
      </c>
      <c r="O1203" s="4">
        <f t="shared" si="111"/>
        <v>0</v>
      </c>
      <c r="P1203" s="5" t="str">
        <f t="shared" si="112"/>
        <v>No engagement</v>
      </c>
      <c r="Q1203" t="b">
        <v>0</v>
      </c>
      <c r="R1203" t="b">
        <v>0</v>
      </c>
      <c r="S1203" t="b">
        <v>0</v>
      </c>
      <c r="T1203" s="24" t="str">
        <f t="shared" si="113"/>
        <v>Text only</v>
      </c>
    </row>
    <row r="1204" spans="1:20" hidden="1" x14ac:dyDescent="0.2">
      <c r="A1204" t="s">
        <v>5137</v>
      </c>
      <c r="B1204" t="s">
        <v>2365</v>
      </c>
      <c r="C1204" t="s">
        <v>2366</v>
      </c>
      <c r="D1204" t="s">
        <v>5138</v>
      </c>
      <c r="E1204" t="s">
        <v>5135</v>
      </c>
      <c r="F1204" t="str">
        <f>IF(Table2[[#This Row],[Date posted]]&lt; DATE(2015,9,18),"Before Crisis","During Crisis")</f>
        <v>Before Crisis</v>
      </c>
      <c r="G1204" s="27">
        <f t="shared" si="108"/>
        <v>42256</v>
      </c>
      <c r="H1204" s="7" t="str">
        <f t="shared" si="109"/>
        <v>12:20:57</v>
      </c>
      <c r="I1204" s="8" t="str">
        <f t="shared" si="110"/>
        <v>Mid-day</v>
      </c>
      <c r="J1204" t="s">
        <v>5139</v>
      </c>
      <c r="K1204" t="s">
        <v>2370</v>
      </c>
      <c r="L1204" s="3">
        <v>0</v>
      </c>
      <c r="M1204" s="3">
        <v>0</v>
      </c>
      <c r="N1204" s="3">
        <v>0</v>
      </c>
      <c r="O1204" s="4">
        <f t="shared" si="111"/>
        <v>0</v>
      </c>
      <c r="P1204" s="5" t="str">
        <f t="shared" si="112"/>
        <v>No engagement</v>
      </c>
      <c r="Q1204" t="b">
        <v>0</v>
      </c>
      <c r="R1204" t="b">
        <v>0</v>
      </c>
      <c r="S1204" t="b">
        <v>0</v>
      </c>
      <c r="T1204" s="24" t="str">
        <f t="shared" si="113"/>
        <v>Text only</v>
      </c>
    </row>
    <row r="1205" spans="1:20" hidden="1" x14ac:dyDescent="0.2">
      <c r="A1205" t="s">
        <v>5130</v>
      </c>
      <c r="B1205" t="s">
        <v>2365</v>
      </c>
      <c r="C1205" t="s">
        <v>2366</v>
      </c>
      <c r="D1205" t="s">
        <v>5131</v>
      </c>
      <c r="E1205" t="s">
        <v>5132</v>
      </c>
      <c r="F1205" t="str">
        <f>IF(Table2[[#This Row],[Date posted]]&lt; DATE(2015,9,18),"Before Crisis","During Crisis")</f>
        <v>Before Crisis</v>
      </c>
      <c r="G1205" s="27">
        <f t="shared" si="108"/>
        <v>42256</v>
      </c>
      <c r="H1205" s="7" t="str">
        <f t="shared" si="109"/>
        <v>12:20:58</v>
      </c>
      <c r="I1205" s="8" t="str">
        <f t="shared" si="110"/>
        <v>Mid-day</v>
      </c>
      <c r="J1205" t="s">
        <v>2370</v>
      </c>
      <c r="K1205" t="s">
        <v>2370</v>
      </c>
      <c r="L1205" s="3">
        <v>0</v>
      </c>
      <c r="M1205" s="3">
        <v>0</v>
      </c>
      <c r="N1205" s="3">
        <v>0</v>
      </c>
      <c r="O1205" s="4">
        <f t="shared" si="111"/>
        <v>0</v>
      </c>
      <c r="P1205" s="5" t="str">
        <f t="shared" si="112"/>
        <v>No engagement</v>
      </c>
      <c r="Q1205" t="b">
        <v>0</v>
      </c>
      <c r="R1205" t="b">
        <v>0</v>
      </c>
      <c r="S1205" t="b">
        <v>0</v>
      </c>
      <c r="T1205" s="24" t="str">
        <f t="shared" si="113"/>
        <v>Text only</v>
      </c>
    </row>
    <row r="1206" spans="1:20" hidden="1" x14ac:dyDescent="0.2">
      <c r="A1206" t="s">
        <v>5126</v>
      </c>
      <c r="B1206" t="s">
        <v>2365</v>
      </c>
      <c r="C1206" t="s">
        <v>2366</v>
      </c>
      <c r="D1206" t="s">
        <v>5127</v>
      </c>
      <c r="E1206" t="s">
        <v>5128</v>
      </c>
      <c r="F1206" t="str">
        <f>IF(Table2[[#This Row],[Date posted]]&lt; DATE(2015,9,18),"Before Crisis","During Crisis")</f>
        <v>Before Crisis</v>
      </c>
      <c r="G1206" s="27">
        <f t="shared" si="108"/>
        <v>42256</v>
      </c>
      <c r="H1206" s="7" t="str">
        <f t="shared" si="109"/>
        <v>12:45:55</v>
      </c>
      <c r="I1206" s="8" t="str">
        <f t="shared" si="110"/>
        <v>Mid-day</v>
      </c>
      <c r="J1206" t="s">
        <v>5129</v>
      </c>
      <c r="K1206" t="s">
        <v>2370</v>
      </c>
      <c r="L1206" s="3">
        <v>0</v>
      </c>
      <c r="M1206" s="3">
        <v>0</v>
      </c>
      <c r="N1206" s="3">
        <v>0</v>
      </c>
      <c r="O1206" s="4">
        <f t="shared" si="111"/>
        <v>0</v>
      </c>
      <c r="P1206" s="5" t="str">
        <f t="shared" si="112"/>
        <v>No engagement</v>
      </c>
      <c r="Q1206" t="b">
        <v>0</v>
      </c>
      <c r="R1206" t="b">
        <v>0</v>
      </c>
      <c r="S1206" t="b">
        <v>0</v>
      </c>
      <c r="T1206" s="24" t="str">
        <f t="shared" si="113"/>
        <v>Text only</v>
      </c>
    </row>
    <row r="1207" spans="1:20" hidden="1" x14ac:dyDescent="0.2">
      <c r="A1207" t="s">
        <v>5117</v>
      </c>
      <c r="B1207" t="s">
        <v>2365</v>
      </c>
      <c r="C1207" t="s">
        <v>2366</v>
      </c>
      <c r="D1207" t="s">
        <v>5118</v>
      </c>
      <c r="E1207" t="s">
        <v>5119</v>
      </c>
      <c r="F1207" t="str">
        <f>IF(Table2[[#This Row],[Date posted]]&lt; DATE(2015,9,18),"Before Crisis","During Crisis")</f>
        <v>Before Crisis</v>
      </c>
      <c r="G1207" s="27">
        <f t="shared" si="108"/>
        <v>42256</v>
      </c>
      <c r="H1207" s="7" t="str">
        <f t="shared" si="109"/>
        <v>12:45:56</v>
      </c>
      <c r="I1207" s="8" t="str">
        <f t="shared" si="110"/>
        <v>Mid-day</v>
      </c>
      <c r="J1207" t="s">
        <v>5120</v>
      </c>
      <c r="K1207" t="s">
        <v>2370</v>
      </c>
      <c r="L1207">
        <v>1</v>
      </c>
      <c r="M1207" s="3">
        <v>0</v>
      </c>
      <c r="N1207" s="3">
        <v>0</v>
      </c>
      <c r="O1207" s="4">
        <f t="shared" si="111"/>
        <v>1</v>
      </c>
      <c r="P1207" s="5" t="str">
        <f t="shared" si="112"/>
        <v>Low engagement</v>
      </c>
      <c r="Q1207" t="b">
        <v>0</v>
      </c>
      <c r="R1207" t="b">
        <v>0</v>
      </c>
      <c r="S1207" t="b">
        <v>0</v>
      </c>
      <c r="T1207" s="24" t="str">
        <f t="shared" si="113"/>
        <v>Text only</v>
      </c>
    </row>
    <row r="1208" spans="1:20" hidden="1" x14ac:dyDescent="0.2">
      <c r="A1208" t="s">
        <v>5121</v>
      </c>
      <c r="B1208" t="s">
        <v>2365</v>
      </c>
      <c r="C1208" t="s">
        <v>2366</v>
      </c>
      <c r="D1208" t="s">
        <v>5122</v>
      </c>
      <c r="E1208" t="s">
        <v>5119</v>
      </c>
      <c r="F1208" t="str">
        <f>IF(Table2[[#This Row],[Date posted]]&lt; DATE(2015,9,18),"Before Crisis","During Crisis")</f>
        <v>Before Crisis</v>
      </c>
      <c r="G1208" s="27">
        <f t="shared" si="108"/>
        <v>42256</v>
      </c>
      <c r="H1208" s="7" t="str">
        <f t="shared" si="109"/>
        <v>12:45:56</v>
      </c>
      <c r="I1208" s="8" t="str">
        <f t="shared" si="110"/>
        <v>Mid-day</v>
      </c>
      <c r="J1208" t="s">
        <v>5123</v>
      </c>
      <c r="K1208" t="s">
        <v>2370</v>
      </c>
      <c r="L1208">
        <v>1</v>
      </c>
      <c r="M1208" s="3">
        <v>0</v>
      </c>
      <c r="N1208" s="3">
        <v>0</v>
      </c>
      <c r="O1208" s="4">
        <f t="shared" si="111"/>
        <v>1</v>
      </c>
      <c r="P1208" s="5" t="str">
        <f t="shared" si="112"/>
        <v>Low engagement</v>
      </c>
      <c r="Q1208" t="b">
        <v>0</v>
      </c>
      <c r="R1208" t="b">
        <v>0</v>
      </c>
      <c r="S1208" t="b">
        <v>1</v>
      </c>
      <c r="T1208" s="24" t="str">
        <f t="shared" si="113"/>
        <v>Link</v>
      </c>
    </row>
    <row r="1209" spans="1:20" hidden="1" x14ac:dyDescent="0.2">
      <c r="A1209" t="s">
        <v>5124</v>
      </c>
      <c r="B1209" t="s">
        <v>2365</v>
      </c>
      <c r="C1209" t="s">
        <v>2366</v>
      </c>
      <c r="D1209" t="s">
        <v>5125</v>
      </c>
      <c r="E1209" t="s">
        <v>5119</v>
      </c>
      <c r="F1209" t="str">
        <f>IF(Table2[[#This Row],[Date posted]]&lt; DATE(2015,9,18),"Before Crisis","During Crisis")</f>
        <v>Before Crisis</v>
      </c>
      <c r="G1209" s="27">
        <f t="shared" si="108"/>
        <v>42256</v>
      </c>
      <c r="H1209" s="7" t="str">
        <f t="shared" si="109"/>
        <v>12:45:56</v>
      </c>
      <c r="I1209" s="8" t="str">
        <f t="shared" si="110"/>
        <v>Mid-day</v>
      </c>
      <c r="J1209" t="s">
        <v>2370</v>
      </c>
      <c r="K1209" t="s">
        <v>2370</v>
      </c>
      <c r="L1209">
        <v>1</v>
      </c>
      <c r="M1209" s="3">
        <v>0</v>
      </c>
      <c r="N1209" s="3">
        <v>0</v>
      </c>
      <c r="O1209" s="4">
        <f t="shared" si="111"/>
        <v>1</v>
      </c>
      <c r="P1209" s="5" t="str">
        <f t="shared" si="112"/>
        <v>Low engagement</v>
      </c>
      <c r="Q1209" t="b">
        <v>0</v>
      </c>
      <c r="R1209" t="b">
        <v>0</v>
      </c>
      <c r="S1209" t="b">
        <v>0</v>
      </c>
      <c r="T1209" s="24" t="str">
        <f t="shared" si="113"/>
        <v>Text only</v>
      </c>
    </row>
    <row r="1210" spans="1:20" hidden="1" x14ac:dyDescent="0.2">
      <c r="A1210" t="s">
        <v>5111</v>
      </c>
      <c r="B1210" t="s">
        <v>2365</v>
      </c>
      <c r="C1210" t="s">
        <v>2366</v>
      </c>
      <c r="D1210" t="s">
        <v>5112</v>
      </c>
      <c r="E1210" t="s">
        <v>5113</v>
      </c>
      <c r="F1210" t="str">
        <f>IF(Table2[[#This Row],[Date posted]]&lt; DATE(2015,9,18),"Before Crisis","During Crisis")</f>
        <v>Before Crisis</v>
      </c>
      <c r="G1210" s="27">
        <f t="shared" si="108"/>
        <v>42256</v>
      </c>
      <c r="H1210" s="7" t="str">
        <f t="shared" si="109"/>
        <v>12:45:57</v>
      </c>
      <c r="I1210" s="8" t="str">
        <f t="shared" si="110"/>
        <v>Mid-day</v>
      </c>
      <c r="J1210" t="s">
        <v>5114</v>
      </c>
      <c r="K1210" t="s">
        <v>2370</v>
      </c>
      <c r="L1210">
        <v>1</v>
      </c>
      <c r="M1210" s="3">
        <v>0</v>
      </c>
      <c r="N1210" s="3">
        <v>0</v>
      </c>
      <c r="O1210" s="4">
        <f t="shared" si="111"/>
        <v>1</v>
      </c>
      <c r="P1210" s="5" t="str">
        <f t="shared" si="112"/>
        <v>Low engagement</v>
      </c>
      <c r="Q1210" t="b">
        <v>0</v>
      </c>
      <c r="R1210" t="b">
        <v>0</v>
      </c>
      <c r="S1210" t="b">
        <v>1</v>
      </c>
      <c r="T1210" s="24" t="str">
        <f t="shared" si="113"/>
        <v>Link</v>
      </c>
    </row>
    <row r="1211" spans="1:20" hidden="1" x14ac:dyDescent="0.2">
      <c r="A1211" t="s">
        <v>5115</v>
      </c>
      <c r="B1211" t="s">
        <v>2365</v>
      </c>
      <c r="C1211" t="s">
        <v>2366</v>
      </c>
      <c r="D1211" t="s">
        <v>5116</v>
      </c>
      <c r="E1211" t="s">
        <v>5113</v>
      </c>
      <c r="F1211" t="str">
        <f>IF(Table2[[#This Row],[Date posted]]&lt; DATE(2015,9,18),"Before Crisis","During Crisis")</f>
        <v>Before Crisis</v>
      </c>
      <c r="G1211" s="27">
        <f t="shared" si="108"/>
        <v>42256</v>
      </c>
      <c r="H1211" s="7" t="str">
        <f t="shared" si="109"/>
        <v>12:45:57</v>
      </c>
      <c r="I1211" s="8" t="str">
        <f t="shared" si="110"/>
        <v>Mid-day</v>
      </c>
      <c r="J1211" t="s">
        <v>2370</v>
      </c>
      <c r="K1211" t="s">
        <v>2370</v>
      </c>
      <c r="L1211">
        <v>1</v>
      </c>
      <c r="M1211">
        <v>1</v>
      </c>
      <c r="N1211" s="3">
        <v>0</v>
      </c>
      <c r="O1211" s="4">
        <f t="shared" si="111"/>
        <v>2</v>
      </c>
      <c r="P1211" s="5" t="str">
        <f t="shared" si="112"/>
        <v>Low engagement</v>
      </c>
      <c r="Q1211" t="b">
        <v>0</v>
      </c>
      <c r="R1211" t="b">
        <v>0</v>
      </c>
      <c r="S1211" t="b">
        <v>0</v>
      </c>
      <c r="T1211" s="24" t="str">
        <f t="shared" si="113"/>
        <v>Text only</v>
      </c>
    </row>
    <row r="1212" spans="1:20" hidden="1" x14ac:dyDescent="0.2">
      <c r="A1212" t="s">
        <v>5105</v>
      </c>
      <c r="B1212" t="s">
        <v>2365</v>
      </c>
      <c r="C1212" t="s">
        <v>2366</v>
      </c>
      <c r="D1212" t="s">
        <v>5106</v>
      </c>
      <c r="E1212" t="s">
        <v>5107</v>
      </c>
      <c r="F1212" t="str">
        <f>IF(Table2[[#This Row],[Date posted]]&lt; DATE(2015,9,18),"Before Crisis","During Crisis")</f>
        <v>Before Crisis</v>
      </c>
      <c r="G1212" s="27">
        <f t="shared" si="108"/>
        <v>42256</v>
      </c>
      <c r="H1212" s="7" t="str">
        <f t="shared" si="109"/>
        <v>12:45:58</v>
      </c>
      <c r="I1212" s="8" t="str">
        <f t="shared" si="110"/>
        <v>Mid-day</v>
      </c>
      <c r="J1212" t="s">
        <v>2370</v>
      </c>
      <c r="K1212" t="s">
        <v>2370</v>
      </c>
      <c r="L1212">
        <v>1</v>
      </c>
      <c r="M1212">
        <v>1</v>
      </c>
      <c r="N1212" s="3">
        <v>0</v>
      </c>
      <c r="O1212" s="4">
        <f t="shared" si="111"/>
        <v>2</v>
      </c>
      <c r="P1212" s="5" t="str">
        <f t="shared" si="112"/>
        <v>Low engagement</v>
      </c>
      <c r="Q1212" t="b">
        <v>0</v>
      </c>
      <c r="R1212" t="b">
        <v>0</v>
      </c>
      <c r="S1212" t="b">
        <v>0</v>
      </c>
      <c r="T1212" s="24" t="str">
        <f t="shared" si="113"/>
        <v>Text only</v>
      </c>
    </row>
    <row r="1213" spans="1:20" hidden="1" x14ac:dyDescent="0.2">
      <c r="A1213" t="s">
        <v>5108</v>
      </c>
      <c r="B1213" t="s">
        <v>2365</v>
      </c>
      <c r="C1213" t="s">
        <v>2366</v>
      </c>
      <c r="D1213" t="s">
        <v>5109</v>
      </c>
      <c r="E1213" t="s">
        <v>5107</v>
      </c>
      <c r="F1213" t="str">
        <f>IF(Table2[[#This Row],[Date posted]]&lt; DATE(2015,9,18),"Before Crisis","During Crisis")</f>
        <v>Before Crisis</v>
      </c>
      <c r="G1213" s="27">
        <f t="shared" si="108"/>
        <v>42256</v>
      </c>
      <c r="H1213" s="7" t="str">
        <f t="shared" si="109"/>
        <v>12:45:58</v>
      </c>
      <c r="I1213" s="8" t="str">
        <f t="shared" si="110"/>
        <v>Mid-day</v>
      </c>
      <c r="J1213" t="s">
        <v>5110</v>
      </c>
      <c r="K1213" t="s">
        <v>2370</v>
      </c>
      <c r="L1213">
        <v>1</v>
      </c>
      <c r="M1213" s="3">
        <v>0</v>
      </c>
      <c r="N1213" s="3">
        <v>0</v>
      </c>
      <c r="O1213" s="4">
        <f t="shared" si="111"/>
        <v>1</v>
      </c>
      <c r="P1213" s="5" t="str">
        <f t="shared" si="112"/>
        <v>Low engagement</v>
      </c>
      <c r="Q1213" t="b">
        <v>0</v>
      </c>
      <c r="R1213" t="b">
        <v>0</v>
      </c>
      <c r="S1213" t="b">
        <v>0</v>
      </c>
      <c r="T1213" s="24" t="str">
        <f t="shared" si="113"/>
        <v>Text only</v>
      </c>
    </row>
    <row r="1214" spans="1:20" hidden="1" x14ac:dyDescent="0.2">
      <c r="A1214" t="s">
        <v>5098</v>
      </c>
      <c r="B1214" t="s">
        <v>2365</v>
      </c>
      <c r="C1214" t="s">
        <v>2366</v>
      </c>
      <c r="D1214" t="s">
        <v>5099</v>
      </c>
      <c r="E1214" t="s">
        <v>5100</v>
      </c>
      <c r="F1214" t="str">
        <f>IF(Table2[[#This Row],[Date posted]]&lt; DATE(2015,9,18),"Before Crisis","During Crisis")</f>
        <v>Before Crisis</v>
      </c>
      <c r="G1214" s="27">
        <f t="shared" si="108"/>
        <v>42256</v>
      </c>
      <c r="H1214" s="7" t="str">
        <f t="shared" si="109"/>
        <v>15:19:55</v>
      </c>
      <c r="I1214" s="8" t="str">
        <f t="shared" si="110"/>
        <v>Afternoon</v>
      </c>
      <c r="J1214" t="s">
        <v>2370</v>
      </c>
      <c r="K1214" t="s">
        <v>2370</v>
      </c>
      <c r="L1214">
        <v>1</v>
      </c>
      <c r="M1214" s="3">
        <v>0</v>
      </c>
      <c r="N1214" s="3">
        <v>0</v>
      </c>
      <c r="O1214" s="4">
        <f t="shared" si="111"/>
        <v>1</v>
      </c>
      <c r="P1214" s="5" t="str">
        <f t="shared" si="112"/>
        <v>Low engagement</v>
      </c>
      <c r="Q1214" t="b">
        <v>0</v>
      </c>
      <c r="R1214" t="b">
        <v>0</v>
      </c>
      <c r="S1214" t="b">
        <v>0</v>
      </c>
      <c r="T1214" s="24" t="str">
        <f t="shared" si="113"/>
        <v>Text only</v>
      </c>
    </row>
    <row r="1215" spans="1:20" hidden="1" x14ac:dyDescent="0.2">
      <c r="A1215" t="s">
        <v>5090</v>
      </c>
      <c r="B1215" t="s">
        <v>2365</v>
      </c>
      <c r="C1215" t="s">
        <v>2366</v>
      </c>
      <c r="D1215" t="s">
        <v>5091</v>
      </c>
      <c r="E1215" t="s">
        <v>5092</v>
      </c>
      <c r="F1215" t="str">
        <f>IF(Table2[[#This Row],[Date posted]]&lt; DATE(2015,9,18),"Before Crisis","During Crisis")</f>
        <v>Before Crisis</v>
      </c>
      <c r="G1215" s="27">
        <f t="shared" si="108"/>
        <v>42256</v>
      </c>
      <c r="H1215" s="7" t="str">
        <f t="shared" si="109"/>
        <v>16:26:57</v>
      </c>
      <c r="I1215" s="8" t="str">
        <f t="shared" si="110"/>
        <v>Afternoon</v>
      </c>
      <c r="J1215" t="s">
        <v>5093</v>
      </c>
      <c r="K1215" t="s">
        <v>2370</v>
      </c>
      <c r="L1215">
        <v>1</v>
      </c>
      <c r="M1215" s="3">
        <v>0</v>
      </c>
      <c r="N1215" s="3">
        <v>0</v>
      </c>
      <c r="O1215" s="4">
        <f t="shared" si="111"/>
        <v>1</v>
      </c>
      <c r="P1215" s="5" t="str">
        <f t="shared" si="112"/>
        <v>Low engagement</v>
      </c>
      <c r="Q1215" t="b">
        <v>0</v>
      </c>
      <c r="R1215" t="b">
        <v>0</v>
      </c>
      <c r="S1215" t="b">
        <v>0</v>
      </c>
      <c r="T1215" s="24" t="str">
        <f t="shared" si="113"/>
        <v>Text only</v>
      </c>
    </row>
    <row r="1216" spans="1:20" hidden="1" x14ac:dyDescent="0.2">
      <c r="A1216" t="s">
        <v>5087</v>
      </c>
      <c r="B1216" t="s">
        <v>2365</v>
      </c>
      <c r="C1216" t="s">
        <v>2366</v>
      </c>
      <c r="D1216" t="s">
        <v>5088</v>
      </c>
      <c r="E1216" t="s">
        <v>5089</v>
      </c>
      <c r="F1216" t="str">
        <f>IF(Table2[[#This Row],[Date posted]]&lt; DATE(2015,9,18),"Before Crisis","During Crisis")</f>
        <v>Before Crisis</v>
      </c>
      <c r="G1216" s="27">
        <f t="shared" si="108"/>
        <v>42256</v>
      </c>
      <c r="H1216" s="7" t="str">
        <f t="shared" si="109"/>
        <v>16:29:51</v>
      </c>
      <c r="I1216" s="8" t="str">
        <f t="shared" si="110"/>
        <v>Afternoon</v>
      </c>
      <c r="J1216" t="s">
        <v>2370</v>
      </c>
      <c r="K1216" t="s">
        <v>2370</v>
      </c>
      <c r="L1216">
        <v>1</v>
      </c>
      <c r="M1216">
        <v>1</v>
      </c>
      <c r="N1216" s="3">
        <v>0</v>
      </c>
      <c r="O1216" s="4">
        <f t="shared" si="111"/>
        <v>2</v>
      </c>
      <c r="P1216" s="5" t="str">
        <f t="shared" si="112"/>
        <v>Low engagement</v>
      </c>
      <c r="Q1216" t="b">
        <v>0</v>
      </c>
      <c r="R1216" t="b">
        <v>0</v>
      </c>
      <c r="S1216" t="b">
        <v>1</v>
      </c>
      <c r="T1216" s="24" t="str">
        <f t="shared" si="113"/>
        <v>Link</v>
      </c>
    </row>
    <row r="1217" spans="1:20" hidden="1" x14ac:dyDescent="0.2">
      <c r="A1217" t="s">
        <v>5084</v>
      </c>
      <c r="B1217" t="s">
        <v>2365</v>
      </c>
      <c r="C1217" t="s">
        <v>2366</v>
      </c>
      <c r="D1217" t="s">
        <v>5085</v>
      </c>
      <c r="E1217" t="s">
        <v>5086</v>
      </c>
      <c r="F1217" t="str">
        <f>IF(Table2[[#This Row],[Date posted]]&lt; DATE(2015,9,18),"Before Crisis","During Crisis")</f>
        <v>Before Crisis</v>
      </c>
      <c r="G1217" s="27">
        <f t="shared" si="108"/>
        <v>42256</v>
      </c>
      <c r="H1217" s="7" t="str">
        <f t="shared" si="109"/>
        <v>16:30:46</v>
      </c>
      <c r="I1217" s="8" t="str">
        <f t="shared" si="110"/>
        <v>Afternoon</v>
      </c>
      <c r="J1217" t="s">
        <v>2662</v>
      </c>
      <c r="K1217" t="s">
        <v>2370</v>
      </c>
      <c r="L1217">
        <v>2</v>
      </c>
      <c r="M1217" s="3">
        <v>0</v>
      </c>
      <c r="N1217" s="3">
        <v>0</v>
      </c>
      <c r="O1217" s="4">
        <f t="shared" si="111"/>
        <v>2</v>
      </c>
      <c r="P1217" s="5" t="str">
        <f t="shared" si="112"/>
        <v>Low engagement</v>
      </c>
      <c r="Q1217" t="b">
        <v>0</v>
      </c>
      <c r="R1217" t="b">
        <v>0</v>
      </c>
      <c r="S1217" t="b">
        <v>0</v>
      </c>
      <c r="T1217" s="24" t="str">
        <f t="shared" si="113"/>
        <v>Text only</v>
      </c>
    </row>
    <row r="1218" spans="1:20" hidden="1" x14ac:dyDescent="0.2">
      <c r="A1218" t="s">
        <v>5070</v>
      </c>
      <c r="B1218" t="s">
        <v>2365</v>
      </c>
      <c r="C1218" t="s">
        <v>2366</v>
      </c>
      <c r="D1218" t="s">
        <v>5071</v>
      </c>
      <c r="E1218" t="s">
        <v>5072</v>
      </c>
      <c r="F1218" t="str">
        <f>IF(Table2[[#This Row],[Date posted]]&lt; DATE(2015,9,18),"Before Crisis","During Crisis")</f>
        <v>Before Crisis</v>
      </c>
      <c r="G1218" s="27">
        <f t="shared" ref="G1218:G1281" si="114">DATEVALUE(LEFT(E1218,10))</f>
        <v>42257</v>
      </c>
      <c r="H1218" s="7" t="str">
        <f t="shared" ref="H1218:H1281" si="115">MID(E1218,12,8)</f>
        <v>18:40:32</v>
      </c>
      <c r="I1218" s="8" t="str">
        <f t="shared" ref="I1218:I1281" si="116">IF(HOUR(H1218)&lt;7,"Early morning",
IF(HOUR(H1218)&lt;11,"Morning",
IF(HOUR(H1218)&lt;14,"Mid-day",
IF(HOUR(H1218)&lt;18,"Afternoon","Evening"))))</f>
        <v>Evening</v>
      </c>
      <c r="J1218" t="s">
        <v>2370</v>
      </c>
      <c r="K1218" t="s">
        <v>2370</v>
      </c>
      <c r="L1218" s="3">
        <v>0</v>
      </c>
      <c r="M1218" s="3">
        <v>0</v>
      </c>
      <c r="N1218" s="3">
        <v>0</v>
      </c>
      <c r="O1218" s="4">
        <f t="shared" ref="O1218:O1281" si="117">L1218+M1218+N1218</f>
        <v>0</v>
      </c>
      <c r="P1218" s="5" t="str">
        <f t="shared" ref="P1218:P1281" si="118">IF(O1218&lt;1,"No engagement", IF(O1218&lt;5,"Low engagement", IF(O1218&lt;10,"Moderate engagement", "High engagement")))</f>
        <v>No engagement</v>
      </c>
      <c r="Q1218" t="b">
        <v>0</v>
      </c>
      <c r="R1218" t="b">
        <v>0</v>
      </c>
      <c r="S1218" t="b">
        <v>0</v>
      </c>
      <c r="T1218" s="24" t="str">
        <f t="shared" ref="T1218:T1281" si="119">IF(Q1218=TRUE,"Photo",
    IF(R1218=TRUE,"Video",
        IF(S1218=TRUE,"Link","Text only")))</f>
        <v>Text only</v>
      </c>
    </row>
    <row r="1219" spans="1:20" hidden="1" x14ac:dyDescent="0.2">
      <c r="A1219" t="s">
        <v>5066</v>
      </c>
      <c r="B1219" t="s">
        <v>2365</v>
      </c>
      <c r="C1219" t="s">
        <v>2366</v>
      </c>
      <c r="D1219" t="s">
        <v>5067</v>
      </c>
      <c r="E1219" t="s">
        <v>5068</v>
      </c>
      <c r="F1219" t="str">
        <f>IF(Table2[[#This Row],[Date posted]]&lt; DATE(2015,9,18),"Before Crisis","During Crisis")</f>
        <v>Before Crisis</v>
      </c>
      <c r="G1219" s="27">
        <f t="shared" si="114"/>
        <v>42257</v>
      </c>
      <c r="H1219" s="7" t="str">
        <f t="shared" si="115"/>
        <v>18:57:43</v>
      </c>
      <c r="I1219" s="8" t="str">
        <f t="shared" si="116"/>
        <v>Evening</v>
      </c>
      <c r="J1219" t="s">
        <v>5069</v>
      </c>
      <c r="K1219" t="s">
        <v>2370</v>
      </c>
      <c r="L1219" s="3">
        <v>0</v>
      </c>
      <c r="M1219" s="3">
        <v>0</v>
      </c>
      <c r="N1219" s="3">
        <v>0</v>
      </c>
      <c r="O1219" s="4">
        <f t="shared" si="117"/>
        <v>0</v>
      </c>
      <c r="P1219" s="5" t="str">
        <f t="shared" si="118"/>
        <v>No engagement</v>
      </c>
      <c r="Q1219" t="b">
        <v>0</v>
      </c>
      <c r="R1219" t="b">
        <v>0</v>
      </c>
      <c r="S1219" t="b">
        <v>0</v>
      </c>
      <c r="T1219" s="24" t="str">
        <f t="shared" si="119"/>
        <v>Text only</v>
      </c>
    </row>
    <row r="1220" spans="1:20" hidden="1" x14ac:dyDescent="0.2">
      <c r="A1220" t="s">
        <v>5063</v>
      </c>
      <c r="B1220" t="s">
        <v>2365</v>
      </c>
      <c r="C1220" t="s">
        <v>2366</v>
      </c>
      <c r="D1220" t="s">
        <v>5064</v>
      </c>
      <c r="E1220" t="s">
        <v>5065</v>
      </c>
      <c r="F1220" t="str">
        <f>IF(Table2[[#This Row],[Date posted]]&lt; DATE(2015,9,18),"Before Crisis","During Crisis")</f>
        <v>Before Crisis</v>
      </c>
      <c r="G1220" s="27">
        <f t="shared" si="114"/>
        <v>42257</v>
      </c>
      <c r="H1220" s="7" t="str">
        <f t="shared" si="115"/>
        <v>18:57:44</v>
      </c>
      <c r="I1220" s="8" t="str">
        <f t="shared" si="116"/>
        <v>Evening</v>
      </c>
      <c r="J1220" t="s">
        <v>5062</v>
      </c>
      <c r="K1220" t="s">
        <v>2370</v>
      </c>
      <c r="L1220" s="3">
        <v>0</v>
      </c>
      <c r="M1220">
        <v>1</v>
      </c>
      <c r="N1220" s="3">
        <v>0</v>
      </c>
      <c r="O1220" s="4">
        <f t="shared" si="117"/>
        <v>1</v>
      </c>
      <c r="P1220" s="5" t="str">
        <f t="shared" si="118"/>
        <v>Low engagement</v>
      </c>
      <c r="Q1220" t="b">
        <v>0</v>
      </c>
      <c r="R1220" t="b">
        <v>0</v>
      </c>
      <c r="S1220" t="b">
        <v>0</v>
      </c>
      <c r="T1220" s="24" t="str">
        <f t="shared" si="119"/>
        <v>Text only</v>
      </c>
    </row>
    <row r="1221" spans="1:20" hidden="1" x14ac:dyDescent="0.2">
      <c r="A1221" t="s">
        <v>5059</v>
      </c>
      <c r="B1221" t="s">
        <v>2365</v>
      </c>
      <c r="C1221" t="s">
        <v>2366</v>
      </c>
      <c r="D1221" t="s">
        <v>5060</v>
      </c>
      <c r="E1221" t="s">
        <v>5061</v>
      </c>
      <c r="F1221" t="str">
        <f>IF(Table2[[#This Row],[Date posted]]&lt; DATE(2015,9,18),"Before Crisis","During Crisis")</f>
        <v>Before Crisis</v>
      </c>
      <c r="G1221" s="27">
        <f t="shared" si="114"/>
        <v>42257</v>
      </c>
      <c r="H1221" s="7" t="str">
        <f t="shared" si="115"/>
        <v>19:05:57</v>
      </c>
      <c r="I1221" s="8" t="str">
        <f t="shared" si="116"/>
        <v>Evening</v>
      </c>
      <c r="J1221" t="s">
        <v>5062</v>
      </c>
      <c r="K1221" t="s">
        <v>2370</v>
      </c>
      <c r="L1221" s="3">
        <v>0</v>
      </c>
      <c r="M1221" s="3">
        <v>0</v>
      </c>
      <c r="N1221" s="3">
        <v>0</v>
      </c>
      <c r="O1221" s="4">
        <f t="shared" si="117"/>
        <v>0</v>
      </c>
      <c r="P1221" s="5" t="str">
        <f t="shared" si="118"/>
        <v>No engagement</v>
      </c>
      <c r="Q1221" t="b">
        <v>0</v>
      </c>
      <c r="R1221" t="b">
        <v>0</v>
      </c>
      <c r="S1221" t="b">
        <v>1</v>
      </c>
      <c r="T1221" s="24" t="str">
        <f t="shared" si="119"/>
        <v>Link</v>
      </c>
    </row>
    <row r="1222" spans="1:20" hidden="1" x14ac:dyDescent="0.2">
      <c r="A1222" t="s">
        <v>5056</v>
      </c>
      <c r="B1222" t="s">
        <v>2365</v>
      </c>
      <c r="C1222" t="s">
        <v>2366</v>
      </c>
      <c r="D1222" t="s">
        <v>5057</v>
      </c>
      <c r="E1222" t="s">
        <v>5058</v>
      </c>
      <c r="F1222" t="str">
        <f>IF(Table2[[#This Row],[Date posted]]&lt; DATE(2015,9,18),"Before Crisis","During Crisis")</f>
        <v>Before Crisis</v>
      </c>
      <c r="G1222" s="27">
        <f t="shared" si="114"/>
        <v>42257</v>
      </c>
      <c r="H1222" s="7" t="str">
        <f t="shared" si="115"/>
        <v>19:14:42</v>
      </c>
      <c r="I1222" s="8" t="str">
        <f t="shared" si="116"/>
        <v>Evening</v>
      </c>
      <c r="J1222" t="s">
        <v>5055</v>
      </c>
      <c r="K1222" t="s">
        <v>2370</v>
      </c>
      <c r="L1222" s="3">
        <v>0</v>
      </c>
      <c r="M1222" s="3">
        <v>0</v>
      </c>
      <c r="N1222" s="3">
        <v>0</v>
      </c>
      <c r="O1222" s="4">
        <f t="shared" si="117"/>
        <v>0</v>
      </c>
      <c r="P1222" s="5" t="str">
        <f t="shared" si="118"/>
        <v>No engagement</v>
      </c>
      <c r="Q1222" t="b">
        <v>0</v>
      </c>
      <c r="R1222" t="b">
        <v>0</v>
      </c>
      <c r="S1222" t="b">
        <v>0</v>
      </c>
      <c r="T1222" s="24" t="str">
        <f t="shared" si="119"/>
        <v>Text only</v>
      </c>
    </row>
    <row r="1223" spans="1:20" hidden="1" x14ac:dyDescent="0.2">
      <c r="A1223" t="s">
        <v>5052</v>
      </c>
      <c r="B1223" t="s">
        <v>2365</v>
      </c>
      <c r="C1223" t="s">
        <v>2366</v>
      </c>
      <c r="D1223" t="s">
        <v>5053</v>
      </c>
      <c r="E1223" t="s">
        <v>5054</v>
      </c>
      <c r="F1223" t="str">
        <f>IF(Table2[[#This Row],[Date posted]]&lt; DATE(2015,9,18),"Before Crisis","During Crisis")</f>
        <v>Before Crisis</v>
      </c>
      <c r="G1223" s="27">
        <f t="shared" si="114"/>
        <v>42257</v>
      </c>
      <c r="H1223" s="7" t="str">
        <f t="shared" si="115"/>
        <v>19:14:43</v>
      </c>
      <c r="I1223" s="8" t="str">
        <f t="shared" si="116"/>
        <v>Evening</v>
      </c>
      <c r="J1223" t="s">
        <v>5055</v>
      </c>
      <c r="K1223" t="s">
        <v>2370</v>
      </c>
      <c r="L1223" s="3">
        <v>0</v>
      </c>
      <c r="M1223" s="3">
        <v>0</v>
      </c>
      <c r="N1223" s="3">
        <v>0</v>
      </c>
      <c r="O1223" s="4">
        <f t="shared" si="117"/>
        <v>0</v>
      </c>
      <c r="P1223" s="5" t="str">
        <f t="shared" si="118"/>
        <v>No engagement</v>
      </c>
      <c r="Q1223" t="b">
        <v>0</v>
      </c>
      <c r="R1223" t="b">
        <v>0</v>
      </c>
      <c r="S1223" t="b">
        <v>1</v>
      </c>
      <c r="T1223" s="24" t="str">
        <f t="shared" si="119"/>
        <v>Link</v>
      </c>
    </row>
    <row r="1224" spans="1:20" x14ac:dyDescent="0.2">
      <c r="A1224" t="s">
        <v>5011</v>
      </c>
      <c r="B1224" t="s">
        <v>2365</v>
      </c>
      <c r="C1224" t="s">
        <v>2366</v>
      </c>
      <c r="D1224" t="s">
        <v>5012</v>
      </c>
      <c r="E1224" t="s">
        <v>5013</v>
      </c>
      <c r="F1224" t="str">
        <f>IF(Table2[[#This Row],[Date posted]]&lt; DATE(2015,9,18),"Before Crisis","During Crisis")</f>
        <v>Before Crisis</v>
      </c>
      <c r="G1224" s="27">
        <f t="shared" si="114"/>
        <v>42258</v>
      </c>
      <c r="H1224" s="7" t="str">
        <f t="shared" si="115"/>
        <v>00:54:00</v>
      </c>
      <c r="I1224" s="8" t="str">
        <f t="shared" si="116"/>
        <v>Early morning</v>
      </c>
      <c r="J1224" t="s">
        <v>5014</v>
      </c>
      <c r="K1224" t="s">
        <v>2370</v>
      </c>
      <c r="L1224" s="3">
        <v>0</v>
      </c>
      <c r="M1224" s="3">
        <v>0</v>
      </c>
      <c r="N1224" s="3">
        <v>0</v>
      </c>
      <c r="O1224" s="4">
        <f t="shared" si="117"/>
        <v>0</v>
      </c>
      <c r="P1224" s="5" t="str">
        <f t="shared" si="118"/>
        <v>No engagement</v>
      </c>
      <c r="Q1224" t="b">
        <v>0</v>
      </c>
      <c r="R1224" t="b">
        <v>0</v>
      </c>
      <c r="S1224" t="b">
        <v>0</v>
      </c>
      <c r="T1224" s="24" t="str">
        <f t="shared" si="119"/>
        <v>Text only</v>
      </c>
    </row>
    <row r="1225" spans="1:20" hidden="1" x14ac:dyDescent="0.2">
      <c r="A1225" t="s">
        <v>4968</v>
      </c>
      <c r="B1225" t="s">
        <v>2365</v>
      </c>
      <c r="C1225" t="s">
        <v>2366</v>
      </c>
      <c r="D1225" t="s">
        <v>4969</v>
      </c>
      <c r="E1225" t="s">
        <v>4970</v>
      </c>
      <c r="F1225" t="str">
        <f>IF(Table2[[#This Row],[Date posted]]&lt; DATE(2015,9,18),"Before Crisis","During Crisis")</f>
        <v>Before Crisis</v>
      </c>
      <c r="G1225" s="27">
        <f t="shared" si="114"/>
        <v>42260</v>
      </c>
      <c r="H1225" s="7" t="str">
        <f t="shared" si="115"/>
        <v>18:53:53</v>
      </c>
      <c r="I1225" s="8" t="str">
        <f t="shared" si="116"/>
        <v>Evening</v>
      </c>
      <c r="J1225" t="s">
        <v>4971</v>
      </c>
      <c r="K1225" t="s">
        <v>2370</v>
      </c>
      <c r="L1225" s="3">
        <v>0</v>
      </c>
      <c r="M1225" s="3">
        <v>0</v>
      </c>
      <c r="N1225" s="3">
        <v>0</v>
      </c>
      <c r="O1225" s="4">
        <f t="shared" si="117"/>
        <v>0</v>
      </c>
      <c r="P1225" s="5" t="str">
        <f t="shared" si="118"/>
        <v>No engagement</v>
      </c>
      <c r="Q1225" t="b">
        <v>0</v>
      </c>
      <c r="R1225" t="b">
        <v>0</v>
      </c>
      <c r="S1225" t="b">
        <v>1</v>
      </c>
      <c r="T1225" s="24" t="str">
        <f t="shared" si="119"/>
        <v>Link</v>
      </c>
    </row>
    <row r="1226" spans="1:20" hidden="1" x14ac:dyDescent="0.2">
      <c r="A1226" t="s">
        <v>4960</v>
      </c>
      <c r="B1226" t="s">
        <v>2365</v>
      </c>
      <c r="C1226" t="s">
        <v>2366</v>
      </c>
      <c r="D1226" t="s">
        <v>4961</v>
      </c>
      <c r="E1226" t="s">
        <v>4962</v>
      </c>
      <c r="F1226" t="str">
        <f>IF(Table2[[#This Row],[Date posted]]&lt; DATE(2015,9,18),"Before Crisis","During Crisis")</f>
        <v>Before Crisis</v>
      </c>
      <c r="G1226" s="27">
        <f t="shared" si="114"/>
        <v>42260</v>
      </c>
      <c r="H1226" s="7" t="str">
        <f t="shared" si="115"/>
        <v>19:02:16</v>
      </c>
      <c r="I1226" s="8" t="str">
        <f t="shared" si="116"/>
        <v>Evening</v>
      </c>
      <c r="J1226" t="s">
        <v>2370</v>
      </c>
      <c r="K1226" t="s">
        <v>2370</v>
      </c>
      <c r="L1226" s="3">
        <v>0</v>
      </c>
      <c r="M1226" s="3">
        <v>0</v>
      </c>
      <c r="N1226" s="3">
        <v>0</v>
      </c>
      <c r="O1226" s="4">
        <f t="shared" si="117"/>
        <v>0</v>
      </c>
      <c r="P1226" s="5" t="str">
        <f t="shared" si="118"/>
        <v>No engagement</v>
      </c>
      <c r="Q1226" t="b">
        <v>0</v>
      </c>
      <c r="R1226" t="b">
        <v>0</v>
      </c>
      <c r="S1226" t="b">
        <v>0</v>
      </c>
      <c r="T1226" s="24" t="str">
        <f t="shared" si="119"/>
        <v>Text only</v>
      </c>
    </row>
    <row r="1227" spans="1:20" hidden="1" x14ac:dyDescent="0.2">
      <c r="A1227" t="s">
        <v>4963</v>
      </c>
      <c r="B1227" t="s">
        <v>2365</v>
      </c>
      <c r="C1227" t="s">
        <v>2366</v>
      </c>
      <c r="D1227" t="s">
        <v>4964</v>
      </c>
      <c r="E1227" t="s">
        <v>4962</v>
      </c>
      <c r="F1227" t="str">
        <f>IF(Table2[[#This Row],[Date posted]]&lt; DATE(2015,9,18),"Before Crisis","During Crisis")</f>
        <v>Before Crisis</v>
      </c>
      <c r="G1227" s="27">
        <f t="shared" si="114"/>
        <v>42260</v>
      </c>
      <c r="H1227" s="7" t="str">
        <f t="shared" si="115"/>
        <v>19:02:16</v>
      </c>
      <c r="I1227" s="8" t="str">
        <f t="shared" si="116"/>
        <v>Evening</v>
      </c>
      <c r="J1227" t="s">
        <v>2370</v>
      </c>
      <c r="K1227" t="s">
        <v>2370</v>
      </c>
      <c r="L1227" s="3">
        <v>0</v>
      </c>
      <c r="M1227" s="3">
        <v>0</v>
      </c>
      <c r="N1227" s="3">
        <v>0</v>
      </c>
      <c r="O1227" s="4">
        <f t="shared" si="117"/>
        <v>0</v>
      </c>
      <c r="P1227" s="5" t="str">
        <f t="shared" si="118"/>
        <v>No engagement</v>
      </c>
      <c r="Q1227" t="b">
        <v>0</v>
      </c>
      <c r="R1227" t="b">
        <v>0</v>
      </c>
      <c r="S1227" t="b">
        <v>0</v>
      </c>
      <c r="T1227" s="24" t="str">
        <f t="shared" si="119"/>
        <v>Text only</v>
      </c>
    </row>
    <row r="1228" spans="1:20" hidden="1" x14ac:dyDescent="0.2">
      <c r="A1228" t="s">
        <v>4965</v>
      </c>
      <c r="B1228" t="s">
        <v>2365</v>
      </c>
      <c r="C1228" t="s">
        <v>2366</v>
      </c>
      <c r="D1228" t="s">
        <v>4966</v>
      </c>
      <c r="E1228" t="s">
        <v>4962</v>
      </c>
      <c r="F1228" t="str">
        <f>IF(Table2[[#This Row],[Date posted]]&lt; DATE(2015,9,18),"Before Crisis","During Crisis")</f>
        <v>Before Crisis</v>
      </c>
      <c r="G1228" s="27">
        <f t="shared" si="114"/>
        <v>42260</v>
      </c>
      <c r="H1228" s="7" t="str">
        <f t="shared" si="115"/>
        <v>19:02:16</v>
      </c>
      <c r="I1228" s="8" t="str">
        <f t="shared" si="116"/>
        <v>Evening</v>
      </c>
      <c r="J1228" t="s">
        <v>4967</v>
      </c>
      <c r="K1228" t="s">
        <v>2370</v>
      </c>
      <c r="L1228" s="3">
        <v>0</v>
      </c>
      <c r="M1228" s="3">
        <v>0</v>
      </c>
      <c r="N1228" s="3">
        <v>0</v>
      </c>
      <c r="O1228" s="4">
        <f t="shared" si="117"/>
        <v>0</v>
      </c>
      <c r="P1228" s="5" t="str">
        <f t="shared" si="118"/>
        <v>No engagement</v>
      </c>
      <c r="Q1228" t="b">
        <v>0</v>
      </c>
      <c r="R1228" t="b">
        <v>0</v>
      </c>
      <c r="S1228" t="b">
        <v>1</v>
      </c>
      <c r="T1228" s="24" t="str">
        <f t="shared" si="119"/>
        <v>Link</v>
      </c>
    </row>
    <row r="1229" spans="1:20" hidden="1" x14ac:dyDescent="0.2">
      <c r="A1229" t="s">
        <v>4950</v>
      </c>
      <c r="B1229" t="s">
        <v>2365</v>
      </c>
      <c r="C1229" t="s">
        <v>2366</v>
      </c>
      <c r="D1229" t="s">
        <v>4951</v>
      </c>
      <c r="E1229" t="s">
        <v>4952</v>
      </c>
      <c r="F1229" t="str">
        <f>IF(Table2[[#This Row],[Date posted]]&lt; DATE(2015,9,18),"Before Crisis","During Crisis")</f>
        <v>Before Crisis</v>
      </c>
      <c r="G1229" s="27">
        <f t="shared" si="114"/>
        <v>42260</v>
      </c>
      <c r="H1229" s="7" t="str">
        <f t="shared" si="115"/>
        <v>19:02:17</v>
      </c>
      <c r="I1229" s="8" t="str">
        <f t="shared" si="116"/>
        <v>Evening</v>
      </c>
      <c r="J1229" t="s">
        <v>4953</v>
      </c>
      <c r="K1229" t="s">
        <v>2370</v>
      </c>
      <c r="L1229" s="3">
        <v>0</v>
      </c>
      <c r="M1229" s="3">
        <v>0</v>
      </c>
      <c r="N1229" s="3">
        <v>0</v>
      </c>
      <c r="O1229" s="4">
        <f t="shared" si="117"/>
        <v>0</v>
      </c>
      <c r="P1229" s="5" t="str">
        <f t="shared" si="118"/>
        <v>No engagement</v>
      </c>
      <c r="Q1229" t="b">
        <v>0</v>
      </c>
      <c r="R1229" t="b">
        <v>0</v>
      </c>
      <c r="S1229" t="b">
        <v>0</v>
      </c>
      <c r="T1229" s="24" t="str">
        <f t="shared" si="119"/>
        <v>Text only</v>
      </c>
    </row>
    <row r="1230" spans="1:20" hidden="1" x14ac:dyDescent="0.2">
      <c r="A1230" t="s">
        <v>4954</v>
      </c>
      <c r="B1230" t="s">
        <v>2365</v>
      </c>
      <c r="C1230" t="s">
        <v>2366</v>
      </c>
      <c r="D1230" t="s">
        <v>4955</v>
      </c>
      <c r="E1230" t="s">
        <v>4952</v>
      </c>
      <c r="F1230" t="str">
        <f>IF(Table2[[#This Row],[Date posted]]&lt; DATE(2015,9,18),"Before Crisis","During Crisis")</f>
        <v>Before Crisis</v>
      </c>
      <c r="G1230" s="27">
        <f t="shared" si="114"/>
        <v>42260</v>
      </c>
      <c r="H1230" s="7" t="str">
        <f t="shared" si="115"/>
        <v>19:02:17</v>
      </c>
      <c r="I1230" s="8" t="str">
        <f t="shared" si="116"/>
        <v>Evening</v>
      </c>
      <c r="J1230" t="s">
        <v>4956</v>
      </c>
      <c r="K1230" t="s">
        <v>2370</v>
      </c>
      <c r="L1230" s="3">
        <v>0</v>
      </c>
      <c r="M1230">
        <v>1</v>
      </c>
      <c r="N1230" s="3">
        <v>0</v>
      </c>
      <c r="O1230" s="4">
        <f t="shared" si="117"/>
        <v>1</v>
      </c>
      <c r="P1230" s="5" t="str">
        <f t="shared" si="118"/>
        <v>Low engagement</v>
      </c>
      <c r="Q1230" t="b">
        <v>0</v>
      </c>
      <c r="R1230" t="b">
        <v>0</v>
      </c>
      <c r="S1230" t="b">
        <v>0</v>
      </c>
      <c r="T1230" s="24" t="str">
        <f t="shared" si="119"/>
        <v>Text only</v>
      </c>
    </row>
    <row r="1231" spans="1:20" hidden="1" x14ac:dyDescent="0.2">
      <c r="A1231" t="s">
        <v>4957</v>
      </c>
      <c r="B1231" t="s">
        <v>2365</v>
      </c>
      <c r="C1231" t="s">
        <v>2366</v>
      </c>
      <c r="D1231" t="s">
        <v>4958</v>
      </c>
      <c r="E1231" t="s">
        <v>4952</v>
      </c>
      <c r="F1231" t="str">
        <f>IF(Table2[[#This Row],[Date posted]]&lt; DATE(2015,9,18),"Before Crisis","During Crisis")</f>
        <v>Before Crisis</v>
      </c>
      <c r="G1231" s="27">
        <f t="shared" si="114"/>
        <v>42260</v>
      </c>
      <c r="H1231" s="7" t="str">
        <f t="shared" si="115"/>
        <v>19:02:17</v>
      </c>
      <c r="I1231" s="8" t="str">
        <f t="shared" si="116"/>
        <v>Evening</v>
      </c>
      <c r="J1231" t="s">
        <v>4959</v>
      </c>
      <c r="K1231" t="s">
        <v>2370</v>
      </c>
      <c r="L1231" s="3">
        <v>0</v>
      </c>
      <c r="M1231" s="3">
        <v>0</v>
      </c>
      <c r="N1231" s="3">
        <v>0</v>
      </c>
      <c r="O1231" s="4">
        <f t="shared" si="117"/>
        <v>0</v>
      </c>
      <c r="P1231" s="5" t="str">
        <f t="shared" si="118"/>
        <v>No engagement</v>
      </c>
      <c r="Q1231" t="b">
        <v>0</v>
      </c>
      <c r="R1231" t="b">
        <v>0</v>
      </c>
      <c r="S1231" t="b">
        <v>0</v>
      </c>
      <c r="T1231" s="24" t="str">
        <f t="shared" si="119"/>
        <v>Text only</v>
      </c>
    </row>
    <row r="1232" spans="1:20" hidden="1" x14ac:dyDescent="0.2">
      <c r="A1232" t="s">
        <v>4942</v>
      </c>
      <c r="B1232" t="s">
        <v>2365</v>
      </c>
      <c r="C1232" t="s">
        <v>2366</v>
      </c>
      <c r="D1232" t="s">
        <v>4943</v>
      </c>
      <c r="E1232" t="s">
        <v>4944</v>
      </c>
      <c r="F1232" t="str">
        <f>IF(Table2[[#This Row],[Date posted]]&lt; DATE(2015,9,18),"Before Crisis","During Crisis")</f>
        <v>Before Crisis</v>
      </c>
      <c r="G1232" s="27">
        <f t="shared" si="114"/>
        <v>42260</v>
      </c>
      <c r="H1232" s="7" t="str">
        <f t="shared" si="115"/>
        <v>19:02:18</v>
      </c>
      <c r="I1232" s="8" t="str">
        <f t="shared" si="116"/>
        <v>Evening</v>
      </c>
      <c r="J1232" t="s">
        <v>4945</v>
      </c>
      <c r="K1232" t="s">
        <v>2370</v>
      </c>
      <c r="L1232" s="3">
        <v>0</v>
      </c>
      <c r="M1232" s="3">
        <v>0</v>
      </c>
      <c r="N1232" s="3">
        <v>0</v>
      </c>
      <c r="O1232" s="4">
        <f t="shared" si="117"/>
        <v>0</v>
      </c>
      <c r="P1232" s="5" t="str">
        <f t="shared" si="118"/>
        <v>No engagement</v>
      </c>
      <c r="Q1232" t="b">
        <v>0</v>
      </c>
      <c r="R1232" t="b">
        <v>0</v>
      </c>
      <c r="S1232" t="b">
        <v>1</v>
      </c>
      <c r="T1232" s="24" t="str">
        <f t="shared" si="119"/>
        <v>Link</v>
      </c>
    </row>
    <row r="1233" spans="1:20" hidden="1" x14ac:dyDescent="0.2">
      <c r="A1233" t="s">
        <v>4946</v>
      </c>
      <c r="B1233" t="s">
        <v>2365</v>
      </c>
      <c r="C1233" t="s">
        <v>2366</v>
      </c>
      <c r="D1233" t="s">
        <v>4947</v>
      </c>
      <c r="E1233" t="s">
        <v>4944</v>
      </c>
      <c r="F1233" t="str">
        <f>IF(Table2[[#This Row],[Date posted]]&lt; DATE(2015,9,18),"Before Crisis","During Crisis")</f>
        <v>Before Crisis</v>
      </c>
      <c r="G1233" s="27">
        <f t="shared" si="114"/>
        <v>42260</v>
      </c>
      <c r="H1233" s="7" t="str">
        <f t="shared" si="115"/>
        <v>19:02:18</v>
      </c>
      <c r="I1233" s="8" t="str">
        <f t="shared" si="116"/>
        <v>Evening</v>
      </c>
      <c r="J1233" t="s">
        <v>2370</v>
      </c>
      <c r="K1233" t="s">
        <v>2370</v>
      </c>
      <c r="L1233" s="3">
        <v>0</v>
      </c>
      <c r="M1233" s="3">
        <v>0</v>
      </c>
      <c r="N1233" s="3">
        <v>0</v>
      </c>
      <c r="O1233" s="4">
        <f t="shared" si="117"/>
        <v>0</v>
      </c>
      <c r="P1233" s="5" t="str">
        <f t="shared" si="118"/>
        <v>No engagement</v>
      </c>
      <c r="Q1233" t="b">
        <v>0</v>
      </c>
      <c r="R1233" t="b">
        <v>0</v>
      </c>
      <c r="S1233" t="b">
        <v>0</v>
      </c>
      <c r="T1233" s="24" t="str">
        <f t="shared" si="119"/>
        <v>Text only</v>
      </c>
    </row>
    <row r="1234" spans="1:20" hidden="1" x14ac:dyDescent="0.2">
      <c r="A1234" t="s">
        <v>4948</v>
      </c>
      <c r="B1234" t="s">
        <v>2365</v>
      </c>
      <c r="C1234" t="s">
        <v>2366</v>
      </c>
      <c r="D1234" t="s">
        <v>4949</v>
      </c>
      <c r="E1234" t="s">
        <v>4944</v>
      </c>
      <c r="F1234" t="str">
        <f>IF(Table2[[#This Row],[Date posted]]&lt; DATE(2015,9,18),"Before Crisis","During Crisis")</f>
        <v>Before Crisis</v>
      </c>
      <c r="G1234" s="27">
        <f t="shared" si="114"/>
        <v>42260</v>
      </c>
      <c r="H1234" s="7" t="str">
        <f t="shared" si="115"/>
        <v>19:02:18</v>
      </c>
      <c r="I1234" s="8" t="str">
        <f t="shared" si="116"/>
        <v>Evening</v>
      </c>
      <c r="J1234" t="s">
        <v>2370</v>
      </c>
      <c r="K1234" t="s">
        <v>2370</v>
      </c>
      <c r="L1234" s="3">
        <v>0</v>
      </c>
      <c r="M1234" s="3">
        <v>0</v>
      </c>
      <c r="N1234" s="3">
        <v>0</v>
      </c>
      <c r="O1234" s="4">
        <f t="shared" si="117"/>
        <v>0</v>
      </c>
      <c r="P1234" s="5" t="str">
        <f t="shared" si="118"/>
        <v>No engagement</v>
      </c>
      <c r="Q1234" t="b">
        <v>0</v>
      </c>
      <c r="R1234" t="b">
        <v>0</v>
      </c>
      <c r="S1234" t="b">
        <v>0</v>
      </c>
      <c r="T1234" s="24" t="str">
        <f t="shared" si="119"/>
        <v>Text only</v>
      </c>
    </row>
    <row r="1235" spans="1:20" hidden="1" x14ac:dyDescent="0.2">
      <c r="A1235" t="s">
        <v>4938</v>
      </c>
      <c r="B1235" t="s">
        <v>2365</v>
      </c>
      <c r="C1235" t="s">
        <v>2366</v>
      </c>
      <c r="D1235" t="s">
        <v>4939</v>
      </c>
      <c r="E1235" t="s">
        <v>4940</v>
      </c>
      <c r="F1235" t="str">
        <f>IF(Table2[[#This Row],[Date posted]]&lt; DATE(2015,9,18),"Before Crisis","During Crisis")</f>
        <v>Before Crisis</v>
      </c>
      <c r="G1235" s="27">
        <f t="shared" si="114"/>
        <v>42260</v>
      </c>
      <c r="H1235" s="7" t="str">
        <f t="shared" si="115"/>
        <v>19:10:44</v>
      </c>
      <c r="I1235" s="8" t="str">
        <f t="shared" si="116"/>
        <v>Evening</v>
      </c>
      <c r="J1235" t="s">
        <v>4941</v>
      </c>
      <c r="K1235" t="s">
        <v>2370</v>
      </c>
      <c r="L1235" s="3">
        <v>0</v>
      </c>
      <c r="M1235" s="3">
        <v>0</v>
      </c>
      <c r="N1235" s="3">
        <v>0</v>
      </c>
      <c r="O1235" s="4">
        <f t="shared" si="117"/>
        <v>0</v>
      </c>
      <c r="P1235" s="5" t="str">
        <f t="shared" si="118"/>
        <v>No engagement</v>
      </c>
      <c r="Q1235" t="b">
        <v>0</v>
      </c>
      <c r="R1235" t="b">
        <v>0</v>
      </c>
      <c r="S1235" t="b">
        <v>1</v>
      </c>
      <c r="T1235" s="24" t="str">
        <f t="shared" si="119"/>
        <v>Link</v>
      </c>
    </row>
    <row r="1236" spans="1:20" hidden="1" x14ac:dyDescent="0.2">
      <c r="A1236" t="s">
        <v>4935</v>
      </c>
      <c r="B1236" t="s">
        <v>2365</v>
      </c>
      <c r="C1236" t="s">
        <v>2366</v>
      </c>
      <c r="D1236" t="s">
        <v>4936</v>
      </c>
      <c r="E1236" t="s">
        <v>4937</v>
      </c>
      <c r="F1236" t="str">
        <f>IF(Table2[[#This Row],[Date posted]]&lt; DATE(2015,9,18),"Before Crisis","During Crisis")</f>
        <v>Before Crisis</v>
      </c>
      <c r="G1236" s="27">
        <f t="shared" si="114"/>
        <v>42260</v>
      </c>
      <c r="H1236" s="7" t="str">
        <f t="shared" si="115"/>
        <v>19:10:45</v>
      </c>
      <c r="I1236" s="8" t="str">
        <f t="shared" si="116"/>
        <v>Evening</v>
      </c>
      <c r="J1236" t="s">
        <v>2370</v>
      </c>
      <c r="K1236" t="s">
        <v>2370</v>
      </c>
      <c r="L1236" s="3">
        <v>0</v>
      </c>
      <c r="M1236" s="3">
        <v>0</v>
      </c>
      <c r="N1236" s="3">
        <v>0</v>
      </c>
      <c r="O1236" s="4">
        <f t="shared" si="117"/>
        <v>0</v>
      </c>
      <c r="P1236" s="5" t="str">
        <f t="shared" si="118"/>
        <v>No engagement</v>
      </c>
      <c r="Q1236" t="b">
        <v>0</v>
      </c>
      <c r="R1236" t="b">
        <v>0</v>
      </c>
      <c r="S1236" t="b">
        <v>0</v>
      </c>
      <c r="T1236" s="24" t="str">
        <f t="shared" si="119"/>
        <v>Text only</v>
      </c>
    </row>
    <row r="1237" spans="1:20" hidden="1" x14ac:dyDescent="0.2">
      <c r="A1237" t="s">
        <v>4931</v>
      </c>
      <c r="B1237" t="s">
        <v>2365</v>
      </c>
      <c r="C1237" t="s">
        <v>2366</v>
      </c>
      <c r="D1237" t="s">
        <v>4932</v>
      </c>
      <c r="E1237" t="s">
        <v>4933</v>
      </c>
      <c r="F1237" t="str">
        <f>IF(Table2[[#This Row],[Date posted]]&lt; DATE(2015,9,18),"Before Crisis","During Crisis")</f>
        <v>Before Crisis</v>
      </c>
      <c r="G1237" s="27">
        <f t="shared" si="114"/>
        <v>42260</v>
      </c>
      <c r="H1237" s="7" t="str">
        <f t="shared" si="115"/>
        <v>19:10:46</v>
      </c>
      <c r="I1237" s="8" t="str">
        <f t="shared" si="116"/>
        <v>Evening</v>
      </c>
      <c r="J1237" t="s">
        <v>4934</v>
      </c>
      <c r="K1237" t="s">
        <v>2370</v>
      </c>
      <c r="L1237" s="3">
        <v>0</v>
      </c>
      <c r="M1237" s="3">
        <v>0</v>
      </c>
      <c r="N1237" s="3">
        <v>0</v>
      </c>
      <c r="O1237" s="4">
        <f t="shared" si="117"/>
        <v>0</v>
      </c>
      <c r="P1237" s="5" t="str">
        <f t="shared" si="118"/>
        <v>No engagement</v>
      </c>
      <c r="Q1237" t="b">
        <v>0</v>
      </c>
      <c r="R1237" t="b">
        <v>0</v>
      </c>
      <c r="S1237" t="b">
        <v>1</v>
      </c>
      <c r="T1237" s="24" t="str">
        <f t="shared" si="119"/>
        <v>Link</v>
      </c>
    </row>
    <row r="1238" spans="1:20" hidden="1" x14ac:dyDescent="0.2">
      <c r="A1238" t="s">
        <v>4922</v>
      </c>
      <c r="B1238" t="s">
        <v>2365</v>
      </c>
      <c r="C1238" t="s">
        <v>2366</v>
      </c>
      <c r="D1238" t="s">
        <v>4923</v>
      </c>
      <c r="E1238" t="s">
        <v>4924</v>
      </c>
      <c r="F1238" t="str">
        <f>IF(Table2[[#This Row],[Date posted]]&lt; DATE(2015,9,18),"Before Crisis","During Crisis")</f>
        <v>Before Crisis</v>
      </c>
      <c r="G1238" s="27">
        <f t="shared" si="114"/>
        <v>42260</v>
      </c>
      <c r="H1238" s="7" t="str">
        <f t="shared" si="115"/>
        <v>19:19:15</v>
      </c>
      <c r="I1238" s="8" t="str">
        <f t="shared" si="116"/>
        <v>Evening</v>
      </c>
      <c r="J1238" t="s">
        <v>2370</v>
      </c>
      <c r="K1238" t="s">
        <v>2370</v>
      </c>
      <c r="L1238" s="3">
        <v>0</v>
      </c>
      <c r="M1238" s="3">
        <v>0</v>
      </c>
      <c r="N1238" s="3">
        <v>0</v>
      </c>
      <c r="O1238" s="4">
        <f t="shared" si="117"/>
        <v>0</v>
      </c>
      <c r="P1238" s="5" t="str">
        <f t="shared" si="118"/>
        <v>No engagement</v>
      </c>
      <c r="Q1238" t="b">
        <v>0</v>
      </c>
      <c r="R1238" t="b">
        <v>0</v>
      </c>
      <c r="S1238" t="b">
        <v>0</v>
      </c>
      <c r="T1238" s="24" t="str">
        <f t="shared" si="119"/>
        <v>Text only</v>
      </c>
    </row>
    <row r="1239" spans="1:20" hidden="1" x14ac:dyDescent="0.2">
      <c r="A1239" t="s">
        <v>4925</v>
      </c>
      <c r="B1239" t="s">
        <v>2365</v>
      </c>
      <c r="C1239" t="s">
        <v>2366</v>
      </c>
      <c r="D1239" t="s">
        <v>4926</v>
      </c>
      <c r="E1239" t="s">
        <v>4924</v>
      </c>
      <c r="F1239" t="str">
        <f>IF(Table2[[#This Row],[Date posted]]&lt; DATE(2015,9,18),"Before Crisis","During Crisis")</f>
        <v>Before Crisis</v>
      </c>
      <c r="G1239" s="27">
        <f t="shared" si="114"/>
        <v>42260</v>
      </c>
      <c r="H1239" s="7" t="str">
        <f t="shared" si="115"/>
        <v>19:19:15</v>
      </c>
      <c r="I1239" s="8" t="str">
        <f t="shared" si="116"/>
        <v>Evening</v>
      </c>
      <c r="J1239" t="s">
        <v>4927</v>
      </c>
      <c r="K1239" t="s">
        <v>2370</v>
      </c>
      <c r="L1239" s="3">
        <v>0</v>
      </c>
      <c r="M1239">
        <v>1</v>
      </c>
      <c r="N1239" s="3">
        <v>0</v>
      </c>
      <c r="O1239" s="4">
        <f t="shared" si="117"/>
        <v>1</v>
      </c>
      <c r="P1239" s="5" t="str">
        <f t="shared" si="118"/>
        <v>Low engagement</v>
      </c>
      <c r="Q1239" t="b">
        <v>0</v>
      </c>
      <c r="R1239" t="b">
        <v>0</v>
      </c>
      <c r="S1239" t="b">
        <v>0</v>
      </c>
      <c r="T1239" s="24" t="str">
        <f t="shared" si="119"/>
        <v>Text only</v>
      </c>
    </row>
    <row r="1240" spans="1:20" hidden="1" x14ac:dyDescent="0.2">
      <c r="A1240" t="s">
        <v>4928</v>
      </c>
      <c r="B1240" t="s">
        <v>2365</v>
      </c>
      <c r="C1240" t="s">
        <v>2366</v>
      </c>
      <c r="D1240" t="s">
        <v>4929</v>
      </c>
      <c r="E1240" t="s">
        <v>4924</v>
      </c>
      <c r="F1240" t="str">
        <f>IF(Table2[[#This Row],[Date posted]]&lt; DATE(2015,9,18),"Before Crisis","During Crisis")</f>
        <v>Before Crisis</v>
      </c>
      <c r="G1240" s="27">
        <f t="shared" si="114"/>
        <v>42260</v>
      </c>
      <c r="H1240" s="7" t="str">
        <f t="shared" si="115"/>
        <v>19:19:15</v>
      </c>
      <c r="I1240" s="8" t="str">
        <f t="shared" si="116"/>
        <v>Evening</v>
      </c>
      <c r="J1240" t="s">
        <v>4930</v>
      </c>
      <c r="K1240" t="s">
        <v>2370</v>
      </c>
      <c r="L1240" s="3">
        <v>0</v>
      </c>
      <c r="M1240" s="3">
        <v>0</v>
      </c>
      <c r="N1240" s="3">
        <v>0</v>
      </c>
      <c r="O1240" s="4">
        <f t="shared" si="117"/>
        <v>0</v>
      </c>
      <c r="P1240" s="5" t="str">
        <f t="shared" si="118"/>
        <v>No engagement</v>
      </c>
      <c r="Q1240" t="b">
        <v>0</v>
      </c>
      <c r="R1240" t="b">
        <v>0</v>
      </c>
      <c r="S1240" t="b">
        <v>0</v>
      </c>
      <c r="T1240" s="24" t="str">
        <f t="shared" si="119"/>
        <v>Text only</v>
      </c>
    </row>
    <row r="1241" spans="1:20" hidden="1" x14ac:dyDescent="0.2">
      <c r="A1241" t="s">
        <v>4916</v>
      </c>
      <c r="B1241" t="s">
        <v>2365</v>
      </c>
      <c r="C1241" t="s">
        <v>2366</v>
      </c>
      <c r="D1241" t="s">
        <v>4917</v>
      </c>
      <c r="E1241" t="s">
        <v>4918</v>
      </c>
      <c r="F1241" t="str">
        <f>IF(Table2[[#This Row],[Date posted]]&lt; DATE(2015,9,18),"Before Crisis","During Crisis")</f>
        <v>Before Crisis</v>
      </c>
      <c r="G1241" s="27">
        <f t="shared" si="114"/>
        <v>42260</v>
      </c>
      <c r="H1241" s="7" t="str">
        <f t="shared" si="115"/>
        <v>19:19:16</v>
      </c>
      <c r="I1241" s="8" t="str">
        <f t="shared" si="116"/>
        <v>Evening</v>
      </c>
      <c r="J1241" t="s">
        <v>4919</v>
      </c>
      <c r="K1241" t="s">
        <v>2370</v>
      </c>
      <c r="L1241" s="3">
        <v>0</v>
      </c>
      <c r="M1241" s="3">
        <v>0</v>
      </c>
      <c r="N1241" s="3">
        <v>0</v>
      </c>
      <c r="O1241" s="4">
        <f t="shared" si="117"/>
        <v>0</v>
      </c>
      <c r="P1241" s="5" t="str">
        <f t="shared" si="118"/>
        <v>No engagement</v>
      </c>
      <c r="Q1241" t="b">
        <v>0</v>
      </c>
      <c r="R1241" t="b">
        <v>0</v>
      </c>
      <c r="S1241" t="b">
        <v>0</v>
      </c>
      <c r="T1241" s="24" t="str">
        <f t="shared" si="119"/>
        <v>Text only</v>
      </c>
    </row>
    <row r="1242" spans="1:20" hidden="1" x14ac:dyDescent="0.2">
      <c r="A1242" t="s">
        <v>4920</v>
      </c>
      <c r="B1242" t="s">
        <v>2365</v>
      </c>
      <c r="C1242" t="s">
        <v>2366</v>
      </c>
      <c r="D1242" t="s">
        <v>4921</v>
      </c>
      <c r="E1242" t="s">
        <v>4918</v>
      </c>
      <c r="F1242" t="str">
        <f>IF(Table2[[#This Row],[Date posted]]&lt; DATE(2015,9,18),"Before Crisis","During Crisis")</f>
        <v>Before Crisis</v>
      </c>
      <c r="G1242" s="27">
        <f t="shared" si="114"/>
        <v>42260</v>
      </c>
      <c r="H1242" s="7" t="str">
        <f t="shared" si="115"/>
        <v>19:19:16</v>
      </c>
      <c r="I1242" s="8" t="str">
        <f t="shared" si="116"/>
        <v>Evening</v>
      </c>
      <c r="J1242" t="s">
        <v>4919</v>
      </c>
      <c r="K1242" t="s">
        <v>2370</v>
      </c>
      <c r="L1242" s="3">
        <v>0</v>
      </c>
      <c r="M1242" s="3">
        <v>0</v>
      </c>
      <c r="N1242" s="3">
        <v>0</v>
      </c>
      <c r="O1242" s="4">
        <f t="shared" si="117"/>
        <v>0</v>
      </c>
      <c r="P1242" s="5" t="str">
        <f t="shared" si="118"/>
        <v>No engagement</v>
      </c>
      <c r="Q1242" t="b">
        <v>0</v>
      </c>
      <c r="R1242" t="b">
        <v>0</v>
      </c>
      <c r="S1242" t="b">
        <v>0</v>
      </c>
      <c r="T1242" s="24" t="str">
        <f t="shared" si="119"/>
        <v>Text only</v>
      </c>
    </row>
    <row r="1243" spans="1:20" hidden="1" x14ac:dyDescent="0.2">
      <c r="A1243" t="s">
        <v>4890</v>
      </c>
      <c r="B1243" t="s">
        <v>2365</v>
      </c>
      <c r="C1243" t="s">
        <v>2366</v>
      </c>
      <c r="D1243" t="s">
        <v>4891</v>
      </c>
      <c r="E1243" t="s">
        <v>4888</v>
      </c>
      <c r="F1243" t="str">
        <f>IF(Table2[[#This Row],[Date posted]]&lt; DATE(2015,9,18),"Before Crisis","During Crisis")</f>
        <v>Before Crisis</v>
      </c>
      <c r="G1243" s="27">
        <f t="shared" si="114"/>
        <v>42261</v>
      </c>
      <c r="H1243" s="7" t="str">
        <f t="shared" si="115"/>
        <v>15:35:44</v>
      </c>
      <c r="I1243" s="8" t="str">
        <f t="shared" si="116"/>
        <v>Afternoon</v>
      </c>
      <c r="J1243" t="s">
        <v>4892</v>
      </c>
      <c r="K1243" t="s">
        <v>2370</v>
      </c>
      <c r="L1243" s="3">
        <v>0</v>
      </c>
      <c r="M1243" s="3">
        <v>0</v>
      </c>
      <c r="N1243" s="3">
        <v>0</v>
      </c>
      <c r="O1243" s="4">
        <f t="shared" si="117"/>
        <v>0</v>
      </c>
      <c r="P1243" s="5" t="str">
        <f t="shared" si="118"/>
        <v>No engagement</v>
      </c>
      <c r="Q1243" t="b">
        <v>0</v>
      </c>
      <c r="R1243" t="b">
        <v>0</v>
      </c>
      <c r="S1243" t="b">
        <v>0</v>
      </c>
      <c r="T1243" s="24" t="str">
        <f t="shared" si="119"/>
        <v>Text only</v>
      </c>
    </row>
    <row r="1244" spans="1:20" hidden="1" x14ac:dyDescent="0.2">
      <c r="A1244" t="s">
        <v>4880</v>
      </c>
      <c r="B1244" t="s">
        <v>2365</v>
      </c>
      <c r="C1244" t="s">
        <v>2366</v>
      </c>
      <c r="D1244" t="s">
        <v>4881</v>
      </c>
      <c r="E1244" t="s">
        <v>4882</v>
      </c>
      <c r="F1244" t="str">
        <f>IF(Table2[[#This Row],[Date posted]]&lt; DATE(2015,9,18),"Before Crisis","During Crisis")</f>
        <v>Before Crisis</v>
      </c>
      <c r="G1244" s="27">
        <f t="shared" si="114"/>
        <v>42261</v>
      </c>
      <c r="H1244" s="7" t="str">
        <f t="shared" si="115"/>
        <v>16:01:23</v>
      </c>
      <c r="I1244" s="8" t="str">
        <f t="shared" si="116"/>
        <v>Afternoon</v>
      </c>
      <c r="J1244" t="s">
        <v>4883</v>
      </c>
      <c r="K1244" t="s">
        <v>2370</v>
      </c>
      <c r="L1244" s="3">
        <v>0</v>
      </c>
      <c r="M1244" s="3">
        <v>0</v>
      </c>
      <c r="N1244" s="3">
        <v>0</v>
      </c>
      <c r="O1244" s="4">
        <f t="shared" si="117"/>
        <v>0</v>
      </c>
      <c r="P1244" s="5" t="str">
        <f t="shared" si="118"/>
        <v>No engagement</v>
      </c>
      <c r="Q1244" t="b">
        <v>0</v>
      </c>
      <c r="R1244" t="b">
        <v>0</v>
      </c>
      <c r="S1244" t="b">
        <v>0</v>
      </c>
      <c r="T1244" s="24" t="str">
        <f t="shared" si="119"/>
        <v>Text only</v>
      </c>
    </row>
    <row r="1245" spans="1:20" hidden="1" x14ac:dyDescent="0.2">
      <c r="A1245" t="s">
        <v>4884</v>
      </c>
      <c r="B1245" t="s">
        <v>2365</v>
      </c>
      <c r="C1245" t="s">
        <v>2366</v>
      </c>
      <c r="D1245" t="s">
        <v>4885</v>
      </c>
      <c r="E1245" t="s">
        <v>4882</v>
      </c>
      <c r="F1245" t="str">
        <f>IF(Table2[[#This Row],[Date posted]]&lt; DATE(2015,9,18),"Before Crisis","During Crisis")</f>
        <v>Before Crisis</v>
      </c>
      <c r="G1245" s="27">
        <f t="shared" si="114"/>
        <v>42261</v>
      </c>
      <c r="H1245" s="7" t="str">
        <f t="shared" si="115"/>
        <v>16:01:23</v>
      </c>
      <c r="I1245" s="8" t="str">
        <f t="shared" si="116"/>
        <v>Afternoon</v>
      </c>
      <c r="J1245" t="s">
        <v>4883</v>
      </c>
      <c r="K1245" t="s">
        <v>2370</v>
      </c>
      <c r="L1245" s="3">
        <v>0</v>
      </c>
      <c r="M1245" s="3">
        <v>0</v>
      </c>
      <c r="N1245" s="3">
        <v>0</v>
      </c>
      <c r="O1245" s="4">
        <f t="shared" si="117"/>
        <v>0</v>
      </c>
      <c r="P1245" s="5" t="str">
        <f t="shared" si="118"/>
        <v>No engagement</v>
      </c>
      <c r="Q1245" t="b">
        <v>0</v>
      </c>
      <c r="R1245" t="b">
        <v>0</v>
      </c>
      <c r="S1245" t="b">
        <v>0</v>
      </c>
      <c r="T1245" s="24" t="str">
        <f t="shared" si="119"/>
        <v>Text only</v>
      </c>
    </row>
    <row r="1246" spans="1:20" hidden="1" x14ac:dyDescent="0.2">
      <c r="A1246" t="s">
        <v>4870</v>
      </c>
      <c r="B1246" t="s">
        <v>2365</v>
      </c>
      <c r="C1246" t="s">
        <v>2366</v>
      </c>
      <c r="D1246" t="s">
        <v>4871</v>
      </c>
      <c r="E1246" t="s">
        <v>4872</v>
      </c>
      <c r="F1246" t="str">
        <f>IF(Table2[[#This Row],[Date posted]]&lt; DATE(2015,9,18),"Before Crisis","During Crisis")</f>
        <v>Before Crisis</v>
      </c>
      <c r="G1246" s="27">
        <f t="shared" si="114"/>
        <v>42262</v>
      </c>
      <c r="H1246" s="7" t="str">
        <f t="shared" si="115"/>
        <v>14:20:46</v>
      </c>
      <c r="I1246" s="8" t="str">
        <f t="shared" si="116"/>
        <v>Afternoon</v>
      </c>
      <c r="J1246" t="s">
        <v>2370</v>
      </c>
      <c r="K1246" t="s">
        <v>2370</v>
      </c>
      <c r="L1246" s="3">
        <v>0</v>
      </c>
      <c r="M1246" s="3">
        <v>0</v>
      </c>
      <c r="N1246" s="3">
        <v>0</v>
      </c>
      <c r="O1246" s="4">
        <f t="shared" si="117"/>
        <v>0</v>
      </c>
      <c r="P1246" s="5" t="str">
        <f t="shared" si="118"/>
        <v>No engagement</v>
      </c>
      <c r="Q1246" t="b">
        <v>0</v>
      </c>
      <c r="R1246" t="b">
        <v>0</v>
      </c>
      <c r="S1246" t="b">
        <v>1</v>
      </c>
      <c r="T1246" s="24" t="str">
        <f t="shared" si="119"/>
        <v>Link</v>
      </c>
    </row>
    <row r="1247" spans="1:20" hidden="1" x14ac:dyDescent="0.2">
      <c r="A1247" t="s">
        <v>4866</v>
      </c>
      <c r="B1247" t="s">
        <v>2365</v>
      </c>
      <c r="C1247" t="s">
        <v>2366</v>
      </c>
      <c r="D1247" t="s">
        <v>4867</v>
      </c>
      <c r="E1247" t="s">
        <v>4868</v>
      </c>
      <c r="F1247" t="str">
        <f>IF(Table2[[#This Row],[Date posted]]&lt; DATE(2015,9,18),"Before Crisis","During Crisis")</f>
        <v>Before Crisis</v>
      </c>
      <c r="G1247" s="27">
        <f t="shared" si="114"/>
        <v>42262</v>
      </c>
      <c r="H1247" s="7" t="str">
        <f t="shared" si="115"/>
        <v>16:02:18</v>
      </c>
      <c r="I1247" s="8" t="str">
        <f t="shared" si="116"/>
        <v>Afternoon</v>
      </c>
      <c r="J1247" t="s">
        <v>4869</v>
      </c>
      <c r="K1247" t="s">
        <v>2370</v>
      </c>
      <c r="L1247">
        <v>1</v>
      </c>
      <c r="M1247" s="3">
        <v>0</v>
      </c>
      <c r="N1247" s="3">
        <v>0</v>
      </c>
      <c r="O1247" s="4">
        <f t="shared" si="117"/>
        <v>1</v>
      </c>
      <c r="P1247" s="5" t="str">
        <f t="shared" si="118"/>
        <v>Low engagement</v>
      </c>
      <c r="Q1247" t="b">
        <v>0</v>
      </c>
      <c r="R1247" t="b">
        <v>0</v>
      </c>
      <c r="S1247" t="b">
        <v>0</v>
      </c>
      <c r="T1247" s="24" t="str">
        <f t="shared" si="119"/>
        <v>Text only</v>
      </c>
    </row>
    <row r="1248" spans="1:20" hidden="1" x14ac:dyDescent="0.2">
      <c r="A1248" t="s">
        <v>4863</v>
      </c>
      <c r="B1248" t="s">
        <v>2365</v>
      </c>
      <c r="C1248" t="s">
        <v>2366</v>
      </c>
      <c r="D1248" t="s">
        <v>4864</v>
      </c>
      <c r="E1248" t="s">
        <v>4865</v>
      </c>
      <c r="F1248" t="str">
        <f>IF(Table2[[#This Row],[Date posted]]&lt; DATE(2015,9,18),"Before Crisis","During Crisis")</f>
        <v>Before Crisis</v>
      </c>
      <c r="G1248" s="27">
        <f t="shared" si="114"/>
        <v>42262</v>
      </c>
      <c r="H1248" s="7" t="str">
        <f t="shared" si="115"/>
        <v>17:01:58</v>
      </c>
      <c r="I1248" s="8" t="str">
        <f t="shared" si="116"/>
        <v>Afternoon</v>
      </c>
      <c r="J1248" t="s">
        <v>2370</v>
      </c>
      <c r="K1248" t="s">
        <v>2370</v>
      </c>
      <c r="L1248" s="3">
        <v>0</v>
      </c>
      <c r="M1248" s="3">
        <v>0</v>
      </c>
      <c r="N1248" s="3">
        <v>0</v>
      </c>
      <c r="O1248" s="4">
        <f t="shared" si="117"/>
        <v>0</v>
      </c>
      <c r="P1248" s="5" t="str">
        <f t="shared" si="118"/>
        <v>No engagement</v>
      </c>
      <c r="Q1248" t="b">
        <v>0</v>
      </c>
      <c r="R1248" t="b">
        <v>0</v>
      </c>
      <c r="S1248" t="b">
        <v>1</v>
      </c>
      <c r="T1248" s="24" t="str">
        <f t="shared" si="119"/>
        <v>Link</v>
      </c>
    </row>
    <row r="1249" spans="1:20" hidden="1" x14ac:dyDescent="0.2">
      <c r="A1249" t="s">
        <v>4856</v>
      </c>
      <c r="B1249" t="s">
        <v>2365</v>
      </c>
      <c r="C1249" t="s">
        <v>2366</v>
      </c>
      <c r="D1249" t="s">
        <v>4857</v>
      </c>
      <c r="E1249" t="s">
        <v>4858</v>
      </c>
      <c r="F1249" t="str">
        <f>IF(Table2[[#This Row],[Date posted]]&lt; DATE(2015,9,18),"Before Crisis","During Crisis")</f>
        <v>Before Crisis</v>
      </c>
      <c r="G1249" s="27">
        <f t="shared" si="114"/>
        <v>42262</v>
      </c>
      <c r="H1249" s="7" t="str">
        <f t="shared" si="115"/>
        <v>17:01:59</v>
      </c>
      <c r="I1249" s="8" t="str">
        <f t="shared" si="116"/>
        <v>Afternoon</v>
      </c>
      <c r="J1249" t="s">
        <v>4859</v>
      </c>
      <c r="K1249" t="s">
        <v>2370</v>
      </c>
      <c r="L1249" s="3">
        <v>0</v>
      </c>
      <c r="M1249" s="3">
        <v>0</v>
      </c>
      <c r="N1249" s="3">
        <v>0</v>
      </c>
      <c r="O1249" s="4">
        <f t="shared" si="117"/>
        <v>0</v>
      </c>
      <c r="P1249" s="5" t="str">
        <f t="shared" si="118"/>
        <v>No engagement</v>
      </c>
      <c r="Q1249" t="b">
        <v>0</v>
      </c>
      <c r="R1249" t="b">
        <v>0</v>
      </c>
      <c r="S1249" t="b">
        <v>0</v>
      </c>
      <c r="T1249" s="24" t="str">
        <f t="shared" si="119"/>
        <v>Text only</v>
      </c>
    </row>
    <row r="1250" spans="1:20" hidden="1" x14ac:dyDescent="0.2">
      <c r="A1250" t="s">
        <v>4860</v>
      </c>
      <c r="B1250" t="s">
        <v>2365</v>
      </c>
      <c r="C1250" t="s">
        <v>2366</v>
      </c>
      <c r="D1250" t="s">
        <v>4861</v>
      </c>
      <c r="E1250" t="s">
        <v>4858</v>
      </c>
      <c r="F1250" t="str">
        <f>IF(Table2[[#This Row],[Date posted]]&lt; DATE(2015,9,18),"Before Crisis","During Crisis")</f>
        <v>Before Crisis</v>
      </c>
      <c r="G1250" s="27">
        <f t="shared" si="114"/>
        <v>42262</v>
      </c>
      <c r="H1250" s="7" t="str">
        <f t="shared" si="115"/>
        <v>17:01:59</v>
      </c>
      <c r="I1250" s="8" t="str">
        <f t="shared" si="116"/>
        <v>Afternoon</v>
      </c>
      <c r="J1250" t="s">
        <v>4862</v>
      </c>
      <c r="K1250" t="s">
        <v>2370</v>
      </c>
      <c r="L1250" s="3">
        <v>0</v>
      </c>
      <c r="M1250" s="3">
        <v>0</v>
      </c>
      <c r="N1250" s="3">
        <v>0</v>
      </c>
      <c r="O1250" s="4">
        <f t="shared" si="117"/>
        <v>0</v>
      </c>
      <c r="P1250" s="5" t="str">
        <f t="shared" si="118"/>
        <v>No engagement</v>
      </c>
      <c r="Q1250" t="b">
        <v>0</v>
      </c>
      <c r="R1250" t="b">
        <v>0</v>
      </c>
      <c r="S1250" t="b">
        <v>1</v>
      </c>
      <c r="T1250" s="24" t="str">
        <f t="shared" si="119"/>
        <v>Link</v>
      </c>
    </row>
    <row r="1251" spans="1:20" hidden="1" x14ac:dyDescent="0.2">
      <c r="A1251" t="s">
        <v>4850</v>
      </c>
      <c r="B1251" t="s">
        <v>2365</v>
      </c>
      <c r="C1251" t="s">
        <v>2366</v>
      </c>
      <c r="D1251" t="s">
        <v>4851</v>
      </c>
      <c r="E1251" t="s">
        <v>4852</v>
      </c>
      <c r="F1251" t="str">
        <f>IF(Table2[[#This Row],[Date posted]]&lt; DATE(2015,9,18),"Before Crisis","During Crisis")</f>
        <v>Before Crisis</v>
      </c>
      <c r="G1251" s="27">
        <f t="shared" si="114"/>
        <v>42262</v>
      </c>
      <c r="H1251" s="7" t="str">
        <f t="shared" si="115"/>
        <v>17:02:00</v>
      </c>
      <c r="I1251" s="8" t="str">
        <f t="shared" si="116"/>
        <v>Afternoon</v>
      </c>
      <c r="J1251" t="s">
        <v>2370</v>
      </c>
      <c r="K1251" t="s">
        <v>2370</v>
      </c>
      <c r="L1251" s="3">
        <v>0</v>
      </c>
      <c r="M1251" s="3">
        <v>0</v>
      </c>
      <c r="N1251" s="3">
        <v>0</v>
      </c>
      <c r="O1251" s="4">
        <f t="shared" si="117"/>
        <v>0</v>
      </c>
      <c r="P1251" s="5" t="str">
        <f t="shared" si="118"/>
        <v>No engagement</v>
      </c>
      <c r="Q1251" t="b">
        <v>0</v>
      </c>
      <c r="R1251" t="b">
        <v>0</v>
      </c>
      <c r="S1251" t="b">
        <v>0</v>
      </c>
      <c r="T1251" s="24" t="str">
        <f t="shared" si="119"/>
        <v>Text only</v>
      </c>
    </row>
    <row r="1252" spans="1:20" hidden="1" x14ac:dyDescent="0.2">
      <c r="A1252" t="s">
        <v>4853</v>
      </c>
      <c r="B1252" t="s">
        <v>2365</v>
      </c>
      <c r="C1252" t="s">
        <v>2366</v>
      </c>
      <c r="D1252" t="s">
        <v>4854</v>
      </c>
      <c r="E1252" t="s">
        <v>4852</v>
      </c>
      <c r="F1252" t="str">
        <f>IF(Table2[[#This Row],[Date posted]]&lt; DATE(2015,9,18),"Before Crisis","During Crisis")</f>
        <v>Before Crisis</v>
      </c>
      <c r="G1252" s="27">
        <f t="shared" si="114"/>
        <v>42262</v>
      </c>
      <c r="H1252" s="7" t="str">
        <f t="shared" si="115"/>
        <v>17:02:00</v>
      </c>
      <c r="I1252" s="8" t="str">
        <f t="shared" si="116"/>
        <v>Afternoon</v>
      </c>
      <c r="J1252" t="s">
        <v>4855</v>
      </c>
      <c r="K1252" t="s">
        <v>2370</v>
      </c>
      <c r="L1252" s="3">
        <v>0</v>
      </c>
      <c r="M1252" s="3">
        <v>0</v>
      </c>
      <c r="N1252" s="3">
        <v>0</v>
      </c>
      <c r="O1252" s="4">
        <f t="shared" si="117"/>
        <v>0</v>
      </c>
      <c r="P1252" s="5" t="str">
        <f t="shared" si="118"/>
        <v>No engagement</v>
      </c>
      <c r="Q1252" t="b">
        <v>0</v>
      </c>
      <c r="R1252" t="b">
        <v>0</v>
      </c>
      <c r="S1252" t="b">
        <v>0</v>
      </c>
      <c r="T1252" s="24" t="str">
        <f t="shared" si="119"/>
        <v>Text only</v>
      </c>
    </row>
    <row r="1253" spans="1:20" hidden="1" x14ac:dyDescent="0.2">
      <c r="A1253" t="s">
        <v>4847</v>
      </c>
      <c r="B1253" t="s">
        <v>2365</v>
      </c>
      <c r="C1253" t="s">
        <v>2366</v>
      </c>
      <c r="D1253" t="s">
        <v>4848</v>
      </c>
      <c r="E1253" t="s">
        <v>4849</v>
      </c>
      <c r="F1253" t="str">
        <f>IF(Table2[[#This Row],[Date posted]]&lt; DATE(2015,9,18),"Before Crisis","During Crisis")</f>
        <v>Before Crisis</v>
      </c>
      <c r="G1253" s="27">
        <f t="shared" si="114"/>
        <v>42262</v>
      </c>
      <c r="H1253" s="7" t="str">
        <f t="shared" si="115"/>
        <v>17:10:35</v>
      </c>
      <c r="I1253" s="8" t="str">
        <f t="shared" si="116"/>
        <v>Afternoon</v>
      </c>
      <c r="J1253" t="s">
        <v>2370</v>
      </c>
      <c r="K1253" t="s">
        <v>2370</v>
      </c>
      <c r="L1253" s="3">
        <v>0</v>
      </c>
      <c r="M1253" s="3">
        <v>0</v>
      </c>
      <c r="N1253" s="3">
        <v>0</v>
      </c>
      <c r="O1253" s="4">
        <f t="shared" si="117"/>
        <v>0</v>
      </c>
      <c r="P1253" s="5" t="str">
        <f t="shared" si="118"/>
        <v>No engagement</v>
      </c>
      <c r="Q1253" t="b">
        <v>0</v>
      </c>
      <c r="R1253" t="b">
        <v>0</v>
      </c>
      <c r="S1253" t="b">
        <v>0</v>
      </c>
      <c r="T1253" s="24" t="str">
        <f t="shared" si="119"/>
        <v>Text only</v>
      </c>
    </row>
    <row r="1254" spans="1:20" hidden="1" x14ac:dyDescent="0.2">
      <c r="A1254" t="s">
        <v>4832</v>
      </c>
      <c r="B1254" t="s">
        <v>2365</v>
      </c>
      <c r="C1254" t="s">
        <v>2366</v>
      </c>
      <c r="D1254" t="s">
        <v>4833</v>
      </c>
      <c r="E1254" t="s">
        <v>4834</v>
      </c>
      <c r="F1254" t="str">
        <f>IF(Table2[[#This Row],[Date posted]]&lt; DATE(2015,9,18),"Before Crisis","During Crisis")</f>
        <v>Before Crisis</v>
      </c>
      <c r="G1254" s="27">
        <f t="shared" si="114"/>
        <v>42262</v>
      </c>
      <c r="H1254" s="7" t="str">
        <f t="shared" si="115"/>
        <v>20:32:50</v>
      </c>
      <c r="I1254" s="8" t="str">
        <f t="shared" si="116"/>
        <v>Evening</v>
      </c>
      <c r="J1254" t="s">
        <v>4835</v>
      </c>
      <c r="K1254" t="s">
        <v>2370</v>
      </c>
      <c r="L1254" s="3">
        <v>0</v>
      </c>
      <c r="M1254" s="3">
        <v>0</v>
      </c>
      <c r="N1254" s="3">
        <v>0</v>
      </c>
      <c r="O1254" s="4">
        <f t="shared" si="117"/>
        <v>0</v>
      </c>
      <c r="P1254" s="5" t="str">
        <f t="shared" si="118"/>
        <v>No engagement</v>
      </c>
      <c r="Q1254" t="b">
        <v>0</v>
      </c>
      <c r="R1254" t="b">
        <v>0</v>
      </c>
      <c r="S1254" t="b">
        <v>0</v>
      </c>
      <c r="T1254" s="24" t="str">
        <f t="shared" si="119"/>
        <v>Text only</v>
      </c>
    </row>
    <row r="1255" spans="1:20" hidden="1" x14ac:dyDescent="0.2">
      <c r="A1255" t="s">
        <v>4836</v>
      </c>
      <c r="B1255" t="s">
        <v>2365</v>
      </c>
      <c r="C1255" t="s">
        <v>2366</v>
      </c>
      <c r="D1255" t="s">
        <v>4837</v>
      </c>
      <c r="E1255" t="s">
        <v>4834</v>
      </c>
      <c r="F1255" t="str">
        <f>IF(Table2[[#This Row],[Date posted]]&lt; DATE(2015,9,18),"Before Crisis","During Crisis")</f>
        <v>Before Crisis</v>
      </c>
      <c r="G1255" s="27">
        <f t="shared" si="114"/>
        <v>42262</v>
      </c>
      <c r="H1255" s="7" t="str">
        <f t="shared" si="115"/>
        <v>20:32:50</v>
      </c>
      <c r="I1255" s="8" t="str">
        <f t="shared" si="116"/>
        <v>Evening</v>
      </c>
      <c r="J1255" t="s">
        <v>4838</v>
      </c>
      <c r="K1255" t="s">
        <v>2370</v>
      </c>
      <c r="L1255">
        <v>1</v>
      </c>
      <c r="M1255" s="3">
        <v>0</v>
      </c>
      <c r="N1255" s="3">
        <v>0</v>
      </c>
      <c r="O1255" s="4">
        <f t="shared" si="117"/>
        <v>1</v>
      </c>
      <c r="P1255" s="5" t="str">
        <f t="shared" si="118"/>
        <v>Low engagement</v>
      </c>
      <c r="Q1255" t="b">
        <v>0</v>
      </c>
      <c r="R1255" t="b">
        <v>0</v>
      </c>
      <c r="S1255" t="b">
        <v>0</v>
      </c>
      <c r="T1255" s="24" t="str">
        <f t="shared" si="119"/>
        <v>Text only</v>
      </c>
    </row>
    <row r="1256" spans="1:20" hidden="1" x14ac:dyDescent="0.2">
      <c r="A1256" t="s">
        <v>4828</v>
      </c>
      <c r="B1256" t="s">
        <v>2365</v>
      </c>
      <c r="C1256" t="s">
        <v>2366</v>
      </c>
      <c r="D1256" t="s">
        <v>4829</v>
      </c>
      <c r="E1256" t="s">
        <v>4830</v>
      </c>
      <c r="F1256" t="str">
        <f>IF(Table2[[#This Row],[Date posted]]&lt; DATE(2015,9,18),"Before Crisis","During Crisis")</f>
        <v>Before Crisis</v>
      </c>
      <c r="G1256" s="27">
        <f t="shared" si="114"/>
        <v>42262</v>
      </c>
      <c r="H1256" s="7" t="str">
        <f t="shared" si="115"/>
        <v>20:50:09</v>
      </c>
      <c r="I1256" s="8" t="str">
        <f t="shared" si="116"/>
        <v>Evening</v>
      </c>
      <c r="J1256" t="s">
        <v>4831</v>
      </c>
      <c r="K1256" t="s">
        <v>2370</v>
      </c>
      <c r="L1256" s="3">
        <v>0</v>
      </c>
      <c r="M1256" s="3">
        <v>0</v>
      </c>
      <c r="N1256" s="3">
        <v>0</v>
      </c>
      <c r="O1256" s="4">
        <f t="shared" si="117"/>
        <v>0</v>
      </c>
      <c r="P1256" s="5" t="str">
        <f t="shared" si="118"/>
        <v>No engagement</v>
      </c>
      <c r="Q1256" t="b">
        <v>0</v>
      </c>
      <c r="R1256" t="b">
        <v>0</v>
      </c>
      <c r="S1256" t="b">
        <v>0</v>
      </c>
      <c r="T1256" s="24" t="str">
        <f t="shared" si="119"/>
        <v>Text only</v>
      </c>
    </row>
    <row r="1257" spans="1:20" hidden="1" x14ac:dyDescent="0.2">
      <c r="A1257" t="s">
        <v>4825</v>
      </c>
      <c r="B1257" t="s">
        <v>2365</v>
      </c>
      <c r="C1257" t="s">
        <v>2366</v>
      </c>
      <c r="D1257" t="s">
        <v>4826</v>
      </c>
      <c r="E1257" t="s">
        <v>4827</v>
      </c>
      <c r="F1257" t="str">
        <f>IF(Table2[[#This Row],[Date posted]]&lt; DATE(2015,9,18),"Before Crisis","During Crisis")</f>
        <v>Before Crisis</v>
      </c>
      <c r="G1257" s="27">
        <f t="shared" si="114"/>
        <v>42262</v>
      </c>
      <c r="H1257" s="7" t="str">
        <f t="shared" si="115"/>
        <v>21:23:58</v>
      </c>
      <c r="I1257" s="8" t="str">
        <f t="shared" si="116"/>
        <v>Evening</v>
      </c>
      <c r="J1257" t="s">
        <v>2370</v>
      </c>
      <c r="K1257" t="s">
        <v>2370</v>
      </c>
      <c r="L1257" s="3">
        <v>0</v>
      </c>
      <c r="M1257" s="3">
        <v>0</v>
      </c>
      <c r="N1257" s="3">
        <v>0</v>
      </c>
      <c r="O1257" s="4">
        <f t="shared" si="117"/>
        <v>0</v>
      </c>
      <c r="P1257" s="5" t="str">
        <f t="shared" si="118"/>
        <v>No engagement</v>
      </c>
      <c r="Q1257" t="b">
        <v>0</v>
      </c>
      <c r="R1257" t="b">
        <v>0</v>
      </c>
      <c r="S1257" t="b">
        <v>0</v>
      </c>
      <c r="T1257" s="24" t="str">
        <f t="shared" si="119"/>
        <v>Text only</v>
      </c>
    </row>
    <row r="1258" spans="1:20" hidden="1" x14ac:dyDescent="0.2">
      <c r="A1258" t="s">
        <v>4802</v>
      </c>
      <c r="B1258" t="s">
        <v>2365</v>
      </c>
      <c r="C1258" t="s">
        <v>2366</v>
      </c>
      <c r="D1258" t="s">
        <v>4803</v>
      </c>
      <c r="E1258" t="s">
        <v>4804</v>
      </c>
      <c r="F1258" t="str">
        <f>IF(Table2[[#This Row],[Date posted]]&lt; DATE(2015,9,18),"Before Crisis","During Crisis")</f>
        <v>Before Crisis</v>
      </c>
      <c r="G1258" s="27">
        <f t="shared" si="114"/>
        <v>42262</v>
      </c>
      <c r="H1258" s="7" t="str">
        <f t="shared" si="115"/>
        <v>23:21:47</v>
      </c>
      <c r="I1258" s="8" t="str">
        <f t="shared" si="116"/>
        <v>Evening</v>
      </c>
      <c r="J1258" t="s">
        <v>4805</v>
      </c>
      <c r="K1258" t="s">
        <v>2370</v>
      </c>
      <c r="L1258">
        <v>1</v>
      </c>
      <c r="M1258" s="3">
        <v>0</v>
      </c>
      <c r="N1258" s="3">
        <v>0</v>
      </c>
      <c r="O1258" s="4">
        <f t="shared" si="117"/>
        <v>1</v>
      </c>
      <c r="P1258" s="5" t="str">
        <f t="shared" si="118"/>
        <v>Low engagement</v>
      </c>
      <c r="Q1258" t="b">
        <v>0</v>
      </c>
      <c r="R1258" t="b">
        <v>0</v>
      </c>
      <c r="S1258" t="b">
        <v>0</v>
      </c>
      <c r="T1258" s="24" t="str">
        <f t="shared" si="119"/>
        <v>Text only</v>
      </c>
    </row>
    <row r="1259" spans="1:20" hidden="1" x14ac:dyDescent="0.2">
      <c r="A1259" t="s">
        <v>4796</v>
      </c>
      <c r="B1259" t="s">
        <v>2365</v>
      </c>
      <c r="C1259" t="s">
        <v>2366</v>
      </c>
      <c r="D1259" t="s">
        <v>4797</v>
      </c>
      <c r="E1259" t="s">
        <v>4798</v>
      </c>
      <c r="F1259" t="str">
        <f>IF(Table2[[#This Row],[Date posted]]&lt; DATE(2015,9,18),"Before Crisis","During Crisis")</f>
        <v>Before Crisis</v>
      </c>
      <c r="G1259" s="27">
        <f t="shared" si="114"/>
        <v>42263</v>
      </c>
      <c r="H1259" s="7" t="str">
        <f t="shared" si="115"/>
        <v>21:51:45</v>
      </c>
      <c r="I1259" s="8" t="str">
        <f t="shared" si="116"/>
        <v>Evening</v>
      </c>
      <c r="J1259" t="s">
        <v>2370</v>
      </c>
      <c r="K1259" t="s">
        <v>2370</v>
      </c>
      <c r="L1259" s="3">
        <v>0</v>
      </c>
      <c r="M1259">
        <v>1</v>
      </c>
      <c r="N1259" s="3">
        <v>0</v>
      </c>
      <c r="O1259" s="4">
        <f t="shared" si="117"/>
        <v>1</v>
      </c>
      <c r="P1259" s="5" t="str">
        <f t="shared" si="118"/>
        <v>Low engagement</v>
      </c>
      <c r="Q1259" t="b">
        <v>0</v>
      </c>
      <c r="R1259" t="b">
        <v>0</v>
      </c>
      <c r="S1259" t="b">
        <v>0</v>
      </c>
      <c r="T1259" s="24" t="str">
        <f t="shared" si="119"/>
        <v>Text only</v>
      </c>
    </row>
    <row r="1260" spans="1:20" hidden="1" x14ac:dyDescent="0.2">
      <c r="A1260" t="s">
        <v>4799</v>
      </c>
      <c r="B1260" t="s">
        <v>2365</v>
      </c>
      <c r="C1260" t="s">
        <v>2366</v>
      </c>
      <c r="D1260" t="s">
        <v>4800</v>
      </c>
      <c r="E1260" t="s">
        <v>4798</v>
      </c>
      <c r="F1260" t="str">
        <f>IF(Table2[[#This Row],[Date posted]]&lt; DATE(2015,9,18),"Before Crisis","During Crisis")</f>
        <v>Before Crisis</v>
      </c>
      <c r="G1260" s="27">
        <f t="shared" si="114"/>
        <v>42263</v>
      </c>
      <c r="H1260" s="7" t="str">
        <f t="shared" si="115"/>
        <v>21:51:45</v>
      </c>
      <c r="I1260" s="8" t="str">
        <f t="shared" si="116"/>
        <v>Evening</v>
      </c>
      <c r="J1260" t="s">
        <v>4801</v>
      </c>
      <c r="K1260" t="s">
        <v>2370</v>
      </c>
      <c r="L1260" s="3">
        <v>0</v>
      </c>
      <c r="M1260">
        <v>1</v>
      </c>
      <c r="N1260" s="3">
        <v>0</v>
      </c>
      <c r="O1260" s="4">
        <f t="shared" si="117"/>
        <v>1</v>
      </c>
      <c r="P1260" s="5" t="str">
        <f t="shared" si="118"/>
        <v>Low engagement</v>
      </c>
      <c r="Q1260" t="b">
        <v>0</v>
      </c>
      <c r="R1260" t="b">
        <v>0</v>
      </c>
      <c r="S1260" t="b">
        <v>0</v>
      </c>
      <c r="T1260" s="24" t="str">
        <f t="shared" si="119"/>
        <v>Text only</v>
      </c>
    </row>
    <row r="1261" spans="1:20" hidden="1" x14ac:dyDescent="0.2">
      <c r="A1261" t="s">
        <v>4793</v>
      </c>
      <c r="B1261" t="s">
        <v>2365</v>
      </c>
      <c r="C1261" t="s">
        <v>2366</v>
      </c>
      <c r="D1261" t="s">
        <v>4794</v>
      </c>
      <c r="E1261" t="s">
        <v>4795</v>
      </c>
      <c r="F1261" t="str">
        <f>IF(Table2[[#This Row],[Date posted]]&lt; DATE(2015,9,18),"Before Crisis","During Crisis")</f>
        <v>Before Crisis</v>
      </c>
      <c r="G1261" s="27">
        <f t="shared" si="114"/>
        <v>42263</v>
      </c>
      <c r="H1261" s="7" t="str">
        <f t="shared" si="115"/>
        <v>21:51:46</v>
      </c>
      <c r="I1261" s="8" t="str">
        <f t="shared" si="116"/>
        <v>Evening</v>
      </c>
      <c r="J1261" t="s">
        <v>2370</v>
      </c>
      <c r="K1261" t="s">
        <v>2370</v>
      </c>
      <c r="L1261" s="3">
        <v>0</v>
      </c>
      <c r="M1261" s="3">
        <v>0</v>
      </c>
      <c r="N1261" s="3">
        <v>0</v>
      </c>
      <c r="O1261" s="4">
        <f t="shared" si="117"/>
        <v>0</v>
      </c>
      <c r="P1261" s="5" t="str">
        <f t="shared" si="118"/>
        <v>No engagement</v>
      </c>
      <c r="Q1261" t="b">
        <v>0</v>
      </c>
      <c r="R1261" t="b">
        <v>0</v>
      </c>
      <c r="S1261" t="b">
        <v>1</v>
      </c>
      <c r="T1261" s="24" t="str">
        <f t="shared" si="119"/>
        <v>Link</v>
      </c>
    </row>
    <row r="1262" spans="1:20" hidden="1" x14ac:dyDescent="0.2">
      <c r="A1262" t="s">
        <v>4789</v>
      </c>
      <c r="B1262" t="s">
        <v>2365</v>
      </c>
      <c r="C1262" t="s">
        <v>2366</v>
      </c>
      <c r="D1262" t="s">
        <v>4790</v>
      </c>
      <c r="E1262" t="s">
        <v>4791</v>
      </c>
      <c r="F1262" t="str">
        <f>IF(Table2[[#This Row],[Date posted]]&lt; DATE(2015,9,18),"Before Crisis","During Crisis")</f>
        <v>Before Crisis</v>
      </c>
      <c r="G1262" s="27">
        <f t="shared" si="114"/>
        <v>42263</v>
      </c>
      <c r="H1262" s="7" t="str">
        <f t="shared" si="115"/>
        <v>21:51:47</v>
      </c>
      <c r="I1262" s="8" t="str">
        <f t="shared" si="116"/>
        <v>Evening</v>
      </c>
      <c r="J1262" t="s">
        <v>4792</v>
      </c>
      <c r="K1262" t="s">
        <v>2370</v>
      </c>
      <c r="L1262" s="3">
        <v>0</v>
      </c>
      <c r="M1262">
        <v>2</v>
      </c>
      <c r="N1262" s="3">
        <v>0</v>
      </c>
      <c r="O1262" s="4">
        <f t="shared" si="117"/>
        <v>2</v>
      </c>
      <c r="P1262" s="5" t="str">
        <f t="shared" si="118"/>
        <v>Low engagement</v>
      </c>
      <c r="Q1262" t="b">
        <v>0</v>
      </c>
      <c r="R1262" t="b">
        <v>0</v>
      </c>
      <c r="S1262" t="b">
        <v>0</v>
      </c>
      <c r="T1262" s="24" t="str">
        <f t="shared" si="119"/>
        <v>Text only</v>
      </c>
    </row>
    <row r="1263" spans="1:20" hidden="1" x14ac:dyDescent="0.2">
      <c r="A1263" t="s">
        <v>4785</v>
      </c>
      <c r="B1263" t="s">
        <v>2365</v>
      </c>
      <c r="C1263" t="s">
        <v>2366</v>
      </c>
      <c r="D1263" t="s">
        <v>4786</v>
      </c>
      <c r="E1263" t="s">
        <v>4787</v>
      </c>
      <c r="F1263" t="str">
        <f>IF(Table2[[#This Row],[Date posted]]&lt; DATE(2015,9,18),"Before Crisis","During Crisis")</f>
        <v>Before Crisis</v>
      </c>
      <c r="G1263" s="27">
        <f t="shared" si="114"/>
        <v>42263</v>
      </c>
      <c r="H1263" s="7" t="str">
        <f t="shared" si="115"/>
        <v>22:00:19</v>
      </c>
      <c r="I1263" s="8" t="str">
        <f t="shared" si="116"/>
        <v>Evening</v>
      </c>
      <c r="J1263" t="s">
        <v>4788</v>
      </c>
      <c r="K1263" t="s">
        <v>2370</v>
      </c>
      <c r="L1263" s="3">
        <v>0</v>
      </c>
      <c r="M1263" s="3">
        <v>0</v>
      </c>
      <c r="N1263" s="3">
        <v>0</v>
      </c>
      <c r="O1263" s="4">
        <f t="shared" si="117"/>
        <v>0</v>
      </c>
      <c r="P1263" s="5" t="str">
        <f t="shared" si="118"/>
        <v>No engagement</v>
      </c>
      <c r="Q1263" t="b">
        <v>0</v>
      </c>
      <c r="R1263" t="b">
        <v>0</v>
      </c>
      <c r="S1263" t="b">
        <v>1</v>
      </c>
      <c r="T1263" s="24" t="str">
        <f t="shared" si="119"/>
        <v>Link</v>
      </c>
    </row>
    <row r="1264" spans="1:20" hidden="1" x14ac:dyDescent="0.2">
      <c r="A1264" t="s">
        <v>4779</v>
      </c>
      <c r="B1264" t="s">
        <v>2365</v>
      </c>
      <c r="C1264" t="s">
        <v>2366</v>
      </c>
      <c r="D1264" t="s">
        <v>4780</v>
      </c>
      <c r="E1264" t="s">
        <v>4781</v>
      </c>
      <c r="F1264" t="str">
        <f>IF(Table2[[#This Row],[Date posted]]&lt; DATE(2015,9,18),"Before Crisis","During Crisis")</f>
        <v>Before Crisis</v>
      </c>
      <c r="G1264" s="27">
        <f t="shared" si="114"/>
        <v>42263</v>
      </c>
      <c r="H1264" s="7" t="str">
        <f t="shared" si="115"/>
        <v>22:00:20</v>
      </c>
      <c r="I1264" s="8" t="str">
        <f t="shared" si="116"/>
        <v>Evening</v>
      </c>
      <c r="J1264" t="s">
        <v>2370</v>
      </c>
      <c r="K1264" t="s">
        <v>2370</v>
      </c>
      <c r="L1264" s="3">
        <v>0</v>
      </c>
      <c r="M1264" s="3">
        <v>0</v>
      </c>
      <c r="N1264" s="3">
        <v>0</v>
      </c>
      <c r="O1264" s="4">
        <f t="shared" si="117"/>
        <v>0</v>
      </c>
      <c r="P1264" s="5" t="str">
        <f t="shared" si="118"/>
        <v>No engagement</v>
      </c>
      <c r="Q1264" t="b">
        <v>0</v>
      </c>
      <c r="R1264" t="b">
        <v>0</v>
      </c>
      <c r="S1264" t="b">
        <v>1</v>
      </c>
      <c r="T1264" s="24" t="str">
        <f t="shared" si="119"/>
        <v>Link</v>
      </c>
    </row>
    <row r="1265" spans="1:20" hidden="1" x14ac:dyDescent="0.2">
      <c r="A1265" t="s">
        <v>4782</v>
      </c>
      <c r="B1265" t="s">
        <v>2365</v>
      </c>
      <c r="C1265" t="s">
        <v>2366</v>
      </c>
      <c r="D1265" t="s">
        <v>4783</v>
      </c>
      <c r="E1265" t="s">
        <v>4781</v>
      </c>
      <c r="F1265" t="str">
        <f>IF(Table2[[#This Row],[Date posted]]&lt; DATE(2015,9,18),"Before Crisis","During Crisis")</f>
        <v>Before Crisis</v>
      </c>
      <c r="G1265" s="27">
        <f t="shared" si="114"/>
        <v>42263</v>
      </c>
      <c r="H1265" s="7" t="str">
        <f t="shared" si="115"/>
        <v>22:00:20</v>
      </c>
      <c r="I1265" s="8" t="str">
        <f t="shared" si="116"/>
        <v>Evening</v>
      </c>
      <c r="J1265" t="s">
        <v>4784</v>
      </c>
      <c r="K1265" t="s">
        <v>2370</v>
      </c>
      <c r="L1265" s="3">
        <v>0</v>
      </c>
      <c r="M1265" s="3">
        <v>0</v>
      </c>
      <c r="N1265" s="3">
        <v>0</v>
      </c>
      <c r="O1265" s="4">
        <f t="shared" si="117"/>
        <v>0</v>
      </c>
      <c r="P1265" s="5" t="str">
        <f t="shared" si="118"/>
        <v>No engagement</v>
      </c>
      <c r="Q1265" t="b">
        <v>0</v>
      </c>
      <c r="R1265" t="b">
        <v>0</v>
      </c>
      <c r="S1265" t="b">
        <v>0</v>
      </c>
      <c r="T1265" s="24" t="str">
        <f t="shared" si="119"/>
        <v>Text only</v>
      </c>
    </row>
    <row r="1266" spans="1:20" hidden="1" x14ac:dyDescent="0.2">
      <c r="A1266" t="s">
        <v>4768</v>
      </c>
      <c r="B1266" t="s">
        <v>2365</v>
      </c>
      <c r="C1266" t="s">
        <v>2366</v>
      </c>
      <c r="D1266" t="s">
        <v>4769</v>
      </c>
      <c r="E1266" t="s">
        <v>4767</v>
      </c>
      <c r="F1266" t="str">
        <f>IF(Table2[[#This Row],[Date posted]]&lt; DATE(2015,9,18),"Before Crisis","During Crisis")</f>
        <v>Before Crisis</v>
      </c>
      <c r="G1266" s="27">
        <f t="shared" si="114"/>
        <v>42263</v>
      </c>
      <c r="H1266" s="7" t="str">
        <f t="shared" si="115"/>
        <v>22:00:22</v>
      </c>
      <c r="I1266" s="8" t="str">
        <f t="shared" si="116"/>
        <v>Evening</v>
      </c>
      <c r="J1266" t="s">
        <v>2370</v>
      </c>
      <c r="K1266" t="s">
        <v>2370</v>
      </c>
      <c r="L1266" s="3">
        <v>0</v>
      </c>
      <c r="M1266">
        <v>1</v>
      </c>
      <c r="N1266" s="3">
        <v>0</v>
      </c>
      <c r="O1266" s="4">
        <f t="shared" si="117"/>
        <v>1</v>
      </c>
      <c r="P1266" s="5" t="str">
        <f t="shared" si="118"/>
        <v>Low engagement</v>
      </c>
      <c r="Q1266" t="b">
        <v>0</v>
      </c>
      <c r="R1266" t="b">
        <v>0</v>
      </c>
      <c r="S1266" t="b">
        <v>0</v>
      </c>
      <c r="T1266" s="24" t="str">
        <f t="shared" si="119"/>
        <v>Text only</v>
      </c>
    </row>
    <row r="1267" spans="1:20" hidden="1" x14ac:dyDescent="0.2">
      <c r="A1267" t="s">
        <v>4755</v>
      </c>
      <c r="B1267" t="s">
        <v>2365</v>
      </c>
      <c r="C1267" t="s">
        <v>2366</v>
      </c>
      <c r="D1267" t="s">
        <v>4756</v>
      </c>
      <c r="E1267" t="s">
        <v>4757</v>
      </c>
      <c r="F1267" t="str">
        <f>IF(Table2[[#This Row],[Date posted]]&lt; DATE(2015,9,18),"Before Crisis","During Crisis")</f>
        <v>Before Crisis</v>
      </c>
      <c r="G1267" s="27">
        <f t="shared" si="114"/>
        <v>42264</v>
      </c>
      <c r="H1267" s="7" t="str">
        <f t="shared" si="115"/>
        <v>19:05:22</v>
      </c>
      <c r="I1267" s="8" t="str">
        <f t="shared" si="116"/>
        <v>Evening</v>
      </c>
      <c r="J1267" t="s">
        <v>4758</v>
      </c>
      <c r="K1267" t="s">
        <v>2370</v>
      </c>
      <c r="L1267" s="3">
        <v>0</v>
      </c>
      <c r="M1267" s="3">
        <v>0</v>
      </c>
      <c r="N1267" s="3">
        <v>0</v>
      </c>
      <c r="O1267" s="4">
        <f t="shared" si="117"/>
        <v>0</v>
      </c>
      <c r="P1267" s="5" t="str">
        <f t="shared" si="118"/>
        <v>No engagement</v>
      </c>
      <c r="Q1267" t="b">
        <v>0</v>
      </c>
      <c r="R1267" t="b">
        <v>0</v>
      </c>
      <c r="S1267" t="b">
        <v>0</v>
      </c>
      <c r="T1267" s="24" t="str">
        <f t="shared" si="119"/>
        <v>Text only</v>
      </c>
    </row>
    <row r="1268" spans="1:20" hidden="1" x14ac:dyDescent="0.2">
      <c r="A1268" t="s">
        <v>4744</v>
      </c>
      <c r="B1268" t="s">
        <v>2365</v>
      </c>
      <c r="C1268" t="s">
        <v>2366</v>
      </c>
      <c r="D1268" t="s">
        <v>4745</v>
      </c>
      <c r="E1268" t="s">
        <v>4746</v>
      </c>
      <c r="F1268" t="str">
        <f>IF(Table2[[#This Row],[Date posted]]&lt; DATE(2015,9,18),"Before Crisis","During Crisis")</f>
        <v>Before Crisis</v>
      </c>
      <c r="G1268" s="27">
        <f t="shared" si="114"/>
        <v>42264</v>
      </c>
      <c r="H1268" s="7" t="str">
        <f t="shared" si="115"/>
        <v>22:28:38</v>
      </c>
      <c r="I1268" s="8" t="str">
        <f t="shared" si="116"/>
        <v>Evening</v>
      </c>
      <c r="J1268" t="s">
        <v>4747</v>
      </c>
      <c r="K1268" t="s">
        <v>2370</v>
      </c>
      <c r="L1268" s="3">
        <v>0</v>
      </c>
      <c r="M1268" s="3">
        <v>0</v>
      </c>
      <c r="N1268" s="3">
        <v>0</v>
      </c>
      <c r="O1268" s="4">
        <f t="shared" si="117"/>
        <v>0</v>
      </c>
      <c r="P1268" s="5" t="str">
        <f t="shared" si="118"/>
        <v>No engagement</v>
      </c>
      <c r="Q1268" t="b">
        <v>0</v>
      </c>
      <c r="R1268" t="b">
        <v>0</v>
      </c>
      <c r="S1268" t="b">
        <v>0</v>
      </c>
      <c r="T1268" s="24" t="str">
        <f t="shared" si="119"/>
        <v>Text only</v>
      </c>
    </row>
    <row r="1269" spans="1:20" hidden="1" x14ac:dyDescent="0.2">
      <c r="A1269" t="s">
        <v>4737</v>
      </c>
      <c r="B1269" t="s">
        <v>2365</v>
      </c>
      <c r="C1269" t="s">
        <v>2366</v>
      </c>
      <c r="D1269" t="s">
        <v>4738</v>
      </c>
      <c r="E1269" t="s">
        <v>4736</v>
      </c>
      <c r="F1269" t="str">
        <f>IF(Table2[[#This Row],[Date posted]]&lt; DATE(2015,9,18),"Before Crisis","During Crisis")</f>
        <v>Before Crisis</v>
      </c>
      <c r="G1269" s="27">
        <f t="shared" si="114"/>
        <v>42264</v>
      </c>
      <c r="H1269" s="7" t="str">
        <f t="shared" si="115"/>
        <v>23:19:26</v>
      </c>
      <c r="I1269" s="8" t="str">
        <f t="shared" si="116"/>
        <v>Evening</v>
      </c>
      <c r="J1269" t="s">
        <v>4739</v>
      </c>
      <c r="K1269" t="s">
        <v>2370</v>
      </c>
      <c r="L1269" s="3">
        <v>0</v>
      </c>
      <c r="M1269">
        <v>1</v>
      </c>
      <c r="N1269" s="3">
        <v>0</v>
      </c>
      <c r="O1269" s="4">
        <f t="shared" si="117"/>
        <v>1</v>
      </c>
      <c r="P1269" s="5" t="str">
        <f t="shared" si="118"/>
        <v>Low engagement</v>
      </c>
      <c r="Q1269" t="b">
        <v>0</v>
      </c>
      <c r="R1269" t="b">
        <v>0</v>
      </c>
      <c r="S1269" t="b">
        <v>1</v>
      </c>
      <c r="T1269" s="24" t="str">
        <f t="shared" si="119"/>
        <v>Link</v>
      </c>
    </row>
    <row r="1270" spans="1:20" hidden="1" x14ac:dyDescent="0.2">
      <c r="A1270" t="s">
        <v>4726</v>
      </c>
      <c r="B1270" t="s">
        <v>2365</v>
      </c>
      <c r="C1270" t="s">
        <v>2366</v>
      </c>
      <c r="D1270" t="s">
        <v>4727</v>
      </c>
      <c r="E1270" t="s">
        <v>4724</v>
      </c>
      <c r="F1270" t="str">
        <f>IF(Table2[[#This Row],[Date posted]]&lt; DATE(2015,9,18),"Before Crisis","During Crisis")</f>
        <v>Before Crisis</v>
      </c>
      <c r="G1270" s="27">
        <f t="shared" si="114"/>
        <v>42264</v>
      </c>
      <c r="H1270" s="7" t="str">
        <f t="shared" si="115"/>
        <v>23:19:28</v>
      </c>
      <c r="I1270" s="8" t="str">
        <f t="shared" si="116"/>
        <v>Evening</v>
      </c>
      <c r="J1270" t="s">
        <v>4725</v>
      </c>
      <c r="K1270" t="s">
        <v>2370</v>
      </c>
      <c r="L1270" s="3">
        <v>0</v>
      </c>
      <c r="M1270">
        <v>1</v>
      </c>
      <c r="N1270" s="3">
        <v>0</v>
      </c>
      <c r="O1270" s="4">
        <f t="shared" si="117"/>
        <v>1</v>
      </c>
      <c r="P1270" s="5" t="str">
        <f t="shared" si="118"/>
        <v>Low engagement</v>
      </c>
      <c r="Q1270" t="b">
        <v>0</v>
      </c>
      <c r="R1270" t="b">
        <v>0</v>
      </c>
      <c r="S1270" t="b">
        <v>0</v>
      </c>
      <c r="T1270" s="24" t="str">
        <f t="shared" si="119"/>
        <v>Text only</v>
      </c>
    </row>
    <row r="1271" spans="1:20" x14ac:dyDescent="0.2">
      <c r="A1271" t="s">
        <v>4708</v>
      </c>
      <c r="B1271" t="s">
        <v>2365</v>
      </c>
      <c r="C1271" t="s">
        <v>2366</v>
      </c>
      <c r="D1271" t="s">
        <v>4709</v>
      </c>
      <c r="E1271" t="s">
        <v>4710</v>
      </c>
      <c r="F1271" t="str">
        <f>IF(Table2[[#This Row],[Date posted]]&lt; DATE(2015,9,18),"Before Crisis","During Crisis")</f>
        <v>During Crisis</v>
      </c>
      <c r="G1271" s="27">
        <f t="shared" si="114"/>
        <v>42265</v>
      </c>
      <c r="H1271" s="7" t="str">
        <f t="shared" si="115"/>
        <v>00:35:00</v>
      </c>
      <c r="I1271" s="8" t="str">
        <f t="shared" si="116"/>
        <v>Early morning</v>
      </c>
      <c r="J1271" t="s">
        <v>2370</v>
      </c>
      <c r="K1271" t="s">
        <v>2370</v>
      </c>
      <c r="L1271" s="3">
        <v>0</v>
      </c>
      <c r="M1271" s="3">
        <v>0</v>
      </c>
      <c r="N1271" s="3">
        <v>0</v>
      </c>
      <c r="O1271" s="4">
        <f t="shared" si="117"/>
        <v>0</v>
      </c>
      <c r="P1271" s="5" t="str">
        <f t="shared" si="118"/>
        <v>No engagement</v>
      </c>
      <c r="Q1271" t="b">
        <v>0</v>
      </c>
      <c r="R1271" t="b">
        <v>0</v>
      </c>
      <c r="S1271" t="b">
        <v>1</v>
      </c>
      <c r="T1271" s="24" t="str">
        <f t="shared" si="119"/>
        <v>Link</v>
      </c>
    </row>
    <row r="1272" spans="1:20" x14ac:dyDescent="0.2">
      <c r="A1272" t="s">
        <v>4704</v>
      </c>
      <c r="B1272" t="s">
        <v>2365</v>
      </c>
      <c r="C1272" t="s">
        <v>2366</v>
      </c>
      <c r="D1272" t="s">
        <v>4705</v>
      </c>
      <c r="E1272" t="s">
        <v>4706</v>
      </c>
      <c r="F1272" t="str">
        <f>IF(Table2[[#This Row],[Date posted]]&lt; DATE(2015,9,18),"Before Crisis","During Crisis")</f>
        <v>During Crisis</v>
      </c>
      <c r="G1272" s="27">
        <f t="shared" si="114"/>
        <v>42265</v>
      </c>
      <c r="H1272" s="7" t="str">
        <f t="shared" si="115"/>
        <v>00:51:53</v>
      </c>
      <c r="I1272" s="8" t="str">
        <f t="shared" si="116"/>
        <v>Early morning</v>
      </c>
      <c r="J1272" t="s">
        <v>4707</v>
      </c>
      <c r="K1272" t="s">
        <v>2370</v>
      </c>
      <c r="L1272" s="3">
        <v>0</v>
      </c>
      <c r="M1272" s="3">
        <v>0</v>
      </c>
      <c r="N1272" s="3">
        <v>0</v>
      </c>
      <c r="O1272" s="4">
        <f t="shared" si="117"/>
        <v>0</v>
      </c>
      <c r="P1272" s="5" t="str">
        <f t="shared" si="118"/>
        <v>No engagement</v>
      </c>
      <c r="Q1272" t="b">
        <v>0</v>
      </c>
      <c r="R1272" t="b">
        <v>0</v>
      </c>
      <c r="S1272" t="b">
        <v>0</v>
      </c>
      <c r="T1272" s="24" t="str">
        <f t="shared" si="119"/>
        <v>Text only</v>
      </c>
    </row>
    <row r="1273" spans="1:20" hidden="1" x14ac:dyDescent="0.2">
      <c r="A1273" t="s">
        <v>4689</v>
      </c>
      <c r="B1273" t="s">
        <v>2365</v>
      </c>
      <c r="C1273" t="s">
        <v>2366</v>
      </c>
      <c r="D1273" t="s">
        <v>4690</v>
      </c>
      <c r="E1273" t="s">
        <v>4691</v>
      </c>
      <c r="F1273" t="str">
        <f>IF(Table2[[#This Row],[Date posted]]&lt; DATE(2015,9,18),"Before Crisis","During Crisis")</f>
        <v>During Crisis</v>
      </c>
      <c r="G1273" s="27">
        <f t="shared" si="114"/>
        <v>42265</v>
      </c>
      <c r="H1273" s="7" t="str">
        <f t="shared" si="115"/>
        <v>14:37:18</v>
      </c>
      <c r="I1273" s="8" t="str">
        <f t="shared" si="116"/>
        <v>Afternoon</v>
      </c>
      <c r="J1273" t="s">
        <v>4692</v>
      </c>
      <c r="K1273" t="s">
        <v>2370</v>
      </c>
      <c r="L1273" s="3">
        <v>0</v>
      </c>
      <c r="M1273" s="3">
        <v>0</v>
      </c>
      <c r="N1273" s="3">
        <v>0</v>
      </c>
      <c r="O1273" s="4">
        <f t="shared" si="117"/>
        <v>0</v>
      </c>
      <c r="P1273" s="5" t="str">
        <f t="shared" si="118"/>
        <v>No engagement</v>
      </c>
      <c r="Q1273" t="b">
        <v>0</v>
      </c>
      <c r="R1273" t="b">
        <v>0</v>
      </c>
      <c r="S1273" t="b">
        <v>1</v>
      </c>
      <c r="T1273" s="24" t="str">
        <f t="shared" si="119"/>
        <v>Link</v>
      </c>
    </row>
    <row r="1274" spans="1:20" hidden="1" x14ac:dyDescent="0.2">
      <c r="A1274" t="s">
        <v>4678</v>
      </c>
      <c r="B1274" t="s">
        <v>2365</v>
      </c>
      <c r="C1274" t="s">
        <v>2366</v>
      </c>
      <c r="D1274" t="s">
        <v>4679</v>
      </c>
      <c r="E1274" t="s">
        <v>4680</v>
      </c>
      <c r="F1274" t="str">
        <f>IF(Table2[[#This Row],[Date posted]]&lt; DATE(2015,9,18),"Before Crisis","During Crisis")</f>
        <v>During Crisis</v>
      </c>
      <c r="G1274" s="27">
        <f t="shared" si="114"/>
        <v>42265</v>
      </c>
      <c r="H1274" s="7" t="str">
        <f t="shared" si="115"/>
        <v>15:53:12</v>
      </c>
      <c r="I1274" s="8" t="str">
        <f t="shared" si="116"/>
        <v>Afternoon</v>
      </c>
      <c r="J1274" t="s">
        <v>2370</v>
      </c>
      <c r="K1274" t="s">
        <v>2370</v>
      </c>
      <c r="L1274">
        <v>2</v>
      </c>
      <c r="M1274">
        <v>1</v>
      </c>
      <c r="N1274" s="3">
        <v>0</v>
      </c>
      <c r="O1274" s="4">
        <f t="shared" si="117"/>
        <v>3</v>
      </c>
      <c r="P1274" s="5" t="str">
        <f t="shared" si="118"/>
        <v>Low engagement</v>
      </c>
      <c r="Q1274" t="b">
        <v>0</v>
      </c>
      <c r="R1274" t="b">
        <v>0</v>
      </c>
      <c r="S1274" t="b">
        <v>1</v>
      </c>
      <c r="T1274" s="24" t="str">
        <f t="shared" si="119"/>
        <v>Link</v>
      </c>
    </row>
    <row r="1275" spans="1:20" hidden="1" x14ac:dyDescent="0.2">
      <c r="A1275" t="s">
        <v>4666</v>
      </c>
      <c r="B1275" t="s">
        <v>2365</v>
      </c>
      <c r="C1275" t="s">
        <v>2366</v>
      </c>
      <c r="D1275" t="s">
        <v>4667</v>
      </c>
      <c r="E1275" t="s">
        <v>4664</v>
      </c>
      <c r="F1275" t="str">
        <f>IF(Table2[[#This Row],[Date posted]]&lt; DATE(2015,9,18),"Before Crisis","During Crisis")</f>
        <v>During Crisis</v>
      </c>
      <c r="G1275" s="27">
        <f t="shared" si="114"/>
        <v>42265</v>
      </c>
      <c r="H1275" s="7" t="str">
        <f t="shared" si="115"/>
        <v>21:20:57</v>
      </c>
      <c r="I1275" s="8" t="str">
        <f t="shared" si="116"/>
        <v>Evening</v>
      </c>
      <c r="J1275" t="s">
        <v>4668</v>
      </c>
      <c r="K1275" t="s">
        <v>2370</v>
      </c>
      <c r="L1275" s="3">
        <v>0</v>
      </c>
      <c r="M1275">
        <v>1</v>
      </c>
      <c r="N1275" s="3">
        <v>0</v>
      </c>
      <c r="O1275" s="4">
        <f t="shared" si="117"/>
        <v>1</v>
      </c>
      <c r="P1275" s="5" t="str">
        <f t="shared" si="118"/>
        <v>Low engagement</v>
      </c>
      <c r="Q1275" t="b">
        <v>0</v>
      </c>
      <c r="R1275" t="b">
        <v>0</v>
      </c>
      <c r="S1275" t="b">
        <v>0</v>
      </c>
      <c r="T1275" s="24" t="str">
        <f t="shared" si="119"/>
        <v>Text only</v>
      </c>
    </row>
    <row r="1276" spans="1:20" hidden="1" x14ac:dyDescent="0.2">
      <c r="A1276" t="s">
        <v>4644</v>
      </c>
      <c r="B1276" t="s">
        <v>2365</v>
      </c>
      <c r="C1276" t="s">
        <v>2366</v>
      </c>
      <c r="D1276" t="s">
        <v>4645</v>
      </c>
      <c r="E1276" t="s">
        <v>4646</v>
      </c>
      <c r="F1276" t="str">
        <f>IF(Table2[[#This Row],[Date posted]]&lt; DATE(2015,9,18),"Before Crisis","During Crisis")</f>
        <v>During Crisis</v>
      </c>
      <c r="G1276" s="27">
        <f t="shared" si="114"/>
        <v>42268</v>
      </c>
      <c r="H1276" s="7" t="str">
        <f t="shared" si="115"/>
        <v>16:00:57</v>
      </c>
      <c r="I1276" s="8" t="str">
        <f t="shared" si="116"/>
        <v>Afternoon</v>
      </c>
      <c r="J1276" t="s">
        <v>4647</v>
      </c>
      <c r="K1276" t="s">
        <v>2370</v>
      </c>
      <c r="L1276" s="3">
        <v>0</v>
      </c>
      <c r="M1276">
        <v>2</v>
      </c>
      <c r="N1276" s="3">
        <v>0</v>
      </c>
      <c r="O1276" s="4">
        <f t="shared" si="117"/>
        <v>2</v>
      </c>
      <c r="P1276" s="5" t="str">
        <f t="shared" si="118"/>
        <v>Low engagement</v>
      </c>
      <c r="Q1276" t="b">
        <v>0</v>
      </c>
      <c r="R1276" t="b">
        <v>0</v>
      </c>
      <c r="S1276" t="b">
        <v>0</v>
      </c>
      <c r="T1276" s="24" t="str">
        <f t="shared" si="119"/>
        <v>Text only</v>
      </c>
    </row>
    <row r="1277" spans="1:20" hidden="1" x14ac:dyDescent="0.2">
      <c r="A1277" t="s">
        <v>4641</v>
      </c>
      <c r="B1277" t="s">
        <v>2365</v>
      </c>
      <c r="C1277" t="s">
        <v>2366</v>
      </c>
      <c r="D1277" t="s">
        <v>4642</v>
      </c>
      <c r="E1277" t="s">
        <v>4643</v>
      </c>
      <c r="F1277" t="str">
        <f>IF(Table2[[#This Row],[Date posted]]&lt; DATE(2015,9,18),"Before Crisis","During Crisis")</f>
        <v>During Crisis</v>
      </c>
      <c r="G1277" s="27">
        <f t="shared" si="114"/>
        <v>42268</v>
      </c>
      <c r="H1277" s="7" t="str">
        <f t="shared" si="115"/>
        <v>17:23:12</v>
      </c>
      <c r="I1277" s="8" t="str">
        <f t="shared" si="116"/>
        <v>Afternoon</v>
      </c>
      <c r="J1277" t="s">
        <v>2370</v>
      </c>
      <c r="K1277" t="s">
        <v>2370</v>
      </c>
      <c r="L1277" s="3">
        <v>0</v>
      </c>
      <c r="M1277">
        <v>1</v>
      </c>
      <c r="N1277" s="3">
        <v>0</v>
      </c>
      <c r="O1277" s="4">
        <f t="shared" si="117"/>
        <v>1</v>
      </c>
      <c r="P1277" s="5" t="str">
        <f t="shared" si="118"/>
        <v>Low engagement</v>
      </c>
      <c r="Q1277" t="b">
        <v>0</v>
      </c>
      <c r="R1277" t="b">
        <v>0</v>
      </c>
      <c r="S1277" t="b">
        <v>1</v>
      </c>
      <c r="T1277" s="24" t="str">
        <f t="shared" si="119"/>
        <v>Link</v>
      </c>
    </row>
    <row r="1278" spans="1:20" hidden="1" x14ac:dyDescent="0.2">
      <c r="A1278" t="s">
        <v>4637</v>
      </c>
      <c r="B1278" t="s">
        <v>2365</v>
      </c>
      <c r="C1278" t="s">
        <v>2366</v>
      </c>
      <c r="D1278" t="s">
        <v>4638</v>
      </c>
      <c r="E1278" t="s">
        <v>4639</v>
      </c>
      <c r="F1278" t="str">
        <f>IF(Table2[[#This Row],[Date posted]]&lt; DATE(2015,9,18),"Before Crisis","During Crisis")</f>
        <v>During Crisis</v>
      </c>
      <c r="G1278" s="27">
        <f t="shared" si="114"/>
        <v>42268</v>
      </c>
      <c r="H1278" s="7" t="str">
        <f t="shared" si="115"/>
        <v>19:59:38</v>
      </c>
      <c r="I1278" s="8" t="str">
        <f t="shared" si="116"/>
        <v>Evening</v>
      </c>
      <c r="J1278" t="s">
        <v>4640</v>
      </c>
      <c r="K1278" t="s">
        <v>2370</v>
      </c>
      <c r="L1278" s="3">
        <v>0</v>
      </c>
      <c r="M1278" s="3">
        <v>0</v>
      </c>
      <c r="N1278" s="3">
        <v>0</v>
      </c>
      <c r="O1278" s="4">
        <f t="shared" si="117"/>
        <v>0</v>
      </c>
      <c r="P1278" s="5" t="str">
        <f t="shared" si="118"/>
        <v>No engagement</v>
      </c>
      <c r="Q1278" t="b">
        <v>0</v>
      </c>
      <c r="R1278" t="b">
        <v>0</v>
      </c>
      <c r="S1278" t="b">
        <v>0</v>
      </c>
      <c r="T1278" s="24" t="str">
        <f t="shared" si="119"/>
        <v>Text only</v>
      </c>
    </row>
    <row r="1279" spans="1:20" hidden="1" x14ac:dyDescent="0.2">
      <c r="A1279" t="s">
        <v>4632</v>
      </c>
      <c r="B1279" t="s">
        <v>2365</v>
      </c>
      <c r="C1279" t="s">
        <v>2366</v>
      </c>
      <c r="D1279" t="s">
        <v>4633</v>
      </c>
      <c r="E1279" t="s">
        <v>4634</v>
      </c>
      <c r="F1279" t="str">
        <f>IF(Table2[[#This Row],[Date posted]]&lt; DATE(2015,9,18),"Before Crisis","During Crisis")</f>
        <v>During Crisis</v>
      </c>
      <c r="G1279" s="27">
        <f t="shared" si="114"/>
        <v>42268</v>
      </c>
      <c r="H1279" s="7" t="str">
        <f t="shared" si="115"/>
        <v>20:08:51</v>
      </c>
      <c r="I1279" s="8" t="str">
        <f t="shared" si="116"/>
        <v>Evening</v>
      </c>
      <c r="J1279" t="s">
        <v>2370</v>
      </c>
      <c r="K1279" t="s">
        <v>2370</v>
      </c>
      <c r="L1279" s="3">
        <v>0</v>
      </c>
      <c r="M1279">
        <v>1</v>
      </c>
      <c r="N1279" s="3">
        <v>0</v>
      </c>
      <c r="O1279" s="4">
        <f t="shared" si="117"/>
        <v>1</v>
      </c>
      <c r="P1279" s="5" t="str">
        <f t="shared" si="118"/>
        <v>Low engagement</v>
      </c>
      <c r="Q1279" t="b">
        <v>0</v>
      </c>
      <c r="R1279" t="b">
        <v>0</v>
      </c>
      <c r="S1279" t="b">
        <v>0</v>
      </c>
      <c r="T1279" s="24" t="str">
        <f t="shared" si="119"/>
        <v>Text only</v>
      </c>
    </row>
    <row r="1280" spans="1:20" hidden="1" x14ac:dyDescent="0.2">
      <c r="A1280" t="s">
        <v>4635</v>
      </c>
      <c r="B1280" t="s">
        <v>2365</v>
      </c>
      <c r="C1280" t="s">
        <v>2366</v>
      </c>
      <c r="D1280" t="s">
        <v>4636</v>
      </c>
      <c r="E1280" t="s">
        <v>4634</v>
      </c>
      <c r="F1280" t="str">
        <f>IF(Table2[[#This Row],[Date posted]]&lt; DATE(2015,9,18),"Before Crisis","During Crisis")</f>
        <v>During Crisis</v>
      </c>
      <c r="G1280" s="27">
        <f t="shared" si="114"/>
        <v>42268</v>
      </c>
      <c r="H1280" s="7" t="str">
        <f t="shared" si="115"/>
        <v>20:08:51</v>
      </c>
      <c r="I1280" s="8" t="str">
        <f t="shared" si="116"/>
        <v>Evening</v>
      </c>
      <c r="J1280" t="s">
        <v>2370</v>
      </c>
      <c r="K1280" t="s">
        <v>2370</v>
      </c>
      <c r="L1280" s="3">
        <v>0</v>
      </c>
      <c r="M1280">
        <v>1</v>
      </c>
      <c r="N1280" s="3">
        <v>0</v>
      </c>
      <c r="O1280" s="4">
        <f t="shared" si="117"/>
        <v>1</v>
      </c>
      <c r="P1280" s="5" t="str">
        <f t="shared" si="118"/>
        <v>Low engagement</v>
      </c>
      <c r="Q1280" t="b">
        <v>0</v>
      </c>
      <c r="R1280" t="b">
        <v>0</v>
      </c>
      <c r="S1280" t="b">
        <v>0</v>
      </c>
      <c r="T1280" s="24" t="str">
        <f t="shared" si="119"/>
        <v>Text only</v>
      </c>
    </row>
    <row r="1281" spans="1:20" hidden="1" x14ac:dyDescent="0.2">
      <c r="A1281" t="s">
        <v>4611</v>
      </c>
      <c r="B1281" t="s">
        <v>2365</v>
      </c>
      <c r="C1281" t="s">
        <v>2366</v>
      </c>
      <c r="D1281" t="s">
        <v>4612</v>
      </c>
      <c r="E1281" t="s">
        <v>4613</v>
      </c>
      <c r="F1281" t="str">
        <f>IF(Table2[[#This Row],[Date posted]]&lt; DATE(2015,9,18),"Before Crisis","During Crisis")</f>
        <v>During Crisis</v>
      </c>
      <c r="G1281" s="27">
        <f t="shared" si="114"/>
        <v>42269</v>
      </c>
      <c r="H1281" s="7" t="str">
        <f t="shared" si="115"/>
        <v>14:23:28</v>
      </c>
      <c r="I1281" s="8" t="str">
        <f t="shared" si="116"/>
        <v>Afternoon</v>
      </c>
      <c r="J1281" t="s">
        <v>2370</v>
      </c>
      <c r="K1281" t="s">
        <v>2370</v>
      </c>
      <c r="L1281" s="3">
        <v>0</v>
      </c>
      <c r="M1281" s="3">
        <v>0</v>
      </c>
      <c r="N1281" s="3">
        <v>0</v>
      </c>
      <c r="O1281" s="4">
        <f t="shared" si="117"/>
        <v>0</v>
      </c>
      <c r="P1281" s="5" t="str">
        <f t="shared" si="118"/>
        <v>No engagement</v>
      </c>
      <c r="Q1281" t="b">
        <v>0</v>
      </c>
      <c r="R1281" t="b">
        <v>0</v>
      </c>
      <c r="S1281" t="b">
        <v>1</v>
      </c>
      <c r="T1281" s="24" t="str">
        <f t="shared" si="119"/>
        <v>Link</v>
      </c>
    </row>
    <row r="1282" spans="1:20" hidden="1" x14ac:dyDescent="0.2">
      <c r="A1282" t="s">
        <v>4604</v>
      </c>
      <c r="B1282" t="s">
        <v>2365</v>
      </c>
      <c r="C1282" t="s">
        <v>2366</v>
      </c>
      <c r="D1282" t="s">
        <v>4605</v>
      </c>
      <c r="E1282" t="s">
        <v>4606</v>
      </c>
      <c r="F1282" t="str">
        <f>IF(Table2[[#This Row],[Date posted]]&lt; DATE(2015,9,18),"Before Crisis","During Crisis")</f>
        <v>During Crisis</v>
      </c>
      <c r="G1282" s="27">
        <f t="shared" ref="G1282:G1345" si="120">DATEVALUE(LEFT(E1282,10))</f>
        <v>42269</v>
      </c>
      <c r="H1282" s="7" t="str">
        <f t="shared" ref="H1282:H1345" si="121">MID(E1282,12,8)</f>
        <v>18:17:01</v>
      </c>
      <c r="I1282" s="8" t="str">
        <f t="shared" ref="I1282:I1345" si="122">IF(HOUR(H1282)&lt;7,"Early morning",
IF(HOUR(H1282)&lt;11,"Morning",
IF(HOUR(H1282)&lt;14,"Mid-day",
IF(HOUR(H1282)&lt;18,"Afternoon","Evening"))))</f>
        <v>Evening</v>
      </c>
      <c r="J1282" t="s">
        <v>4607</v>
      </c>
      <c r="K1282" t="s">
        <v>2370</v>
      </c>
      <c r="L1282" s="3">
        <v>0</v>
      </c>
      <c r="M1282">
        <v>1</v>
      </c>
      <c r="N1282" s="3">
        <v>0</v>
      </c>
      <c r="O1282" s="4">
        <f t="shared" ref="O1282:O1345" si="123">L1282+M1282+N1282</f>
        <v>1</v>
      </c>
      <c r="P1282" s="5" t="str">
        <f t="shared" ref="P1282:P1345" si="124">IF(O1282&lt;1,"No engagement", IF(O1282&lt;5,"Low engagement", IF(O1282&lt;10,"Moderate engagement", "High engagement")))</f>
        <v>Low engagement</v>
      </c>
      <c r="Q1282" t="b">
        <v>0</v>
      </c>
      <c r="R1282" t="b">
        <v>0</v>
      </c>
      <c r="S1282" t="b">
        <v>0</v>
      </c>
      <c r="T1282" s="24" t="str">
        <f t="shared" ref="T1282:T1345" si="125">IF(Q1282=TRUE,"Photo",
    IF(R1282=TRUE,"Video",
        IF(S1282=TRUE,"Link","Text only")))</f>
        <v>Text only</v>
      </c>
    </row>
    <row r="1283" spans="1:20" hidden="1" x14ac:dyDescent="0.2">
      <c r="A1283" t="s">
        <v>4600</v>
      </c>
      <c r="B1283" t="s">
        <v>2365</v>
      </c>
      <c r="C1283" t="s">
        <v>2366</v>
      </c>
      <c r="D1283" t="s">
        <v>4601</v>
      </c>
      <c r="E1283" t="s">
        <v>4602</v>
      </c>
      <c r="F1283" t="str">
        <f>IF(Table2[[#This Row],[Date posted]]&lt; DATE(2015,9,18),"Before Crisis","During Crisis")</f>
        <v>During Crisis</v>
      </c>
      <c r="G1283" s="27">
        <f t="shared" si="120"/>
        <v>42269</v>
      </c>
      <c r="H1283" s="7" t="str">
        <f t="shared" si="121"/>
        <v>18:17:02</v>
      </c>
      <c r="I1283" s="8" t="str">
        <f t="shared" si="122"/>
        <v>Evening</v>
      </c>
      <c r="J1283" t="s">
        <v>4603</v>
      </c>
      <c r="K1283" t="s">
        <v>2370</v>
      </c>
      <c r="L1283" s="3">
        <v>0</v>
      </c>
      <c r="M1283" s="3">
        <v>0</v>
      </c>
      <c r="N1283" s="3">
        <v>0</v>
      </c>
      <c r="O1283" s="4">
        <f t="shared" si="123"/>
        <v>0</v>
      </c>
      <c r="P1283" s="5" t="str">
        <f t="shared" si="124"/>
        <v>No engagement</v>
      </c>
      <c r="Q1283" t="b">
        <v>0</v>
      </c>
      <c r="R1283" t="b">
        <v>0</v>
      </c>
      <c r="S1283" t="b">
        <v>1</v>
      </c>
      <c r="T1283" s="24" t="str">
        <f t="shared" si="125"/>
        <v>Link</v>
      </c>
    </row>
    <row r="1284" spans="1:20" hidden="1" x14ac:dyDescent="0.2">
      <c r="A1284" t="s">
        <v>4597</v>
      </c>
      <c r="B1284" t="s">
        <v>2365</v>
      </c>
      <c r="C1284" t="s">
        <v>2366</v>
      </c>
      <c r="D1284" t="s">
        <v>4598</v>
      </c>
      <c r="E1284" t="s">
        <v>4599</v>
      </c>
      <c r="F1284" t="str">
        <f>IF(Table2[[#This Row],[Date posted]]&lt; DATE(2015,9,18),"Before Crisis","During Crisis")</f>
        <v>During Crisis</v>
      </c>
      <c r="G1284" s="27">
        <f t="shared" si="120"/>
        <v>42269</v>
      </c>
      <c r="H1284" s="7" t="str">
        <f t="shared" si="121"/>
        <v>18:17:05</v>
      </c>
      <c r="I1284" s="8" t="str">
        <f t="shared" si="122"/>
        <v>Evening</v>
      </c>
      <c r="J1284" t="s">
        <v>4554</v>
      </c>
      <c r="K1284" t="s">
        <v>2370</v>
      </c>
      <c r="L1284" s="3">
        <v>0</v>
      </c>
      <c r="M1284">
        <v>2</v>
      </c>
      <c r="N1284" s="3">
        <v>0</v>
      </c>
      <c r="O1284" s="4">
        <f t="shared" si="123"/>
        <v>2</v>
      </c>
      <c r="P1284" s="5" t="str">
        <f t="shared" si="124"/>
        <v>Low engagement</v>
      </c>
      <c r="Q1284" t="b">
        <v>0</v>
      </c>
      <c r="R1284" t="b">
        <v>0</v>
      </c>
      <c r="S1284" t="b">
        <v>0</v>
      </c>
      <c r="T1284" s="24" t="str">
        <f t="shared" si="125"/>
        <v>Text only</v>
      </c>
    </row>
    <row r="1285" spans="1:20" hidden="1" x14ac:dyDescent="0.2">
      <c r="A1285" t="s">
        <v>4595</v>
      </c>
      <c r="B1285" t="s">
        <v>2365</v>
      </c>
      <c r="C1285" t="s">
        <v>2366</v>
      </c>
      <c r="D1285" t="s">
        <v>4596</v>
      </c>
      <c r="E1285" t="s">
        <v>4594</v>
      </c>
      <c r="F1285" t="str">
        <f>IF(Table2[[#This Row],[Date posted]]&lt; DATE(2015,9,18),"Before Crisis","During Crisis")</f>
        <v>During Crisis</v>
      </c>
      <c r="G1285" s="27">
        <f t="shared" si="120"/>
        <v>42269</v>
      </c>
      <c r="H1285" s="7" t="str">
        <f t="shared" si="121"/>
        <v>18:17:06</v>
      </c>
      <c r="I1285" s="8" t="str">
        <f t="shared" si="122"/>
        <v>Evening</v>
      </c>
      <c r="J1285" t="s">
        <v>4554</v>
      </c>
      <c r="K1285" t="s">
        <v>2370</v>
      </c>
      <c r="L1285" s="3">
        <v>0</v>
      </c>
      <c r="M1285" s="3">
        <v>0</v>
      </c>
      <c r="N1285" s="3">
        <v>0</v>
      </c>
      <c r="O1285" s="4">
        <f t="shared" si="123"/>
        <v>0</v>
      </c>
      <c r="P1285" s="5" t="str">
        <f t="shared" si="124"/>
        <v>No engagement</v>
      </c>
      <c r="Q1285" t="b">
        <v>0</v>
      </c>
      <c r="R1285" t="b">
        <v>0</v>
      </c>
      <c r="S1285" t="b">
        <v>1</v>
      </c>
      <c r="T1285" s="24" t="str">
        <f t="shared" si="125"/>
        <v>Link</v>
      </c>
    </row>
    <row r="1286" spans="1:20" hidden="1" x14ac:dyDescent="0.2">
      <c r="A1286" t="s">
        <v>4589</v>
      </c>
      <c r="B1286" t="s">
        <v>2365</v>
      </c>
      <c r="C1286" t="s">
        <v>2366</v>
      </c>
      <c r="D1286" t="s">
        <v>4590</v>
      </c>
      <c r="E1286" t="s">
        <v>4591</v>
      </c>
      <c r="F1286" t="str">
        <f>IF(Table2[[#This Row],[Date posted]]&lt; DATE(2015,9,18),"Before Crisis","During Crisis")</f>
        <v>During Crisis</v>
      </c>
      <c r="G1286" s="27">
        <f t="shared" si="120"/>
        <v>42269</v>
      </c>
      <c r="H1286" s="7" t="str">
        <f t="shared" si="121"/>
        <v>18:52:39</v>
      </c>
      <c r="I1286" s="8" t="str">
        <f t="shared" si="122"/>
        <v>Evening</v>
      </c>
      <c r="J1286" t="s">
        <v>2370</v>
      </c>
      <c r="K1286" t="s">
        <v>2370</v>
      </c>
      <c r="L1286" s="3">
        <v>0</v>
      </c>
      <c r="M1286" s="3">
        <v>0</v>
      </c>
      <c r="N1286" s="3">
        <v>0</v>
      </c>
      <c r="O1286" s="4">
        <f t="shared" si="123"/>
        <v>0</v>
      </c>
      <c r="P1286" s="5" t="str">
        <f t="shared" si="124"/>
        <v>No engagement</v>
      </c>
      <c r="Q1286" t="b">
        <v>0</v>
      </c>
      <c r="R1286" t="b">
        <v>0</v>
      </c>
      <c r="S1286" t="b">
        <v>1</v>
      </c>
      <c r="T1286" s="24" t="str">
        <f t="shared" si="125"/>
        <v>Link</v>
      </c>
    </row>
    <row r="1287" spans="1:20" hidden="1" x14ac:dyDescent="0.2">
      <c r="A1287" t="s">
        <v>4586</v>
      </c>
      <c r="B1287" t="s">
        <v>2365</v>
      </c>
      <c r="C1287" t="s">
        <v>2366</v>
      </c>
      <c r="D1287" t="s">
        <v>4587</v>
      </c>
      <c r="E1287" t="s">
        <v>4588</v>
      </c>
      <c r="F1287" t="str">
        <f>IF(Table2[[#This Row],[Date posted]]&lt; DATE(2015,9,18),"Before Crisis","During Crisis")</f>
        <v>During Crisis</v>
      </c>
      <c r="G1287" s="27">
        <f t="shared" si="120"/>
        <v>42269</v>
      </c>
      <c r="H1287" s="7" t="str">
        <f t="shared" si="121"/>
        <v>18:59:22</v>
      </c>
      <c r="I1287" s="8" t="str">
        <f t="shared" si="122"/>
        <v>Evening</v>
      </c>
      <c r="J1287" t="s">
        <v>4585</v>
      </c>
      <c r="K1287" t="s">
        <v>2370</v>
      </c>
      <c r="L1287" s="3">
        <v>0</v>
      </c>
      <c r="M1287" s="3">
        <v>0</v>
      </c>
      <c r="N1287" s="3">
        <v>0</v>
      </c>
      <c r="O1287" s="4">
        <f t="shared" si="123"/>
        <v>0</v>
      </c>
      <c r="P1287" s="5" t="str">
        <f t="shared" si="124"/>
        <v>No engagement</v>
      </c>
      <c r="Q1287" t="b">
        <v>0</v>
      </c>
      <c r="R1287" t="b">
        <v>0</v>
      </c>
      <c r="S1287" t="b">
        <v>0</v>
      </c>
      <c r="T1287" s="24" t="str">
        <f t="shared" si="125"/>
        <v>Text only</v>
      </c>
    </row>
    <row r="1288" spans="1:20" hidden="1" x14ac:dyDescent="0.2">
      <c r="A1288" t="s">
        <v>4579</v>
      </c>
      <c r="B1288" t="s">
        <v>2365</v>
      </c>
      <c r="C1288" t="s">
        <v>2366</v>
      </c>
      <c r="D1288" t="s">
        <v>4580</v>
      </c>
      <c r="E1288" t="s">
        <v>4581</v>
      </c>
      <c r="F1288" t="str">
        <f>IF(Table2[[#This Row],[Date posted]]&lt; DATE(2015,9,18),"Before Crisis","During Crisis")</f>
        <v>During Crisis</v>
      </c>
      <c r="G1288" s="27">
        <f t="shared" si="120"/>
        <v>42269</v>
      </c>
      <c r="H1288" s="7" t="str">
        <f t="shared" si="121"/>
        <v>19:05:50</v>
      </c>
      <c r="I1288" s="8" t="str">
        <f t="shared" si="122"/>
        <v>Evening</v>
      </c>
      <c r="J1288" t="s">
        <v>4578</v>
      </c>
      <c r="K1288" t="s">
        <v>2370</v>
      </c>
      <c r="L1288" s="3">
        <v>0</v>
      </c>
      <c r="M1288">
        <v>2</v>
      </c>
      <c r="N1288" s="3">
        <v>0</v>
      </c>
      <c r="O1288" s="4">
        <f t="shared" si="123"/>
        <v>2</v>
      </c>
      <c r="P1288" s="5" t="str">
        <f t="shared" si="124"/>
        <v>Low engagement</v>
      </c>
      <c r="Q1288" t="b">
        <v>0</v>
      </c>
      <c r="R1288" t="b">
        <v>0</v>
      </c>
      <c r="S1288" t="b">
        <v>0</v>
      </c>
      <c r="T1288" s="24" t="str">
        <f t="shared" si="125"/>
        <v>Text only</v>
      </c>
    </row>
    <row r="1289" spans="1:20" hidden="1" x14ac:dyDescent="0.2">
      <c r="A1289" t="s">
        <v>4575</v>
      </c>
      <c r="B1289" t="s">
        <v>2365</v>
      </c>
      <c r="C1289" t="s">
        <v>2366</v>
      </c>
      <c r="D1289" t="s">
        <v>4576</v>
      </c>
      <c r="E1289" t="s">
        <v>4577</v>
      </c>
      <c r="F1289" t="str">
        <f>IF(Table2[[#This Row],[Date posted]]&lt; DATE(2015,9,18),"Before Crisis","During Crisis")</f>
        <v>During Crisis</v>
      </c>
      <c r="G1289" s="27">
        <f t="shared" si="120"/>
        <v>42269</v>
      </c>
      <c r="H1289" s="7" t="str">
        <f t="shared" si="121"/>
        <v>19:09:26</v>
      </c>
      <c r="I1289" s="8" t="str">
        <f t="shared" si="122"/>
        <v>Evening</v>
      </c>
      <c r="J1289" t="s">
        <v>4578</v>
      </c>
      <c r="K1289" t="s">
        <v>2370</v>
      </c>
      <c r="L1289">
        <v>1</v>
      </c>
      <c r="M1289">
        <v>1</v>
      </c>
      <c r="N1289" s="3">
        <v>0</v>
      </c>
      <c r="O1289" s="4">
        <f t="shared" si="123"/>
        <v>2</v>
      </c>
      <c r="P1289" s="5" t="str">
        <f t="shared" si="124"/>
        <v>Low engagement</v>
      </c>
      <c r="Q1289" t="b">
        <v>0</v>
      </c>
      <c r="R1289" t="b">
        <v>0</v>
      </c>
      <c r="S1289" t="b">
        <v>0</v>
      </c>
      <c r="T1289" s="24" t="str">
        <f t="shared" si="125"/>
        <v>Text only</v>
      </c>
    </row>
    <row r="1290" spans="1:20" x14ac:dyDescent="0.2">
      <c r="A1290" t="s">
        <v>4569</v>
      </c>
      <c r="B1290" t="s">
        <v>2365</v>
      </c>
      <c r="C1290" t="s">
        <v>2366</v>
      </c>
      <c r="D1290" t="s">
        <v>4570</v>
      </c>
      <c r="E1290" t="s">
        <v>4571</v>
      </c>
      <c r="F1290" t="str">
        <f>IF(Table2[[#This Row],[Date posted]]&lt; DATE(2015,9,18),"Before Crisis","During Crisis")</f>
        <v>During Crisis</v>
      </c>
      <c r="G1290" s="27">
        <f t="shared" si="120"/>
        <v>42270</v>
      </c>
      <c r="H1290" s="7" t="str">
        <f t="shared" si="121"/>
        <v>03:01:55</v>
      </c>
      <c r="I1290" s="8" t="str">
        <f t="shared" si="122"/>
        <v>Early morning</v>
      </c>
      <c r="J1290" t="s">
        <v>4514</v>
      </c>
      <c r="K1290" t="s">
        <v>2370</v>
      </c>
      <c r="L1290" s="3">
        <v>0</v>
      </c>
      <c r="M1290">
        <v>1</v>
      </c>
      <c r="N1290" s="3">
        <v>0</v>
      </c>
      <c r="O1290" s="4">
        <f t="shared" si="123"/>
        <v>1</v>
      </c>
      <c r="P1290" s="5" t="str">
        <f t="shared" si="124"/>
        <v>Low engagement</v>
      </c>
      <c r="Q1290" t="b">
        <v>0</v>
      </c>
      <c r="R1290" t="b">
        <v>0</v>
      </c>
      <c r="S1290" t="b">
        <v>0</v>
      </c>
      <c r="T1290" s="24" t="str">
        <f t="shared" si="125"/>
        <v>Text only</v>
      </c>
    </row>
    <row r="1291" spans="1:20" x14ac:dyDescent="0.2">
      <c r="A1291" t="s">
        <v>4572</v>
      </c>
      <c r="B1291" t="s">
        <v>2365</v>
      </c>
      <c r="C1291" t="s">
        <v>2366</v>
      </c>
      <c r="D1291" t="s">
        <v>4573</v>
      </c>
      <c r="E1291" t="s">
        <v>4571</v>
      </c>
      <c r="F1291" t="str">
        <f>IF(Table2[[#This Row],[Date posted]]&lt; DATE(2015,9,18),"Before Crisis","During Crisis")</f>
        <v>During Crisis</v>
      </c>
      <c r="G1291" s="27">
        <f t="shared" si="120"/>
        <v>42270</v>
      </c>
      <c r="H1291" s="7" t="str">
        <f t="shared" si="121"/>
        <v>03:01:55</v>
      </c>
      <c r="I1291" s="8" t="str">
        <f t="shared" si="122"/>
        <v>Early morning</v>
      </c>
      <c r="J1291" t="s">
        <v>4574</v>
      </c>
      <c r="K1291" t="s">
        <v>2370</v>
      </c>
      <c r="L1291" s="3">
        <v>0</v>
      </c>
      <c r="M1291" s="3">
        <v>0</v>
      </c>
      <c r="N1291" s="3">
        <v>0</v>
      </c>
      <c r="O1291" s="4">
        <f t="shared" si="123"/>
        <v>0</v>
      </c>
      <c r="P1291" s="5" t="str">
        <f t="shared" si="124"/>
        <v>No engagement</v>
      </c>
      <c r="Q1291" t="b">
        <v>0</v>
      </c>
      <c r="R1291" t="b">
        <v>0</v>
      </c>
      <c r="S1291" t="b">
        <v>0</v>
      </c>
      <c r="T1291" s="24" t="str">
        <f t="shared" si="125"/>
        <v>Text only</v>
      </c>
    </row>
    <row r="1292" spans="1:20" x14ac:dyDescent="0.2">
      <c r="A1292" t="s">
        <v>4566</v>
      </c>
      <c r="B1292" t="s">
        <v>2365</v>
      </c>
      <c r="C1292" t="s">
        <v>2366</v>
      </c>
      <c r="D1292" t="s">
        <v>4567</v>
      </c>
      <c r="E1292" t="s">
        <v>4568</v>
      </c>
      <c r="F1292" t="str">
        <f>IF(Table2[[#This Row],[Date posted]]&lt; DATE(2015,9,18),"Before Crisis","During Crisis")</f>
        <v>During Crisis</v>
      </c>
      <c r="G1292" s="27">
        <f t="shared" si="120"/>
        <v>42270</v>
      </c>
      <c r="H1292" s="7" t="str">
        <f t="shared" si="121"/>
        <v>03:01:56</v>
      </c>
      <c r="I1292" s="8" t="str">
        <f t="shared" si="122"/>
        <v>Early morning</v>
      </c>
      <c r="J1292" t="s">
        <v>2977</v>
      </c>
      <c r="K1292" t="s">
        <v>2370</v>
      </c>
      <c r="L1292" s="3">
        <v>0</v>
      </c>
      <c r="M1292" s="3">
        <v>0</v>
      </c>
      <c r="N1292" s="3">
        <v>0</v>
      </c>
      <c r="O1292" s="4">
        <f t="shared" si="123"/>
        <v>0</v>
      </c>
      <c r="P1292" s="5" t="str">
        <f t="shared" si="124"/>
        <v>No engagement</v>
      </c>
      <c r="Q1292" t="b">
        <v>0</v>
      </c>
      <c r="R1292" t="b">
        <v>0</v>
      </c>
      <c r="S1292" t="b">
        <v>0</v>
      </c>
      <c r="T1292" s="24" t="str">
        <f t="shared" si="125"/>
        <v>Text only</v>
      </c>
    </row>
    <row r="1293" spans="1:20" x14ac:dyDescent="0.2">
      <c r="A1293" t="s">
        <v>4562</v>
      </c>
      <c r="B1293" t="s">
        <v>2365</v>
      </c>
      <c r="C1293" t="s">
        <v>2366</v>
      </c>
      <c r="D1293" t="s">
        <v>4563</v>
      </c>
      <c r="E1293" t="s">
        <v>4564</v>
      </c>
      <c r="F1293" t="str">
        <f>IF(Table2[[#This Row],[Date posted]]&lt; DATE(2015,9,18),"Before Crisis","During Crisis")</f>
        <v>During Crisis</v>
      </c>
      <c r="G1293" s="27">
        <f t="shared" si="120"/>
        <v>42270</v>
      </c>
      <c r="H1293" s="7" t="str">
        <f t="shared" si="121"/>
        <v>03:01:58</v>
      </c>
      <c r="I1293" s="8" t="str">
        <f t="shared" si="122"/>
        <v>Early morning</v>
      </c>
      <c r="J1293" t="s">
        <v>4565</v>
      </c>
      <c r="K1293" t="s">
        <v>2370</v>
      </c>
      <c r="L1293" s="3">
        <v>0</v>
      </c>
      <c r="M1293">
        <v>1</v>
      </c>
      <c r="N1293" s="3">
        <v>0</v>
      </c>
      <c r="O1293" s="4">
        <f t="shared" si="123"/>
        <v>1</v>
      </c>
      <c r="P1293" s="5" t="str">
        <f t="shared" si="124"/>
        <v>Low engagement</v>
      </c>
      <c r="Q1293" t="b">
        <v>0</v>
      </c>
      <c r="R1293" t="b">
        <v>0</v>
      </c>
      <c r="S1293" t="b">
        <v>0</v>
      </c>
      <c r="T1293" s="24" t="str">
        <f t="shared" si="125"/>
        <v>Text only</v>
      </c>
    </row>
    <row r="1294" spans="1:20" hidden="1" x14ac:dyDescent="0.2">
      <c r="A1294" t="s">
        <v>4548</v>
      </c>
      <c r="B1294" t="s">
        <v>2365</v>
      </c>
      <c r="C1294" t="s">
        <v>2366</v>
      </c>
      <c r="D1294" t="s">
        <v>4549</v>
      </c>
      <c r="E1294" t="s">
        <v>4550</v>
      </c>
      <c r="F1294" t="str">
        <f>IF(Table2[[#This Row],[Date posted]]&lt; DATE(2015,9,18),"Before Crisis","During Crisis")</f>
        <v>During Crisis</v>
      </c>
      <c r="G1294" s="27">
        <f t="shared" si="120"/>
        <v>42270</v>
      </c>
      <c r="H1294" s="7" t="str">
        <f t="shared" si="121"/>
        <v>14:08:06</v>
      </c>
      <c r="I1294" s="8" t="str">
        <f t="shared" si="122"/>
        <v>Afternoon</v>
      </c>
      <c r="J1294" t="s">
        <v>2370</v>
      </c>
      <c r="K1294" t="s">
        <v>2370</v>
      </c>
      <c r="L1294" s="3">
        <v>0</v>
      </c>
      <c r="M1294" s="3">
        <v>0</v>
      </c>
      <c r="N1294" s="3">
        <v>0</v>
      </c>
      <c r="O1294" s="4">
        <f t="shared" si="123"/>
        <v>0</v>
      </c>
      <c r="P1294" s="5" t="str">
        <f t="shared" si="124"/>
        <v>No engagement</v>
      </c>
      <c r="Q1294" t="b">
        <v>0</v>
      </c>
      <c r="R1294" t="b">
        <v>0</v>
      </c>
      <c r="S1294" t="b">
        <v>0</v>
      </c>
      <c r="T1294" s="24" t="str">
        <f t="shared" si="125"/>
        <v>Text only</v>
      </c>
    </row>
    <row r="1295" spans="1:20" hidden="1" x14ac:dyDescent="0.2">
      <c r="A1295" t="s">
        <v>4545</v>
      </c>
      <c r="B1295" t="s">
        <v>2365</v>
      </c>
      <c r="C1295" t="s">
        <v>2366</v>
      </c>
      <c r="D1295" t="s">
        <v>4546</v>
      </c>
      <c r="E1295" t="s">
        <v>4547</v>
      </c>
      <c r="F1295" t="str">
        <f>IF(Table2[[#This Row],[Date posted]]&lt; DATE(2015,9,18),"Before Crisis","During Crisis")</f>
        <v>During Crisis</v>
      </c>
      <c r="G1295" s="27">
        <f t="shared" si="120"/>
        <v>42270</v>
      </c>
      <c r="H1295" s="7" t="str">
        <f t="shared" si="121"/>
        <v>14:08:07</v>
      </c>
      <c r="I1295" s="8" t="str">
        <f t="shared" si="122"/>
        <v>Afternoon</v>
      </c>
      <c r="J1295" t="s">
        <v>4491</v>
      </c>
      <c r="K1295" t="s">
        <v>2370</v>
      </c>
      <c r="L1295" s="3">
        <v>0</v>
      </c>
      <c r="M1295">
        <v>2</v>
      </c>
      <c r="N1295" s="3">
        <v>0</v>
      </c>
      <c r="O1295" s="4">
        <f t="shared" si="123"/>
        <v>2</v>
      </c>
      <c r="P1295" s="5" t="str">
        <f t="shared" si="124"/>
        <v>Low engagement</v>
      </c>
      <c r="Q1295" t="b">
        <v>0</v>
      </c>
      <c r="R1295" t="b">
        <v>0</v>
      </c>
      <c r="S1295" t="b">
        <v>1</v>
      </c>
      <c r="T1295" s="24" t="str">
        <f t="shared" si="125"/>
        <v>Link</v>
      </c>
    </row>
    <row r="1296" spans="1:20" hidden="1" x14ac:dyDescent="0.2">
      <c r="A1296" t="s">
        <v>4521</v>
      </c>
      <c r="B1296" t="s">
        <v>2365</v>
      </c>
      <c r="C1296" t="s">
        <v>2366</v>
      </c>
      <c r="D1296" t="s">
        <v>4522</v>
      </c>
      <c r="E1296" t="s">
        <v>4523</v>
      </c>
      <c r="F1296" t="str">
        <f>IF(Table2[[#This Row],[Date posted]]&lt; DATE(2015,9,18),"Before Crisis","During Crisis")</f>
        <v>During Crisis</v>
      </c>
      <c r="G1296" s="27">
        <f t="shared" si="120"/>
        <v>42271</v>
      </c>
      <c r="H1296" s="7" t="str">
        <f t="shared" si="121"/>
        <v>23:12:20</v>
      </c>
      <c r="I1296" s="8" t="str">
        <f t="shared" si="122"/>
        <v>Evening</v>
      </c>
      <c r="J1296" t="s">
        <v>2370</v>
      </c>
      <c r="K1296" t="s">
        <v>2370</v>
      </c>
      <c r="L1296" s="3">
        <v>0</v>
      </c>
      <c r="M1296" s="3">
        <v>0</v>
      </c>
      <c r="N1296" s="3">
        <v>0</v>
      </c>
      <c r="O1296" s="4">
        <f t="shared" si="123"/>
        <v>0</v>
      </c>
      <c r="P1296" s="5" t="str">
        <f t="shared" si="124"/>
        <v>No engagement</v>
      </c>
      <c r="Q1296" t="b">
        <v>0</v>
      </c>
      <c r="R1296" t="b">
        <v>0</v>
      </c>
      <c r="S1296" t="b">
        <v>1</v>
      </c>
      <c r="T1296" s="24" t="str">
        <f t="shared" si="125"/>
        <v>Link</v>
      </c>
    </row>
    <row r="1297" spans="1:20" hidden="1" x14ac:dyDescent="0.2">
      <c r="A1297" t="s">
        <v>4518</v>
      </c>
      <c r="B1297" t="s">
        <v>2365</v>
      </c>
      <c r="C1297" t="s">
        <v>2366</v>
      </c>
      <c r="D1297" t="s">
        <v>4519</v>
      </c>
      <c r="E1297" t="s">
        <v>4520</v>
      </c>
      <c r="F1297" t="str">
        <f>IF(Table2[[#This Row],[Date posted]]&lt; DATE(2015,9,18),"Before Crisis","During Crisis")</f>
        <v>During Crisis</v>
      </c>
      <c r="G1297" s="27">
        <f t="shared" si="120"/>
        <v>42271</v>
      </c>
      <c r="H1297" s="7" t="str">
        <f t="shared" si="121"/>
        <v>23:18:52</v>
      </c>
      <c r="I1297" s="8" t="str">
        <f t="shared" si="122"/>
        <v>Evening</v>
      </c>
      <c r="J1297" t="s">
        <v>3581</v>
      </c>
      <c r="K1297" t="s">
        <v>2370</v>
      </c>
      <c r="L1297" s="3">
        <v>0</v>
      </c>
      <c r="M1297">
        <v>1</v>
      </c>
      <c r="N1297" s="3">
        <v>0</v>
      </c>
      <c r="O1297" s="4">
        <f t="shared" si="123"/>
        <v>1</v>
      </c>
      <c r="P1297" s="5" t="str">
        <f t="shared" si="124"/>
        <v>Low engagement</v>
      </c>
      <c r="Q1297" t="b">
        <v>0</v>
      </c>
      <c r="R1297" t="b">
        <v>0</v>
      </c>
      <c r="S1297" t="b">
        <v>0</v>
      </c>
      <c r="T1297" s="24" t="str">
        <f t="shared" si="125"/>
        <v>Text only</v>
      </c>
    </row>
    <row r="1298" spans="1:20" hidden="1" x14ac:dyDescent="0.2">
      <c r="A1298" t="s">
        <v>4511</v>
      </c>
      <c r="B1298" t="s">
        <v>2365</v>
      </c>
      <c r="C1298" t="s">
        <v>2366</v>
      </c>
      <c r="D1298" t="s">
        <v>4512</v>
      </c>
      <c r="E1298" t="s">
        <v>4513</v>
      </c>
      <c r="F1298" t="str">
        <f>IF(Table2[[#This Row],[Date posted]]&lt; DATE(2015,9,18),"Before Crisis","During Crisis")</f>
        <v>During Crisis</v>
      </c>
      <c r="G1298" s="27">
        <f t="shared" si="120"/>
        <v>42271</v>
      </c>
      <c r="H1298" s="7" t="str">
        <f t="shared" si="121"/>
        <v>23:18:53</v>
      </c>
      <c r="I1298" s="8" t="str">
        <f t="shared" si="122"/>
        <v>Evening</v>
      </c>
      <c r="J1298" t="s">
        <v>4514</v>
      </c>
      <c r="K1298" t="s">
        <v>2370</v>
      </c>
      <c r="L1298" s="3">
        <v>0</v>
      </c>
      <c r="M1298">
        <v>1</v>
      </c>
      <c r="N1298" s="3">
        <v>0</v>
      </c>
      <c r="O1298" s="4">
        <f t="shared" si="123"/>
        <v>1</v>
      </c>
      <c r="P1298" s="5" t="str">
        <f t="shared" si="124"/>
        <v>Low engagement</v>
      </c>
      <c r="Q1298" t="b">
        <v>0</v>
      </c>
      <c r="R1298" t="b">
        <v>0</v>
      </c>
      <c r="S1298" t="b">
        <v>1</v>
      </c>
      <c r="T1298" s="24" t="str">
        <f t="shared" si="125"/>
        <v>Link</v>
      </c>
    </row>
    <row r="1299" spans="1:20" hidden="1" x14ac:dyDescent="0.2">
      <c r="A1299" t="s">
        <v>4515</v>
      </c>
      <c r="B1299" t="s">
        <v>2365</v>
      </c>
      <c r="C1299" t="s">
        <v>2366</v>
      </c>
      <c r="D1299" t="s">
        <v>4516</v>
      </c>
      <c r="E1299" t="s">
        <v>4513</v>
      </c>
      <c r="F1299" t="str">
        <f>IF(Table2[[#This Row],[Date posted]]&lt; DATE(2015,9,18),"Before Crisis","During Crisis")</f>
        <v>During Crisis</v>
      </c>
      <c r="G1299" s="27">
        <f t="shared" si="120"/>
        <v>42271</v>
      </c>
      <c r="H1299" s="7" t="str">
        <f t="shared" si="121"/>
        <v>23:18:53</v>
      </c>
      <c r="I1299" s="8" t="str">
        <f t="shared" si="122"/>
        <v>Evening</v>
      </c>
      <c r="J1299" t="s">
        <v>4517</v>
      </c>
      <c r="K1299" t="s">
        <v>2370</v>
      </c>
      <c r="L1299">
        <v>1</v>
      </c>
      <c r="M1299" s="3">
        <v>0</v>
      </c>
      <c r="N1299" s="3">
        <v>0</v>
      </c>
      <c r="O1299" s="4">
        <f t="shared" si="123"/>
        <v>1</v>
      </c>
      <c r="P1299" s="5" t="str">
        <f t="shared" si="124"/>
        <v>Low engagement</v>
      </c>
      <c r="Q1299" t="b">
        <v>0</v>
      </c>
      <c r="R1299" t="b">
        <v>0</v>
      </c>
      <c r="S1299" t="b">
        <v>0</v>
      </c>
      <c r="T1299" s="24" t="str">
        <f t="shared" si="125"/>
        <v>Text only</v>
      </c>
    </row>
    <row r="1300" spans="1:20" hidden="1" x14ac:dyDescent="0.2">
      <c r="A1300" t="s">
        <v>4508</v>
      </c>
      <c r="B1300" t="s">
        <v>2365</v>
      </c>
      <c r="C1300" t="s">
        <v>2366</v>
      </c>
      <c r="D1300" t="s">
        <v>4509</v>
      </c>
      <c r="E1300" t="s">
        <v>4507</v>
      </c>
      <c r="F1300" t="str">
        <f>IF(Table2[[#This Row],[Date posted]]&lt; DATE(2015,9,18),"Before Crisis","During Crisis")</f>
        <v>During Crisis</v>
      </c>
      <c r="G1300" s="27">
        <f t="shared" si="120"/>
        <v>42271</v>
      </c>
      <c r="H1300" s="7" t="str">
        <f t="shared" si="121"/>
        <v>23:18:54</v>
      </c>
      <c r="I1300" s="8" t="str">
        <f t="shared" si="122"/>
        <v>Evening</v>
      </c>
      <c r="J1300" t="s">
        <v>4510</v>
      </c>
      <c r="K1300" t="s">
        <v>2370</v>
      </c>
      <c r="L1300">
        <v>1</v>
      </c>
      <c r="M1300" s="3">
        <v>0</v>
      </c>
      <c r="N1300" s="3">
        <v>0</v>
      </c>
      <c r="O1300" s="4">
        <f t="shared" si="123"/>
        <v>1</v>
      </c>
      <c r="P1300" s="5" t="str">
        <f t="shared" si="124"/>
        <v>Low engagement</v>
      </c>
      <c r="Q1300" t="b">
        <v>0</v>
      </c>
      <c r="R1300" t="b">
        <v>0</v>
      </c>
      <c r="S1300" t="b">
        <v>1</v>
      </c>
      <c r="T1300" s="24" t="str">
        <f t="shared" si="125"/>
        <v>Link</v>
      </c>
    </row>
    <row r="1301" spans="1:20" hidden="1" x14ac:dyDescent="0.2">
      <c r="A1301" t="s">
        <v>4498</v>
      </c>
      <c r="B1301" t="s">
        <v>2365</v>
      </c>
      <c r="C1301" t="s">
        <v>2366</v>
      </c>
      <c r="D1301" t="s">
        <v>4499</v>
      </c>
      <c r="E1301" t="s">
        <v>4500</v>
      </c>
      <c r="F1301" t="str">
        <f>IF(Table2[[#This Row],[Date posted]]&lt; DATE(2015,9,18),"Before Crisis","During Crisis")</f>
        <v>During Crisis</v>
      </c>
      <c r="G1301" s="27">
        <f t="shared" si="120"/>
        <v>42271</v>
      </c>
      <c r="H1301" s="7" t="str">
        <f t="shared" si="121"/>
        <v>23:18:55</v>
      </c>
      <c r="I1301" s="8" t="str">
        <f t="shared" si="122"/>
        <v>Evening</v>
      </c>
      <c r="J1301" t="s">
        <v>4501</v>
      </c>
      <c r="K1301" t="s">
        <v>2370</v>
      </c>
      <c r="L1301">
        <v>1</v>
      </c>
      <c r="M1301" s="3">
        <v>0</v>
      </c>
      <c r="N1301" s="3">
        <v>0</v>
      </c>
      <c r="O1301" s="4">
        <f t="shared" si="123"/>
        <v>1</v>
      </c>
      <c r="P1301" s="5" t="str">
        <f t="shared" si="124"/>
        <v>Low engagement</v>
      </c>
      <c r="Q1301" t="b">
        <v>0</v>
      </c>
      <c r="R1301" t="b">
        <v>0</v>
      </c>
      <c r="S1301" t="b">
        <v>0</v>
      </c>
      <c r="T1301" s="24" t="str">
        <f t="shared" si="125"/>
        <v>Text only</v>
      </c>
    </row>
    <row r="1302" spans="1:20" hidden="1" x14ac:dyDescent="0.2">
      <c r="A1302" t="s">
        <v>4486</v>
      </c>
      <c r="B1302" t="s">
        <v>2365</v>
      </c>
      <c r="C1302" t="s">
        <v>2366</v>
      </c>
      <c r="D1302" t="s">
        <v>4487</v>
      </c>
      <c r="E1302" t="s">
        <v>4488</v>
      </c>
      <c r="F1302" t="str">
        <f>IF(Table2[[#This Row],[Date posted]]&lt; DATE(2015,9,18),"Before Crisis","During Crisis")</f>
        <v>During Crisis</v>
      </c>
      <c r="G1302" s="27">
        <f t="shared" si="120"/>
        <v>42271</v>
      </c>
      <c r="H1302" s="7" t="str">
        <f t="shared" si="121"/>
        <v>23:33:11</v>
      </c>
      <c r="I1302" s="8" t="str">
        <f t="shared" si="122"/>
        <v>Evening</v>
      </c>
      <c r="J1302" t="s">
        <v>4485</v>
      </c>
      <c r="K1302" t="s">
        <v>2370</v>
      </c>
      <c r="L1302" s="3">
        <v>0</v>
      </c>
      <c r="M1302" s="3">
        <v>0</v>
      </c>
      <c r="N1302" s="3">
        <v>0</v>
      </c>
      <c r="O1302" s="4">
        <f t="shared" si="123"/>
        <v>0</v>
      </c>
      <c r="P1302" s="5" t="str">
        <f t="shared" si="124"/>
        <v>No engagement</v>
      </c>
      <c r="Q1302" t="b">
        <v>0</v>
      </c>
      <c r="R1302" t="b">
        <v>0</v>
      </c>
      <c r="S1302" t="b">
        <v>0</v>
      </c>
      <c r="T1302" s="24" t="str">
        <f t="shared" si="125"/>
        <v>Text only</v>
      </c>
    </row>
    <row r="1303" spans="1:20" hidden="1" x14ac:dyDescent="0.2">
      <c r="A1303" t="s">
        <v>4460</v>
      </c>
      <c r="B1303" t="s">
        <v>2365</v>
      </c>
      <c r="C1303" t="s">
        <v>2366</v>
      </c>
      <c r="D1303" t="s">
        <v>4461</v>
      </c>
      <c r="E1303" t="s">
        <v>4462</v>
      </c>
      <c r="F1303" t="str">
        <f>IF(Table2[[#This Row],[Date posted]]&lt; DATE(2015,9,18),"Before Crisis","During Crisis")</f>
        <v>During Crisis</v>
      </c>
      <c r="G1303" s="27">
        <f t="shared" si="120"/>
        <v>42272</v>
      </c>
      <c r="H1303" s="7" t="str">
        <f t="shared" si="121"/>
        <v>19:16:42</v>
      </c>
      <c r="I1303" s="8" t="str">
        <f t="shared" si="122"/>
        <v>Evening</v>
      </c>
      <c r="J1303" t="s">
        <v>2370</v>
      </c>
      <c r="K1303" t="s">
        <v>2370</v>
      </c>
      <c r="L1303" s="3">
        <v>0</v>
      </c>
      <c r="M1303" s="3">
        <v>0</v>
      </c>
      <c r="N1303" s="3">
        <v>0</v>
      </c>
      <c r="O1303" s="4">
        <f t="shared" si="123"/>
        <v>0</v>
      </c>
      <c r="P1303" s="5" t="str">
        <f t="shared" si="124"/>
        <v>No engagement</v>
      </c>
      <c r="Q1303" t="b">
        <v>0</v>
      </c>
      <c r="R1303" t="b">
        <v>0</v>
      </c>
      <c r="S1303" t="b">
        <v>0</v>
      </c>
      <c r="T1303" s="24" t="str">
        <f t="shared" si="125"/>
        <v>Text only</v>
      </c>
    </row>
    <row r="1304" spans="1:20" hidden="1" x14ac:dyDescent="0.2">
      <c r="A1304" t="s">
        <v>4431</v>
      </c>
      <c r="B1304" t="s">
        <v>2365</v>
      </c>
      <c r="C1304" t="s">
        <v>2366</v>
      </c>
      <c r="D1304" t="s">
        <v>4432</v>
      </c>
      <c r="E1304" t="s">
        <v>4433</v>
      </c>
      <c r="F1304" t="str">
        <f>IF(Table2[[#This Row],[Date posted]]&lt; DATE(2015,9,18),"Before Crisis","During Crisis")</f>
        <v>During Crisis</v>
      </c>
      <c r="G1304" s="27">
        <f t="shared" si="120"/>
        <v>42276</v>
      </c>
      <c r="H1304" s="7" t="str">
        <f t="shared" si="121"/>
        <v>14:35:16</v>
      </c>
      <c r="I1304" s="8" t="str">
        <f t="shared" si="122"/>
        <v>Afternoon</v>
      </c>
      <c r="J1304" t="s">
        <v>4430</v>
      </c>
      <c r="K1304" t="s">
        <v>2370</v>
      </c>
      <c r="L1304" s="3">
        <v>0</v>
      </c>
      <c r="M1304" s="3">
        <v>0</v>
      </c>
      <c r="N1304" s="3">
        <v>0</v>
      </c>
      <c r="O1304" s="4">
        <f t="shared" si="123"/>
        <v>0</v>
      </c>
      <c r="P1304" s="5" t="str">
        <f t="shared" si="124"/>
        <v>No engagement</v>
      </c>
      <c r="Q1304" t="b">
        <v>0</v>
      </c>
      <c r="R1304" t="b">
        <v>0</v>
      </c>
      <c r="S1304" t="b">
        <v>0</v>
      </c>
      <c r="T1304" s="24" t="str">
        <f t="shared" si="125"/>
        <v>Text only</v>
      </c>
    </row>
    <row r="1305" spans="1:20" hidden="1" x14ac:dyDescent="0.2">
      <c r="A1305" t="s">
        <v>4424</v>
      </c>
      <c r="B1305" t="s">
        <v>2365</v>
      </c>
      <c r="C1305" t="s">
        <v>2366</v>
      </c>
      <c r="D1305" t="s">
        <v>4425</v>
      </c>
      <c r="E1305" t="s">
        <v>4426</v>
      </c>
      <c r="F1305" t="str">
        <f>IF(Table2[[#This Row],[Date posted]]&lt; DATE(2015,9,18),"Before Crisis","During Crisis")</f>
        <v>During Crisis</v>
      </c>
      <c r="G1305" s="27">
        <f t="shared" si="120"/>
        <v>42276</v>
      </c>
      <c r="H1305" s="7" t="str">
        <f t="shared" si="121"/>
        <v>14:35:17</v>
      </c>
      <c r="I1305" s="8" t="str">
        <f t="shared" si="122"/>
        <v>Afternoon</v>
      </c>
      <c r="J1305" t="s">
        <v>4427</v>
      </c>
      <c r="K1305" t="s">
        <v>2370</v>
      </c>
      <c r="L1305" s="3">
        <v>0</v>
      </c>
      <c r="M1305" s="3">
        <v>0</v>
      </c>
      <c r="N1305" s="3">
        <v>0</v>
      </c>
      <c r="O1305" s="4">
        <f t="shared" si="123"/>
        <v>0</v>
      </c>
      <c r="P1305" s="5" t="str">
        <f t="shared" si="124"/>
        <v>No engagement</v>
      </c>
      <c r="Q1305" t="b">
        <v>0</v>
      </c>
      <c r="R1305" t="b">
        <v>0</v>
      </c>
      <c r="S1305" t="b">
        <v>0</v>
      </c>
      <c r="T1305" s="24" t="str">
        <f t="shared" si="125"/>
        <v>Text only</v>
      </c>
    </row>
    <row r="1306" spans="1:20" hidden="1" x14ac:dyDescent="0.2">
      <c r="A1306" t="s">
        <v>4428</v>
      </c>
      <c r="B1306" t="s">
        <v>2365</v>
      </c>
      <c r="C1306" t="s">
        <v>2366</v>
      </c>
      <c r="D1306" t="s">
        <v>4429</v>
      </c>
      <c r="E1306" t="s">
        <v>4426</v>
      </c>
      <c r="F1306" t="str">
        <f>IF(Table2[[#This Row],[Date posted]]&lt; DATE(2015,9,18),"Before Crisis","During Crisis")</f>
        <v>During Crisis</v>
      </c>
      <c r="G1306" s="27">
        <f t="shared" si="120"/>
        <v>42276</v>
      </c>
      <c r="H1306" s="7" t="str">
        <f t="shared" si="121"/>
        <v>14:35:17</v>
      </c>
      <c r="I1306" s="8" t="str">
        <f t="shared" si="122"/>
        <v>Afternoon</v>
      </c>
      <c r="J1306" t="s">
        <v>4430</v>
      </c>
      <c r="K1306" t="s">
        <v>2370</v>
      </c>
      <c r="L1306" s="3">
        <v>0</v>
      </c>
      <c r="M1306" s="3">
        <v>0</v>
      </c>
      <c r="N1306" s="3">
        <v>0</v>
      </c>
      <c r="O1306" s="4">
        <f t="shared" si="123"/>
        <v>0</v>
      </c>
      <c r="P1306" s="5" t="str">
        <f t="shared" si="124"/>
        <v>No engagement</v>
      </c>
      <c r="Q1306" t="b">
        <v>0</v>
      </c>
      <c r="R1306" t="b">
        <v>0</v>
      </c>
      <c r="S1306" t="b">
        <v>1</v>
      </c>
      <c r="T1306" s="24" t="str">
        <f t="shared" si="125"/>
        <v>Link</v>
      </c>
    </row>
    <row r="1307" spans="1:20" hidden="1" x14ac:dyDescent="0.2">
      <c r="A1307" t="s">
        <v>4420</v>
      </c>
      <c r="B1307" t="s">
        <v>2365</v>
      </c>
      <c r="C1307" t="s">
        <v>2366</v>
      </c>
      <c r="D1307" t="s">
        <v>4421</v>
      </c>
      <c r="E1307" t="s">
        <v>4422</v>
      </c>
      <c r="F1307" t="str">
        <f>IF(Table2[[#This Row],[Date posted]]&lt; DATE(2015,9,18),"Before Crisis","During Crisis")</f>
        <v>During Crisis</v>
      </c>
      <c r="G1307" s="27">
        <f t="shared" si="120"/>
        <v>42276</v>
      </c>
      <c r="H1307" s="7" t="str">
        <f t="shared" si="121"/>
        <v>14:35:18</v>
      </c>
      <c r="I1307" s="8" t="str">
        <f t="shared" si="122"/>
        <v>Afternoon</v>
      </c>
      <c r="J1307" t="s">
        <v>4423</v>
      </c>
      <c r="K1307" t="s">
        <v>2370</v>
      </c>
      <c r="L1307" s="3">
        <v>0</v>
      </c>
      <c r="M1307" s="3">
        <v>0</v>
      </c>
      <c r="N1307" s="3">
        <v>0</v>
      </c>
      <c r="O1307" s="4">
        <f t="shared" si="123"/>
        <v>0</v>
      </c>
      <c r="P1307" s="5" t="str">
        <f t="shared" si="124"/>
        <v>No engagement</v>
      </c>
      <c r="Q1307" t="b">
        <v>0</v>
      </c>
      <c r="R1307" t="b">
        <v>0</v>
      </c>
      <c r="S1307" t="b">
        <v>0</v>
      </c>
      <c r="T1307" s="24" t="str">
        <f t="shared" si="125"/>
        <v>Text only</v>
      </c>
    </row>
    <row r="1308" spans="1:20" hidden="1" x14ac:dyDescent="0.2">
      <c r="A1308" t="s">
        <v>4416</v>
      </c>
      <c r="B1308" t="s">
        <v>2365</v>
      </c>
      <c r="C1308" t="s">
        <v>2366</v>
      </c>
      <c r="D1308" t="s">
        <v>4417</v>
      </c>
      <c r="E1308" t="s">
        <v>4418</v>
      </c>
      <c r="F1308" t="str">
        <f>IF(Table2[[#This Row],[Date posted]]&lt; DATE(2015,9,18),"Before Crisis","During Crisis")</f>
        <v>During Crisis</v>
      </c>
      <c r="G1308" s="27">
        <f t="shared" si="120"/>
        <v>42276</v>
      </c>
      <c r="H1308" s="7" t="str">
        <f t="shared" si="121"/>
        <v>14:35:19</v>
      </c>
      <c r="I1308" s="8" t="str">
        <f t="shared" si="122"/>
        <v>Afternoon</v>
      </c>
      <c r="J1308" t="s">
        <v>4419</v>
      </c>
      <c r="K1308" t="s">
        <v>2370</v>
      </c>
      <c r="L1308" s="3">
        <v>0</v>
      </c>
      <c r="M1308">
        <v>1</v>
      </c>
      <c r="N1308" s="3">
        <v>0</v>
      </c>
      <c r="O1308" s="4">
        <f t="shared" si="123"/>
        <v>1</v>
      </c>
      <c r="P1308" s="5" t="str">
        <f t="shared" si="124"/>
        <v>Low engagement</v>
      </c>
      <c r="Q1308" t="b">
        <v>0</v>
      </c>
      <c r="R1308" t="b">
        <v>0</v>
      </c>
      <c r="S1308" t="b">
        <v>0</v>
      </c>
      <c r="T1308" s="24" t="str">
        <f t="shared" si="125"/>
        <v>Text only</v>
      </c>
    </row>
    <row r="1309" spans="1:20" hidden="1" x14ac:dyDescent="0.2">
      <c r="A1309" t="s">
        <v>4411</v>
      </c>
      <c r="B1309" t="s">
        <v>2365</v>
      </c>
      <c r="C1309" t="s">
        <v>2366</v>
      </c>
      <c r="D1309" t="s">
        <v>4412</v>
      </c>
      <c r="E1309" t="s">
        <v>4413</v>
      </c>
      <c r="F1309" t="str">
        <f>IF(Table2[[#This Row],[Date posted]]&lt; DATE(2015,9,18),"Before Crisis","During Crisis")</f>
        <v>During Crisis</v>
      </c>
      <c r="G1309" s="27">
        <f t="shared" si="120"/>
        <v>42276</v>
      </c>
      <c r="H1309" s="7" t="str">
        <f t="shared" si="121"/>
        <v>14:35:20</v>
      </c>
      <c r="I1309" s="8" t="str">
        <f t="shared" si="122"/>
        <v>Afternoon</v>
      </c>
      <c r="J1309" t="s">
        <v>2370</v>
      </c>
      <c r="K1309" t="s">
        <v>2370</v>
      </c>
      <c r="L1309">
        <v>1</v>
      </c>
      <c r="M1309" s="3">
        <v>0</v>
      </c>
      <c r="N1309" s="3">
        <v>0</v>
      </c>
      <c r="O1309" s="4">
        <f t="shared" si="123"/>
        <v>1</v>
      </c>
      <c r="P1309" s="5" t="str">
        <f t="shared" si="124"/>
        <v>Low engagement</v>
      </c>
      <c r="Q1309" t="b">
        <v>0</v>
      </c>
      <c r="R1309" t="b">
        <v>0</v>
      </c>
      <c r="S1309" t="b">
        <v>0</v>
      </c>
      <c r="T1309" s="24" t="str">
        <f t="shared" si="125"/>
        <v>Text only</v>
      </c>
    </row>
    <row r="1310" spans="1:20" hidden="1" x14ac:dyDescent="0.2">
      <c r="A1310" t="s">
        <v>4414</v>
      </c>
      <c r="B1310" t="s">
        <v>2365</v>
      </c>
      <c r="C1310" t="s">
        <v>2366</v>
      </c>
      <c r="D1310" t="s">
        <v>4415</v>
      </c>
      <c r="E1310" t="s">
        <v>4413</v>
      </c>
      <c r="F1310" t="str">
        <f>IF(Table2[[#This Row],[Date posted]]&lt; DATE(2015,9,18),"Before Crisis","During Crisis")</f>
        <v>During Crisis</v>
      </c>
      <c r="G1310" s="27">
        <f t="shared" si="120"/>
        <v>42276</v>
      </c>
      <c r="H1310" s="7" t="str">
        <f t="shared" si="121"/>
        <v>14:35:20</v>
      </c>
      <c r="I1310" s="8" t="str">
        <f t="shared" si="122"/>
        <v>Afternoon</v>
      </c>
      <c r="J1310" t="s">
        <v>2370</v>
      </c>
      <c r="K1310" t="s">
        <v>2370</v>
      </c>
      <c r="L1310" s="3">
        <v>0</v>
      </c>
      <c r="M1310" s="3">
        <v>0</v>
      </c>
      <c r="N1310" s="3">
        <v>0</v>
      </c>
      <c r="O1310" s="4">
        <f t="shared" si="123"/>
        <v>0</v>
      </c>
      <c r="P1310" s="5" t="str">
        <f t="shared" si="124"/>
        <v>No engagement</v>
      </c>
      <c r="Q1310" t="b">
        <v>0</v>
      </c>
      <c r="R1310" t="b">
        <v>0</v>
      </c>
      <c r="S1310" t="b">
        <v>0</v>
      </c>
      <c r="T1310" s="24" t="str">
        <f t="shared" si="125"/>
        <v>Text only</v>
      </c>
    </row>
    <row r="1311" spans="1:20" hidden="1" x14ac:dyDescent="0.2">
      <c r="A1311" t="s">
        <v>4403</v>
      </c>
      <c r="B1311" t="s">
        <v>2365</v>
      </c>
      <c r="C1311" t="s">
        <v>2366</v>
      </c>
      <c r="D1311" t="s">
        <v>4404</v>
      </c>
      <c r="E1311" t="s">
        <v>4405</v>
      </c>
      <c r="F1311" t="str">
        <f>IF(Table2[[#This Row],[Date posted]]&lt; DATE(2015,9,18),"Before Crisis","During Crisis")</f>
        <v>During Crisis</v>
      </c>
      <c r="G1311" s="27">
        <f t="shared" si="120"/>
        <v>42276</v>
      </c>
      <c r="H1311" s="7" t="str">
        <f t="shared" si="121"/>
        <v>14:35:21</v>
      </c>
      <c r="I1311" s="8" t="str">
        <f t="shared" si="122"/>
        <v>Afternoon</v>
      </c>
      <c r="J1311" t="s">
        <v>2370</v>
      </c>
      <c r="K1311" t="s">
        <v>2370</v>
      </c>
      <c r="L1311" s="3">
        <v>0</v>
      </c>
      <c r="M1311" s="3">
        <v>0</v>
      </c>
      <c r="N1311" s="3">
        <v>0</v>
      </c>
      <c r="O1311" s="4">
        <f t="shared" si="123"/>
        <v>0</v>
      </c>
      <c r="P1311" s="5" t="str">
        <f t="shared" si="124"/>
        <v>No engagement</v>
      </c>
      <c r="Q1311" t="b">
        <v>0</v>
      </c>
      <c r="R1311" t="b">
        <v>0</v>
      </c>
      <c r="S1311" t="b">
        <v>0</v>
      </c>
      <c r="T1311" s="24" t="str">
        <f t="shared" si="125"/>
        <v>Text only</v>
      </c>
    </row>
    <row r="1312" spans="1:20" hidden="1" x14ac:dyDescent="0.2">
      <c r="A1312" t="s">
        <v>4406</v>
      </c>
      <c r="B1312" t="s">
        <v>2365</v>
      </c>
      <c r="C1312" t="s">
        <v>2366</v>
      </c>
      <c r="D1312" t="s">
        <v>4407</v>
      </c>
      <c r="E1312" t="s">
        <v>4405</v>
      </c>
      <c r="F1312" t="str">
        <f>IF(Table2[[#This Row],[Date posted]]&lt; DATE(2015,9,18),"Before Crisis","During Crisis")</f>
        <v>During Crisis</v>
      </c>
      <c r="G1312" s="27">
        <f t="shared" si="120"/>
        <v>42276</v>
      </c>
      <c r="H1312" s="7" t="str">
        <f t="shared" si="121"/>
        <v>14:35:21</v>
      </c>
      <c r="I1312" s="8" t="str">
        <f t="shared" si="122"/>
        <v>Afternoon</v>
      </c>
      <c r="J1312" t="s">
        <v>4408</v>
      </c>
      <c r="K1312" t="s">
        <v>2370</v>
      </c>
      <c r="L1312" s="3">
        <v>0</v>
      </c>
      <c r="M1312" s="3">
        <v>0</v>
      </c>
      <c r="N1312" s="3">
        <v>0</v>
      </c>
      <c r="O1312" s="4">
        <f t="shared" si="123"/>
        <v>0</v>
      </c>
      <c r="P1312" s="5" t="str">
        <f t="shared" si="124"/>
        <v>No engagement</v>
      </c>
      <c r="Q1312" t="b">
        <v>0</v>
      </c>
      <c r="R1312" t="b">
        <v>0</v>
      </c>
      <c r="S1312" t="b">
        <v>0</v>
      </c>
      <c r="T1312" s="24" t="str">
        <f t="shared" si="125"/>
        <v>Text only</v>
      </c>
    </row>
    <row r="1313" spans="1:20" hidden="1" x14ac:dyDescent="0.2">
      <c r="A1313" t="s">
        <v>4409</v>
      </c>
      <c r="B1313" t="s">
        <v>2365</v>
      </c>
      <c r="C1313" t="s">
        <v>2366</v>
      </c>
      <c r="D1313" t="s">
        <v>4410</v>
      </c>
      <c r="E1313" t="s">
        <v>4405</v>
      </c>
      <c r="F1313" t="str">
        <f>IF(Table2[[#This Row],[Date posted]]&lt; DATE(2015,9,18),"Before Crisis","During Crisis")</f>
        <v>During Crisis</v>
      </c>
      <c r="G1313" s="27">
        <f t="shared" si="120"/>
        <v>42276</v>
      </c>
      <c r="H1313" s="7" t="str">
        <f t="shared" si="121"/>
        <v>14:35:21</v>
      </c>
      <c r="I1313" s="8" t="str">
        <f t="shared" si="122"/>
        <v>Afternoon</v>
      </c>
      <c r="J1313" t="s">
        <v>2370</v>
      </c>
      <c r="K1313" t="s">
        <v>2370</v>
      </c>
      <c r="L1313" s="3">
        <v>0</v>
      </c>
      <c r="M1313" s="3">
        <v>0</v>
      </c>
      <c r="N1313" s="3">
        <v>0</v>
      </c>
      <c r="O1313" s="4">
        <f t="shared" si="123"/>
        <v>0</v>
      </c>
      <c r="P1313" s="5" t="str">
        <f t="shared" si="124"/>
        <v>No engagement</v>
      </c>
      <c r="Q1313" t="b">
        <v>0</v>
      </c>
      <c r="R1313" t="b">
        <v>0</v>
      </c>
      <c r="S1313" t="b">
        <v>0</v>
      </c>
      <c r="T1313" s="24" t="str">
        <f t="shared" si="125"/>
        <v>Text only</v>
      </c>
    </row>
    <row r="1314" spans="1:20" hidden="1" x14ac:dyDescent="0.2">
      <c r="A1314" t="s">
        <v>4393</v>
      </c>
      <c r="B1314" t="s">
        <v>2365</v>
      </c>
      <c r="C1314" t="s">
        <v>2366</v>
      </c>
      <c r="D1314" t="s">
        <v>4394</v>
      </c>
      <c r="E1314" t="s">
        <v>4395</v>
      </c>
      <c r="F1314" t="str">
        <f>IF(Table2[[#This Row],[Date posted]]&lt; DATE(2015,9,18),"Before Crisis","During Crisis")</f>
        <v>During Crisis</v>
      </c>
      <c r="G1314" s="27">
        <f t="shared" si="120"/>
        <v>42276</v>
      </c>
      <c r="H1314" s="7" t="str">
        <f t="shared" si="121"/>
        <v>14:42:08</v>
      </c>
      <c r="I1314" s="8" t="str">
        <f t="shared" si="122"/>
        <v>Afternoon</v>
      </c>
      <c r="J1314" t="s">
        <v>4396</v>
      </c>
      <c r="K1314" t="s">
        <v>2370</v>
      </c>
      <c r="L1314" s="3">
        <v>0</v>
      </c>
      <c r="M1314">
        <v>2</v>
      </c>
      <c r="N1314" s="3">
        <v>0</v>
      </c>
      <c r="O1314" s="4">
        <f t="shared" si="123"/>
        <v>2</v>
      </c>
      <c r="P1314" s="5" t="str">
        <f t="shared" si="124"/>
        <v>Low engagement</v>
      </c>
      <c r="Q1314" t="b">
        <v>0</v>
      </c>
      <c r="R1314" t="b">
        <v>0</v>
      </c>
      <c r="S1314" t="b">
        <v>0</v>
      </c>
      <c r="T1314" s="24" t="str">
        <f t="shared" si="125"/>
        <v>Text only</v>
      </c>
    </row>
    <row r="1315" spans="1:20" hidden="1" x14ac:dyDescent="0.2">
      <c r="A1315" t="s">
        <v>4397</v>
      </c>
      <c r="B1315" t="s">
        <v>2365</v>
      </c>
      <c r="C1315" t="s">
        <v>2366</v>
      </c>
      <c r="D1315" t="s">
        <v>4398</v>
      </c>
      <c r="E1315" t="s">
        <v>4395</v>
      </c>
      <c r="F1315" t="str">
        <f>IF(Table2[[#This Row],[Date posted]]&lt; DATE(2015,9,18),"Before Crisis","During Crisis")</f>
        <v>During Crisis</v>
      </c>
      <c r="G1315" s="27">
        <f t="shared" si="120"/>
        <v>42276</v>
      </c>
      <c r="H1315" s="7" t="str">
        <f t="shared" si="121"/>
        <v>14:42:08</v>
      </c>
      <c r="I1315" s="8" t="str">
        <f t="shared" si="122"/>
        <v>Afternoon</v>
      </c>
      <c r="J1315" t="s">
        <v>2370</v>
      </c>
      <c r="K1315" t="s">
        <v>2370</v>
      </c>
      <c r="L1315" s="3">
        <v>0</v>
      </c>
      <c r="M1315" s="3">
        <v>0</v>
      </c>
      <c r="N1315" s="3">
        <v>0</v>
      </c>
      <c r="O1315" s="4">
        <f t="shared" si="123"/>
        <v>0</v>
      </c>
      <c r="P1315" s="5" t="str">
        <f t="shared" si="124"/>
        <v>No engagement</v>
      </c>
      <c r="Q1315" t="b">
        <v>0</v>
      </c>
      <c r="R1315" t="b">
        <v>0</v>
      </c>
      <c r="S1315" t="b">
        <v>0</v>
      </c>
      <c r="T1315" s="24" t="str">
        <f t="shared" si="125"/>
        <v>Text only</v>
      </c>
    </row>
    <row r="1316" spans="1:20" hidden="1" x14ac:dyDescent="0.2">
      <c r="A1316" t="s">
        <v>4390</v>
      </c>
      <c r="B1316" t="s">
        <v>2365</v>
      </c>
      <c r="C1316" t="s">
        <v>2366</v>
      </c>
      <c r="D1316" t="s">
        <v>4391</v>
      </c>
      <c r="E1316" t="s">
        <v>4392</v>
      </c>
      <c r="F1316" t="str">
        <f>IF(Table2[[#This Row],[Date posted]]&lt; DATE(2015,9,18),"Before Crisis","During Crisis")</f>
        <v>During Crisis</v>
      </c>
      <c r="G1316" s="27">
        <f t="shared" si="120"/>
        <v>42276</v>
      </c>
      <c r="H1316" s="7" t="str">
        <f t="shared" si="121"/>
        <v>14:42:09</v>
      </c>
      <c r="I1316" s="8" t="str">
        <f t="shared" si="122"/>
        <v>Afternoon</v>
      </c>
      <c r="J1316" t="s">
        <v>4356</v>
      </c>
      <c r="K1316" t="s">
        <v>2370</v>
      </c>
      <c r="L1316" s="3">
        <v>0</v>
      </c>
      <c r="M1316">
        <v>2</v>
      </c>
      <c r="N1316" s="3">
        <v>0</v>
      </c>
      <c r="O1316" s="4">
        <f t="shared" si="123"/>
        <v>2</v>
      </c>
      <c r="P1316" s="5" t="str">
        <f t="shared" si="124"/>
        <v>Low engagement</v>
      </c>
      <c r="Q1316" t="b">
        <v>0</v>
      </c>
      <c r="R1316" t="b">
        <v>0</v>
      </c>
      <c r="S1316" t="b">
        <v>0</v>
      </c>
      <c r="T1316" s="24" t="str">
        <f t="shared" si="125"/>
        <v>Text only</v>
      </c>
    </row>
    <row r="1317" spans="1:20" hidden="1" x14ac:dyDescent="0.2">
      <c r="A1317" t="s">
        <v>4388</v>
      </c>
      <c r="B1317" t="s">
        <v>2365</v>
      </c>
      <c r="C1317" t="s">
        <v>2366</v>
      </c>
      <c r="D1317" t="s">
        <v>4389</v>
      </c>
      <c r="E1317" t="s">
        <v>4386</v>
      </c>
      <c r="F1317" t="str">
        <f>IF(Table2[[#This Row],[Date posted]]&lt; DATE(2015,9,18),"Before Crisis","During Crisis")</f>
        <v>During Crisis</v>
      </c>
      <c r="G1317" s="27">
        <f t="shared" si="120"/>
        <v>42276</v>
      </c>
      <c r="H1317" s="7" t="str">
        <f t="shared" si="121"/>
        <v>14:52:16</v>
      </c>
      <c r="I1317" s="8" t="str">
        <f t="shared" si="122"/>
        <v>Afternoon</v>
      </c>
      <c r="J1317" t="s">
        <v>4282</v>
      </c>
      <c r="K1317" t="s">
        <v>2370</v>
      </c>
      <c r="L1317" s="3">
        <v>0</v>
      </c>
      <c r="M1317" s="3">
        <v>0</v>
      </c>
      <c r="N1317" s="3">
        <v>0</v>
      </c>
      <c r="O1317" s="4">
        <f t="shared" si="123"/>
        <v>0</v>
      </c>
      <c r="P1317" s="5" t="str">
        <f t="shared" si="124"/>
        <v>No engagement</v>
      </c>
      <c r="Q1317" t="b">
        <v>0</v>
      </c>
      <c r="R1317" t="b">
        <v>0</v>
      </c>
      <c r="S1317" t="b">
        <v>0</v>
      </c>
      <c r="T1317" s="24" t="str">
        <f t="shared" si="125"/>
        <v>Text only</v>
      </c>
    </row>
    <row r="1318" spans="1:20" hidden="1" x14ac:dyDescent="0.2">
      <c r="A1318" t="s">
        <v>4364</v>
      </c>
      <c r="B1318" t="s">
        <v>2365</v>
      </c>
      <c r="C1318" t="s">
        <v>2366</v>
      </c>
      <c r="D1318" t="s">
        <v>4365</v>
      </c>
      <c r="E1318" t="s">
        <v>4366</v>
      </c>
      <c r="F1318" t="str">
        <f>IF(Table2[[#This Row],[Date posted]]&lt; DATE(2015,9,18),"Before Crisis","During Crisis")</f>
        <v>During Crisis</v>
      </c>
      <c r="G1318" s="27">
        <f t="shared" si="120"/>
        <v>42276</v>
      </c>
      <c r="H1318" s="7" t="str">
        <f t="shared" si="121"/>
        <v>21:36:10</v>
      </c>
      <c r="I1318" s="8" t="str">
        <f t="shared" si="122"/>
        <v>Evening</v>
      </c>
      <c r="J1318" t="s">
        <v>2370</v>
      </c>
      <c r="K1318" t="s">
        <v>2370</v>
      </c>
      <c r="L1318">
        <v>1</v>
      </c>
      <c r="M1318">
        <v>1</v>
      </c>
      <c r="N1318" s="3">
        <v>0</v>
      </c>
      <c r="O1318" s="4">
        <f t="shared" si="123"/>
        <v>2</v>
      </c>
      <c r="P1318" s="5" t="str">
        <f t="shared" si="124"/>
        <v>Low engagement</v>
      </c>
      <c r="Q1318" t="b">
        <v>0</v>
      </c>
      <c r="R1318" t="b">
        <v>0</v>
      </c>
      <c r="S1318" t="b">
        <v>0</v>
      </c>
      <c r="T1318" s="24" t="str">
        <f t="shared" si="125"/>
        <v>Text only</v>
      </c>
    </row>
    <row r="1319" spans="1:20" hidden="1" x14ac:dyDescent="0.2">
      <c r="A1319" t="s">
        <v>4362</v>
      </c>
      <c r="B1319" t="s">
        <v>2365</v>
      </c>
      <c r="C1319" t="s">
        <v>2366</v>
      </c>
      <c r="D1319" t="s">
        <v>4363</v>
      </c>
      <c r="E1319" t="s">
        <v>4361</v>
      </c>
      <c r="F1319" t="str">
        <f>IF(Table2[[#This Row],[Date posted]]&lt; DATE(2015,9,18),"Before Crisis","During Crisis")</f>
        <v>During Crisis</v>
      </c>
      <c r="G1319" s="27">
        <f t="shared" si="120"/>
        <v>42276</v>
      </c>
      <c r="H1319" s="7" t="str">
        <f t="shared" si="121"/>
        <v>21:36:11</v>
      </c>
      <c r="I1319" s="8" t="str">
        <f t="shared" si="122"/>
        <v>Evening</v>
      </c>
      <c r="J1319" t="s">
        <v>2370</v>
      </c>
      <c r="K1319" t="s">
        <v>2370</v>
      </c>
      <c r="L1319" s="3">
        <v>0</v>
      </c>
      <c r="M1319">
        <v>1</v>
      </c>
      <c r="N1319" s="3">
        <v>0</v>
      </c>
      <c r="O1319" s="4">
        <f t="shared" si="123"/>
        <v>1</v>
      </c>
      <c r="P1319" s="5" t="str">
        <f t="shared" si="124"/>
        <v>Low engagement</v>
      </c>
      <c r="Q1319" t="b">
        <v>0</v>
      </c>
      <c r="R1319" t="b">
        <v>0</v>
      </c>
      <c r="S1319" t="b">
        <v>0</v>
      </c>
      <c r="T1319" s="24" t="str">
        <f t="shared" si="125"/>
        <v>Text only</v>
      </c>
    </row>
    <row r="1320" spans="1:20" hidden="1" x14ac:dyDescent="0.2">
      <c r="A1320" t="s">
        <v>4317</v>
      </c>
      <c r="B1320" t="s">
        <v>2365</v>
      </c>
      <c r="C1320" t="s">
        <v>2366</v>
      </c>
      <c r="D1320" t="s">
        <v>4318</v>
      </c>
      <c r="E1320" t="s">
        <v>4315</v>
      </c>
      <c r="F1320" t="str">
        <f>IF(Table2[[#This Row],[Date posted]]&lt; DATE(2015,9,18),"Before Crisis","During Crisis")</f>
        <v>During Crisis</v>
      </c>
      <c r="G1320" s="27">
        <f t="shared" si="120"/>
        <v>42278</v>
      </c>
      <c r="H1320" s="7" t="str">
        <f t="shared" si="121"/>
        <v>19:40:25</v>
      </c>
      <c r="I1320" s="8" t="str">
        <f t="shared" si="122"/>
        <v>Evening</v>
      </c>
      <c r="J1320" t="s">
        <v>4316</v>
      </c>
      <c r="K1320" t="s">
        <v>2370</v>
      </c>
      <c r="L1320" s="3">
        <v>0</v>
      </c>
      <c r="M1320">
        <v>2</v>
      </c>
      <c r="N1320" s="3">
        <v>0</v>
      </c>
      <c r="O1320" s="4">
        <f t="shared" si="123"/>
        <v>2</v>
      </c>
      <c r="P1320" s="5" t="str">
        <f t="shared" si="124"/>
        <v>Low engagement</v>
      </c>
      <c r="Q1320" t="b">
        <v>0</v>
      </c>
      <c r="R1320" t="b">
        <v>0</v>
      </c>
      <c r="S1320" t="b">
        <v>0</v>
      </c>
      <c r="T1320" s="24" t="str">
        <f t="shared" si="125"/>
        <v>Text only</v>
      </c>
    </row>
    <row r="1321" spans="1:20" hidden="1" x14ac:dyDescent="0.2">
      <c r="A1321" t="s">
        <v>4303</v>
      </c>
      <c r="B1321" t="s">
        <v>2365</v>
      </c>
      <c r="C1321" t="s">
        <v>2366</v>
      </c>
      <c r="D1321" t="s">
        <v>4304</v>
      </c>
      <c r="E1321" t="s">
        <v>4300</v>
      </c>
      <c r="F1321" t="str">
        <f>IF(Table2[[#This Row],[Date posted]]&lt; DATE(2015,9,18),"Before Crisis","During Crisis")</f>
        <v>During Crisis</v>
      </c>
      <c r="G1321" s="27">
        <f t="shared" si="120"/>
        <v>42279</v>
      </c>
      <c r="H1321" s="7" t="str">
        <f t="shared" si="121"/>
        <v>18:47:17</v>
      </c>
      <c r="I1321" s="8" t="str">
        <f t="shared" si="122"/>
        <v>Evening</v>
      </c>
      <c r="J1321" t="s">
        <v>2370</v>
      </c>
      <c r="K1321" t="s">
        <v>2370</v>
      </c>
      <c r="L1321" s="3">
        <v>0</v>
      </c>
      <c r="M1321" s="3">
        <v>0</v>
      </c>
      <c r="N1321" s="3">
        <v>0</v>
      </c>
      <c r="O1321" s="4">
        <f t="shared" si="123"/>
        <v>0</v>
      </c>
      <c r="P1321" s="5" t="str">
        <f t="shared" si="124"/>
        <v>No engagement</v>
      </c>
      <c r="Q1321" t="b">
        <v>0</v>
      </c>
      <c r="R1321" t="b">
        <v>0</v>
      </c>
      <c r="S1321" t="b">
        <v>0</v>
      </c>
      <c r="T1321" s="24" t="str">
        <f t="shared" si="125"/>
        <v>Text only</v>
      </c>
    </row>
    <row r="1322" spans="1:20" hidden="1" x14ac:dyDescent="0.2">
      <c r="A1322" t="s">
        <v>4287</v>
      </c>
      <c r="B1322" t="s">
        <v>2365</v>
      </c>
      <c r="C1322" t="s">
        <v>2366</v>
      </c>
      <c r="D1322" t="s">
        <v>4288</v>
      </c>
      <c r="E1322" t="s">
        <v>4289</v>
      </c>
      <c r="F1322" t="str">
        <f>IF(Table2[[#This Row],[Date posted]]&lt; DATE(2015,9,18),"Before Crisis","During Crisis")</f>
        <v>During Crisis</v>
      </c>
      <c r="G1322" s="27">
        <f t="shared" si="120"/>
        <v>42279</v>
      </c>
      <c r="H1322" s="7" t="str">
        <f t="shared" si="121"/>
        <v>18:54:36</v>
      </c>
      <c r="I1322" s="8" t="str">
        <f t="shared" si="122"/>
        <v>Evening</v>
      </c>
      <c r="J1322" t="s">
        <v>4290</v>
      </c>
      <c r="K1322" t="s">
        <v>2370</v>
      </c>
      <c r="L1322" s="3">
        <v>0</v>
      </c>
      <c r="M1322">
        <v>1</v>
      </c>
      <c r="N1322" s="3">
        <v>0</v>
      </c>
      <c r="O1322" s="4">
        <f t="shared" si="123"/>
        <v>1</v>
      </c>
      <c r="P1322" s="5" t="str">
        <f t="shared" si="124"/>
        <v>Low engagement</v>
      </c>
      <c r="Q1322" t="b">
        <v>0</v>
      </c>
      <c r="R1322" t="b">
        <v>0</v>
      </c>
      <c r="S1322" t="b">
        <v>0</v>
      </c>
      <c r="T1322" s="24" t="str">
        <f t="shared" si="125"/>
        <v>Text only</v>
      </c>
    </row>
    <row r="1323" spans="1:20" hidden="1" x14ac:dyDescent="0.2">
      <c r="A1323" t="s">
        <v>4271</v>
      </c>
      <c r="B1323" t="s">
        <v>2365</v>
      </c>
      <c r="C1323" t="s">
        <v>2366</v>
      </c>
      <c r="D1323" t="s">
        <v>4272</v>
      </c>
      <c r="E1323" t="s">
        <v>4273</v>
      </c>
      <c r="F1323" t="str">
        <f>IF(Table2[[#This Row],[Date posted]]&lt; DATE(2015,9,18),"Before Crisis","During Crisis")</f>
        <v>During Crisis</v>
      </c>
      <c r="G1323" s="27">
        <f t="shared" si="120"/>
        <v>42282</v>
      </c>
      <c r="H1323" s="7" t="str">
        <f t="shared" si="121"/>
        <v>16:15:00</v>
      </c>
      <c r="I1323" s="8" t="str">
        <f t="shared" si="122"/>
        <v>Afternoon</v>
      </c>
      <c r="J1323" t="s">
        <v>4274</v>
      </c>
      <c r="K1323" t="s">
        <v>2370</v>
      </c>
      <c r="L1323" s="3">
        <v>0</v>
      </c>
      <c r="M1323" s="3">
        <v>0</v>
      </c>
      <c r="N1323" s="3">
        <v>0</v>
      </c>
      <c r="O1323" s="4">
        <f t="shared" si="123"/>
        <v>0</v>
      </c>
      <c r="P1323" s="5" t="str">
        <f t="shared" si="124"/>
        <v>No engagement</v>
      </c>
      <c r="Q1323" t="b">
        <v>0</v>
      </c>
      <c r="R1323" t="b">
        <v>0</v>
      </c>
      <c r="S1323" t="b">
        <v>0</v>
      </c>
      <c r="T1323" s="24" t="str">
        <f t="shared" si="125"/>
        <v>Text only</v>
      </c>
    </row>
    <row r="1324" spans="1:20" hidden="1" x14ac:dyDescent="0.2">
      <c r="A1324" t="s">
        <v>4268</v>
      </c>
      <c r="B1324" t="s">
        <v>2365</v>
      </c>
      <c r="C1324" t="s">
        <v>2366</v>
      </c>
      <c r="D1324" t="s">
        <v>4269</v>
      </c>
      <c r="E1324" t="s">
        <v>4270</v>
      </c>
      <c r="F1324" t="str">
        <f>IF(Table2[[#This Row],[Date posted]]&lt; DATE(2015,9,18),"Before Crisis","During Crisis")</f>
        <v>During Crisis</v>
      </c>
      <c r="G1324" s="27">
        <f t="shared" si="120"/>
        <v>42282</v>
      </c>
      <c r="H1324" s="7" t="str">
        <f t="shared" si="121"/>
        <v>16:53:14</v>
      </c>
      <c r="I1324" s="8" t="str">
        <f t="shared" si="122"/>
        <v>Afternoon</v>
      </c>
      <c r="J1324" t="s">
        <v>4267</v>
      </c>
      <c r="K1324" t="s">
        <v>2370</v>
      </c>
      <c r="L1324" s="3">
        <v>0</v>
      </c>
      <c r="M1324" s="3">
        <v>0</v>
      </c>
      <c r="N1324" s="3">
        <v>0</v>
      </c>
      <c r="O1324" s="4">
        <f t="shared" si="123"/>
        <v>0</v>
      </c>
      <c r="P1324" s="5" t="str">
        <f t="shared" si="124"/>
        <v>No engagement</v>
      </c>
      <c r="Q1324" t="b">
        <v>0</v>
      </c>
      <c r="R1324" t="b">
        <v>0</v>
      </c>
      <c r="S1324" t="b">
        <v>0</v>
      </c>
      <c r="T1324" s="24" t="str">
        <f t="shared" si="125"/>
        <v>Text only</v>
      </c>
    </row>
    <row r="1325" spans="1:20" hidden="1" x14ac:dyDescent="0.2">
      <c r="A1325" t="s">
        <v>4264</v>
      </c>
      <c r="B1325" t="s">
        <v>2365</v>
      </c>
      <c r="C1325" t="s">
        <v>2366</v>
      </c>
      <c r="D1325" t="s">
        <v>4265</v>
      </c>
      <c r="E1325" t="s">
        <v>4266</v>
      </c>
      <c r="F1325" t="str">
        <f>IF(Table2[[#This Row],[Date posted]]&lt; DATE(2015,9,18),"Before Crisis","During Crisis")</f>
        <v>During Crisis</v>
      </c>
      <c r="G1325" s="27">
        <f t="shared" si="120"/>
        <v>42282</v>
      </c>
      <c r="H1325" s="7" t="str">
        <f t="shared" si="121"/>
        <v>16:53:15</v>
      </c>
      <c r="I1325" s="8" t="str">
        <f t="shared" si="122"/>
        <v>Afternoon</v>
      </c>
      <c r="J1325" t="s">
        <v>4267</v>
      </c>
      <c r="K1325" t="s">
        <v>2370</v>
      </c>
      <c r="L1325" s="3">
        <v>0</v>
      </c>
      <c r="M1325" s="3">
        <v>0</v>
      </c>
      <c r="N1325" s="3">
        <v>0</v>
      </c>
      <c r="O1325" s="4">
        <f t="shared" si="123"/>
        <v>0</v>
      </c>
      <c r="P1325" s="5" t="str">
        <f t="shared" si="124"/>
        <v>No engagement</v>
      </c>
      <c r="Q1325" t="b">
        <v>0</v>
      </c>
      <c r="R1325" t="b">
        <v>0</v>
      </c>
      <c r="S1325" t="b">
        <v>0</v>
      </c>
      <c r="T1325" s="24" t="str">
        <f t="shared" si="125"/>
        <v>Text only</v>
      </c>
    </row>
    <row r="1326" spans="1:20" hidden="1" x14ac:dyDescent="0.2">
      <c r="A1326" t="s">
        <v>4260</v>
      </c>
      <c r="B1326" t="s">
        <v>2365</v>
      </c>
      <c r="C1326" t="s">
        <v>2366</v>
      </c>
      <c r="D1326" t="s">
        <v>4261</v>
      </c>
      <c r="E1326" t="s">
        <v>4262</v>
      </c>
      <c r="F1326" t="str">
        <f>IF(Table2[[#This Row],[Date posted]]&lt; DATE(2015,9,18),"Before Crisis","During Crisis")</f>
        <v>During Crisis</v>
      </c>
      <c r="G1326" s="27">
        <f t="shared" si="120"/>
        <v>42282</v>
      </c>
      <c r="H1326" s="7" t="str">
        <f t="shared" si="121"/>
        <v>17:45:16</v>
      </c>
      <c r="I1326" s="8" t="str">
        <f t="shared" si="122"/>
        <v>Afternoon</v>
      </c>
      <c r="J1326" t="s">
        <v>4263</v>
      </c>
      <c r="K1326" t="s">
        <v>2370</v>
      </c>
      <c r="L1326" s="3">
        <v>0</v>
      </c>
      <c r="M1326">
        <v>1</v>
      </c>
      <c r="N1326" s="3">
        <v>0</v>
      </c>
      <c r="O1326" s="4">
        <f t="shared" si="123"/>
        <v>1</v>
      </c>
      <c r="P1326" s="5" t="str">
        <f t="shared" si="124"/>
        <v>Low engagement</v>
      </c>
      <c r="Q1326" t="b">
        <v>0</v>
      </c>
      <c r="R1326" t="b">
        <v>0</v>
      </c>
      <c r="S1326" t="b">
        <v>0</v>
      </c>
      <c r="T1326" s="24" t="str">
        <f t="shared" si="125"/>
        <v>Text only</v>
      </c>
    </row>
    <row r="1327" spans="1:20" hidden="1" x14ac:dyDescent="0.2">
      <c r="A1327" t="s">
        <v>4257</v>
      </c>
      <c r="B1327" t="s">
        <v>2365</v>
      </c>
      <c r="C1327" t="s">
        <v>2366</v>
      </c>
      <c r="D1327" t="s">
        <v>4258</v>
      </c>
      <c r="E1327" t="s">
        <v>4259</v>
      </c>
      <c r="F1327" t="str">
        <f>IF(Table2[[#This Row],[Date posted]]&lt; DATE(2015,9,18),"Before Crisis","During Crisis")</f>
        <v>During Crisis</v>
      </c>
      <c r="G1327" s="27">
        <f t="shared" si="120"/>
        <v>42282</v>
      </c>
      <c r="H1327" s="7" t="str">
        <f t="shared" si="121"/>
        <v>17:48:50</v>
      </c>
      <c r="I1327" s="8" t="str">
        <f t="shared" si="122"/>
        <v>Afternoon</v>
      </c>
      <c r="J1327" t="s">
        <v>2370</v>
      </c>
      <c r="K1327" t="s">
        <v>2370</v>
      </c>
      <c r="L1327" s="3">
        <v>0</v>
      </c>
      <c r="M1327" s="3">
        <v>0</v>
      </c>
      <c r="N1327" s="3">
        <v>0</v>
      </c>
      <c r="O1327" s="4">
        <f t="shared" si="123"/>
        <v>0</v>
      </c>
      <c r="P1327" s="5" t="str">
        <f t="shared" si="124"/>
        <v>No engagement</v>
      </c>
      <c r="Q1327" t="b">
        <v>0</v>
      </c>
      <c r="R1327" t="b">
        <v>0</v>
      </c>
      <c r="S1327" t="b">
        <v>1</v>
      </c>
      <c r="T1327" s="24" t="str">
        <f t="shared" si="125"/>
        <v>Link</v>
      </c>
    </row>
    <row r="1328" spans="1:20" hidden="1" x14ac:dyDescent="0.2">
      <c r="A1328" t="s">
        <v>4253</v>
      </c>
      <c r="B1328" t="s">
        <v>2365</v>
      </c>
      <c r="C1328" t="s">
        <v>2366</v>
      </c>
      <c r="D1328" t="s">
        <v>4254</v>
      </c>
      <c r="E1328" t="s">
        <v>4255</v>
      </c>
      <c r="F1328" t="str">
        <f>IF(Table2[[#This Row],[Date posted]]&lt; DATE(2015,9,18),"Before Crisis","During Crisis")</f>
        <v>During Crisis</v>
      </c>
      <c r="G1328" s="27">
        <f t="shared" si="120"/>
        <v>42282</v>
      </c>
      <c r="H1328" s="7" t="str">
        <f t="shared" si="121"/>
        <v>17:48:51</v>
      </c>
      <c r="I1328" s="8" t="str">
        <f t="shared" si="122"/>
        <v>Afternoon</v>
      </c>
      <c r="J1328" t="s">
        <v>4256</v>
      </c>
      <c r="K1328" t="s">
        <v>2370</v>
      </c>
      <c r="L1328" s="3">
        <v>0</v>
      </c>
      <c r="M1328" s="3">
        <v>0</v>
      </c>
      <c r="N1328" s="3">
        <v>0</v>
      </c>
      <c r="O1328" s="4">
        <f t="shared" si="123"/>
        <v>0</v>
      </c>
      <c r="P1328" s="5" t="str">
        <f t="shared" si="124"/>
        <v>No engagement</v>
      </c>
      <c r="Q1328" t="b">
        <v>0</v>
      </c>
      <c r="R1328" t="b">
        <v>0</v>
      </c>
      <c r="S1328" t="b">
        <v>1</v>
      </c>
      <c r="T1328" s="24" t="str">
        <f t="shared" si="125"/>
        <v>Link</v>
      </c>
    </row>
    <row r="1329" spans="1:20" hidden="1" x14ac:dyDescent="0.2">
      <c r="A1329" t="s">
        <v>4246</v>
      </c>
      <c r="B1329" t="s">
        <v>2365</v>
      </c>
      <c r="C1329" t="s">
        <v>2366</v>
      </c>
      <c r="D1329" t="s">
        <v>4247</v>
      </c>
      <c r="E1329" t="s">
        <v>4248</v>
      </c>
      <c r="F1329" t="str">
        <f>IF(Table2[[#This Row],[Date posted]]&lt; DATE(2015,9,18),"Before Crisis","During Crisis")</f>
        <v>During Crisis</v>
      </c>
      <c r="G1329" s="27">
        <f t="shared" si="120"/>
        <v>42282</v>
      </c>
      <c r="H1329" s="7" t="str">
        <f t="shared" si="121"/>
        <v>17:59:13</v>
      </c>
      <c r="I1329" s="8" t="str">
        <f t="shared" si="122"/>
        <v>Afternoon</v>
      </c>
      <c r="J1329" t="s">
        <v>4249</v>
      </c>
      <c r="K1329" t="s">
        <v>2370</v>
      </c>
      <c r="L1329" s="3">
        <v>0</v>
      </c>
      <c r="M1329" s="3">
        <v>0</v>
      </c>
      <c r="N1329" s="3">
        <v>0</v>
      </c>
      <c r="O1329" s="4">
        <f t="shared" si="123"/>
        <v>0</v>
      </c>
      <c r="P1329" s="5" t="str">
        <f t="shared" si="124"/>
        <v>No engagement</v>
      </c>
      <c r="Q1329" t="b">
        <v>0</v>
      </c>
      <c r="R1329" t="b">
        <v>0</v>
      </c>
      <c r="S1329" t="b">
        <v>1</v>
      </c>
      <c r="T1329" s="24" t="str">
        <f t="shared" si="125"/>
        <v>Link</v>
      </c>
    </row>
    <row r="1330" spans="1:20" hidden="1" x14ac:dyDescent="0.2">
      <c r="A1330" t="s">
        <v>4250</v>
      </c>
      <c r="B1330" t="s">
        <v>2365</v>
      </c>
      <c r="C1330" t="s">
        <v>2366</v>
      </c>
      <c r="D1330" t="s">
        <v>4251</v>
      </c>
      <c r="E1330" t="s">
        <v>4248</v>
      </c>
      <c r="F1330" t="str">
        <f>IF(Table2[[#This Row],[Date posted]]&lt; DATE(2015,9,18),"Before Crisis","During Crisis")</f>
        <v>During Crisis</v>
      </c>
      <c r="G1330" s="27">
        <f t="shared" si="120"/>
        <v>42282</v>
      </c>
      <c r="H1330" s="7" t="str">
        <f t="shared" si="121"/>
        <v>17:59:13</v>
      </c>
      <c r="I1330" s="8" t="str">
        <f t="shared" si="122"/>
        <v>Afternoon</v>
      </c>
      <c r="J1330" t="s">
        <v>4252</v>
      </c>
      <c r="K1330" t="s">
        <v>2370</v>
      </c>
      <c r="L1330">
        <v>1</v>
      </c>
      <c r="M1330" s="3">
        <v>0</v>
      </c>
      <c r="N1330" s="3">
        <v>0</v>
      </c>
      <c r="O1330" s="4">
        <f t="shared" si="123"/>
        <v>1</v>
      </c>
      <c r="P1330" s="5" t="str">
        <f t="shared" si="124"/>
        <v>Low engagement</v>
      </c>
      <c r="Q1330" t="b">
        <v>0</v>
      </c>
      <c r="R1330" t="b">
        <v>0</v>
      </c>
      <c r="S1330" t="b">
        <v>0</v>
      </c>
      <c r="T1330" s="24" t="str">
        <f t="shared" si="125"/>
        <v>Text only</v>
      </c>
    </row>
    <row r="1331" spans="1:20" hidden="1" x14ac:dyDescent="0.2">
      <c r="A1331" t="s">
        <v>4239</v>
      </c>
      <c r="B1331" t="s">
        <v>2365</v>
      </c>
      <c r="C1331" t="s">
        <v>2366</v>
      </c>
      <c r="D1331" t="s">
        <v>4240</v>
      </c>
      <c r="E1331" t="s">
        <v>4241</v>
      </c>
      <c r="F1331" t="str">
        <f>IF(Table2[[#This Row],[Date posted]]&lt; DATE(2015,9,18),"Before Crisis","During Crisis")</f>
        <v>During Crisis</v>
      </c>
      <c r="G1331" s="27">
        <f t="shared" si="120"/>
        <v>42282</v>
      </c>
      <c r="H1331" s="7" t="str">
        <f t="shared" si="121"/>
        <v>17:59:14</v>
      </c>
      <c r="I1331" s="8" t="str">
        <f t="shared" si="122"/>
        <v>Afternoon</v>
      </c>
      <c r="J1331" t="s">
        <v>2370</v>
      </c>
      <c r="K1331" t="s">
        <v>2370</v>
      </c>
      <c r="L1331" s="3">
        <v>0</v>
      </c>
      <c r="M1331" s="3">
        <v>0</v>
      </c>
      <c r="N1331" s="3">
        <v>0</v>
      </c>
      <c r="O1331" s="4">
        <f t="shared" si="123"/>
        <v>0</v>
      </c>
      <c r="P1331" s="5" t="str">
        <f t="shared" si="124"/>
        <v>No engagement</v>
      </c>
      <c r="Q1331" t="b">
        <v>0</v>
      </c>
      <c r="R1331" t="b">
        <v>0</v>
      </c>
      <c r="S1331" t="b">
        <v>0</v>
      </c>
      <c r="T1331" s="24" t="str">
        <f t="shared" si="125"/>
        <v>Text only</v>
      </c>
    </row>
    <row r="1332" spans="1:20" hidden="1" x14ac:dyDescent="0.2">
      <c r="A1332" t="s">
        <v>4242</v>
      </c>
      <c r="B1332" t="s">
        <v>2365</v>
      </c>
      <c r="C1332" t="s">
        <v>2366</v>
      </c>
      <c r="D1332" t="s">
        <v>4243</v>
      </c>
      <c r="E1332" t="s">
        <v>4241</v>
      </c>
      <c r="F1332" t="str">
        <f>IF(Table2[[#This Row],[Date posted]]&lt; DATE(2015,9,18),"Before Crisis","During Crisis")</f>
        <v>During Crisis</v>
      </c>
      <c r="G1332" s="27">
        <f t="shared" si="120"/>
        <v>42282</v>
      </c>
      <c r="H1332" s="7" t="str">
        <f t="shared" si="121"/>
        <v>17:59:14</v>
      </c>
      <c r="I1332" s="8" t="str">
        <f t="shared" si="122"/>
        <v>Afternoon</v>
      </c>
      <c r="J1332" t="s">
        <v>2370</v>
      </c>
      <c r="K1332" t="s">
        <v>2370</v>
      </c>
      <c r="L1332" s="3">
        <v>0</v>
      </c>
      <c r="M1332" s="3">
        <v>0</v>
      </c>
      <c r="N1332" s="3">
        <v>0</v>
      </c>
      <c r="O1332" s="4">
        <f t="shared" si="123"/>
        <v>0</v>
      </c>
      <c r="P1332" s="5" t="str">
        <f t="shared" si="124"/>
        <v>No engagement</v>
      </c>
      <c r="Q1332" t="b">
        <v>0</v>
      </c>
      <c r="R1332" t="b">
        <v>0</v>
      </c>
      <c r="S1332" t="b">
        <v>1</v>
      </c>
      <c r="T1332" s="24" t="str">
        <f t="shared" si="125"/>
        <v>Link</v>
      </c>
    </row>
    <row r="1333" spans="1:20" hidden="1" x14ac:dyDescent="0.2">
      <c r="A1333" t="s">
        <v>4244</v>
      </c>
      <c r="B1333" t="s">
        <v>2365</v>
      </c>
      <c r="C1333" t="s">
        <v>2366</v>
      </c>
      <c r="D1333" t="s">
        <v>4245</v>
      </c>
      <c r="E1333" t="s">
        <v>4241</v>
      </c>
      <c r="F1333" t="str">
        <f>IF(Table2[[#This Row],[Date posted]]&lt; DATE(2015,9,18),"Before Crisis","During Crisis")</f>
        <v>During Crisis</v>
      </c>
      <c r="G1333" s="27">
        <f t="shared" si="120"/>
        <v>42282</v>
      </c>
      <c r="H1333" s="7" t="str">
        <f t="shared" si="121"/>
        <v>17:59:14</v>
      </c>
      <c r="I1333" s="8" t="str">
        <f t="shared" si="122"/>
        <v>Afternoon</v>
      </c>
      <c r="J1333" t="s">
        <v>2370</v>
      </c>
      <c r="K1333" t="s">
        <v>2370</v>
      </c>
      <c r="L1333" s="3">
        <v>0</v>
      </c>
      <c r="M1333" s="3">
        <v>0</v>
      </c>
      <c r="N1333" s="3">
        <v>0</v>
      </c>
      <c r="O1333" s="4">
        <f t="shared" si="123"/>
        <v>0</v>
      </c>
      <c r="P1333" s="5" t="str">
        <f t="shared" si="124"/>
        <v>No engagement</v>
      </c>
      <c r="Q1333" t="b">
        <v>0</v>
      </c>
      <c r="R1333" t="b">
        <v>0</v>
      </c>
      <c r="S1333" t="b">
        <v>1</v>
      </c>
      <c r="T1333" s="24" t="str">
        <f t="shared" si="125"/>
        <v>Link</v>
      </c>
    </row>
    <row r="1334" spans="1:20" hidden="1" x14ac:dyDescent="0.2">
      <c r="A1334" t="s">
        <v>4233</v>
      </c>
      <c r="B1334" t="s">
        <v>2365</v>
      </c>
      <c r="C1334" t="s">
        <v>2366</v>
      </c>
      <c r="D1334" t="s">
        <v>4234</v>
      </c>
      <c r="E1334" t="s">
        <v>4235</v>
      </c>
      <c r="F1334" t="str">
        <f>IF(Table2[[#This Row],[Date posted]]&lt; DATE(2015,9,18),"Before Crisis","During Crisis")</f>
        <v>During Crisis</v>
      </c>
      <c r="G1334" s="27">
        <f t="shared" si="120"/>
        <v>42282</v>
      </c>
      <c r="H1334" s="7" t="str">
        <f t="shared" si="121"/>
        <v>20:11:27</v>
      </c>
      <c r="I1334" s="8" t="str">
        <f t="shared" si="122"/>
        <v>Evening</v>
      </c>
      <c r="J1334" t="s">
        <v>4232</v>
      </c>
      <c r="K1334" t="s">
        <v>2370</v>
      </c>
      <c r="L1334" s="3">
        <v>0</v>
      </c>
      <c r="M1334" s="3">
        <v>0</v>
      </c>
      <c r="N1334" s="3">
        <v>0</v>
      </c>
      <c r="O1334" s="4">
        <f t="shared" si="123"/>
        <v>0</v>
      </c>
      <c r="P1334" s="5" t="str">
        <f t="shared" si="124"/>
        <v>No engagement</v>
      </c>
      <c r="Q1334" t="b">
        <v>0</v>
      </c>
      <c r="R1334" t="b">
        <v>0</v>
      </c>
      <c r="S1334" t="b">
        <v>0</v>
      </c>
      <c r="T1334" s="24" t="str">
        <f t="shared" si="125"/>
        <v>Text only</v>
      </c>
    </row>
    <row r="1335" spans="1:20" hidden="1" x14ac:dyDescent="0.2">
      <c r="A1335" t="s">
        <v>4225</v>
      </c>
      <c r="B1335" t="s">
        <v>2365</v>
      </c>
      <c r="C1335" t="s">
        <v>2366</v>
      </c>
      <c r="D1335" t="s">
        <v>4226</v>
      </c>
      <c r="E1335" t="s">
        <v>4227</v>
      </c>
      <c r="F1335" t="str">
        <f>IF(Table2[[#This Row],[Date posted]]&lt; DATE(2015,9,18),"Before Crisis","During Crisis")</f>
        <v>During Crisis</v>
      </c>
      <c r="G1335" s="27">
        <f t="shared" si="120"/>
        <v>42282</v>
      </c>
      <c r="H1335" s="7" t="str">
        <f t="shared" si="121"/>
        <v>20:42:32</v>
      </c>
      <c r="I1335" s="8" t="str">
        <f t="shared" si="122"/>
        <v>Evening</v>
      </c>
      <c r="J1335" t="s">
        <v>4228</v>
      </c>
      <c r="K1335" t="s">
        <v>2370</v>
      </c>
      <c r="L1335" s="3">
        <v>0</v>
      </c>
      <c r="M1335">
        <v>1</v>
      </c>
      <c r="N1335" s="3">
        <v>0</v>
      </c>
      <c r="O1335" s="4">
        <f t="shared" si="123"/>
        <v>1</v>
      </c>
      <c r="P1335" s="5" t="str">
        <f t="shared" si="124"/>
        <v>Low engagement</v>
      </c>
      <c r="Q1335" t="b">
        <v>0</v>
      </c>
      <c r="R1335" t="b">
        <v>0</v>
      </c>
      <c r="S1335" t="b">
        <v>0</v>
      </c>
      <c r="T1335" s="24" t="str">
        <f t="shared" si="125"/>
        <v>Text only</v>
      </c>
    </row>
    <row r="1336" spans="1:20" hidden="1" x14ac:dyDescent="0.2">
      <c r="A1336" t="s">
        <v>4217</v>
      </c>
      <c r="B1336" t="s">
        <v>2365</v>
      </c>
      <c r="C1336" t="s">
        <v>2366</v>
      </c>
      <c r="D1336" t="s">
        <v>4218</v>
      </c>
      <c r="E1336" t="s">
        <v>4219</v>
      </c>
      <c r="F1336" t="str">
        <f>IF(Table2[[#This Row],[Date posted]]&lt; DATE(2015,9,18),"Before Crisis","During Crisis")</f>
        <v>During Crisis</v>
      </c>
      <c r="G1336" s="27">
        <f t="shared" si="120"/>
        <v>42283</v>
      </c>
      <c r="H1336" s="7" t="str">
        <f t="shared" si="121"/>
        <v>12:57:03</v>
      </c>
      <c r="I1336" s="8" t="str">
        <f t="shared" si="122"/>
        <v>Mid-day</v>
      </c>
      <c r="J1336" t="s">
        <v>4220</v>
      </c>
      <c r="K1336" t="s">
        <v>2370</v>
      </c>
      <c r="L1336" s="3">
        <v>0</v>
      </c>
      <c r="M1336" s="3">
        <v>0</v>
      </c>
      <c r="N1336" s="3">
        <v>0</v>
      </c>
      <c r="O1336" s="4">
        <f t="shared" si="123"/>
        <v>0</v>
      </c>
      <c r="P1336" s="5" t="str">
        <f t="shared" si="124"/>
        <v>No engagement</v>
      </c>
      <c r="Q1336" t="b">
        <v>0</v>
      </c>
      <c r="R1336" t="b">
        <v>0</v>
      </c>
      <c r="S1336" t="b">
        <v>0</v>
      </c>
      <c r="T1336" s="24" t="str">
        <f t="shared" si="125"/>
        <v>Text only</v>
      </c>
    </row>
    <row r="1337" spans="1:20" hidden="1" x14ac:dyDescent="0.2">
      <c r="A1337" t="s">
        <v>4211</v>
      </c>
      <c r="B1337" t="s">
        <v>2365</v>
      </c>
      <c r="C1337" t="s">
        <v>2366</v>
      </c>
      <c r="D1337" t="s">
        <v>4212</v>
      </c>
      <c r="E1337" t="s">
        <v>4213</v>
      </c>
      <c r="F1337" t="str">
        <f>IF(Table2[[#This Row],[Date posted]]&lt; DATE(2015,9,18),"Before Crisis","During Crisis")</f>
        <v>During Crisis</v>
      </c>
      <c r="G1337" s="27">
        <f t="shared" si="120"/>
        <v>42283</v>
      </c>
      <c r="H1337" s="7" t="str">
        <f t="shared" si="121"/>
        <v>12:57:04</v>
      </c>
      <c r="I1337" s="8" t="str">
        <f t="shared" si="122"/>
        <v>Mid-day</v>
      </c>
      <c r="J1337" t="s">
        <v>2370</v>
      </c>
      <c r="K1337" t="s">
        <v>2370</v>
      </c>
      <c r="L1337" s="3">
        <v>0</v>
      </c>
      <c r="M1337" s="3">
        <v>0</v>
      </c>
      <c r="N1337" s="3">
        <v>0</v>
      </c>
      <c r="O1337" s="4">
        <f t="shared" si="123"/>
        <v>0</v>
      </c>
      <c r="P1337" s="5" t="str">
        <f t="shared" si="124"/>
        <v>No engagement</v>
      </c>
      <c r="Q1337" t="b">
        <v>0</v>
      </c>
      <c r="R1337" t="b">
        <v>0</v>
      </c>
      <c r="S1337" t="b">
        <v>1</v>
      </c>
      <c r="T1337" s="24" t="str">
        <f t="shared" si="125"/>
        <v>Link</v>
      </c>
    </row>
    <row r="1338" spans="1:20" hidden="1" x14ac:dyDescent="0.2">
      <c r="A1338" t="s">
        <v>4214</v>
      </c>
      <c r="B1338" t="s">
        <v>2365</v>
      </c>
      <c r="C1338" t="s">
        <v>2366</v>
      </c>
      <c r="D1338" t="s">
        <v>4215</v>
      </c>
      <c r="E1338" t="s">
        <v>4213</v>
      </c>
      <c r="F1338" t="str">
        <f>IF(Table2[[#This Row],[Date posted]]&lt; DATE(2015,9,18),"Before Crisis","During Crisis")</f>
        <v>During Crisis</v>
      </c>
      <c r="G1338" s="27">
        <f t="shared" si="120"/>
        <v>42283</v>
      </c>
      <c r="H1338" s="7" t="str">
        <f t="shared" si="121"/>
        <v>12:57:04</v>
      </c>
      <c r="I1338" s="8" t="str">
        <f t="shared" si="122"/>
        <v>Mid-day</v>
      </c>
      <c r="J1338" t="s">
        <v>4216</v>
      </c>
      <c r="K1338" t="s">
        <v>2370</v>
      </c>
      <c r="L1338" s="3">
        <v>0</v>
      </c>
      <c r="M1338" s="3">
        <v>0</v>
      </c>
      <c r="N1338" s="3">
        <v>0</v>
      </c>
      <c r="O1338" s="4">
        <f t="shared" si="123"/>
        <v>0</v>
      </c>
      <c r="P1338" s="5" t="str">
        <f t="shared" si="124"/>
        <v>No engagement</v>
      </c>
      <c r="Q1338" t="b">
        <v>0</v>
      </c>
      <c r="R1338" t="b">
        <v>0</v>
      </c>
      <c r="S1338" t="b">
        <v>0</v>
      </c>
      <c r="T1338" s="24" t="str">
        <f t="shared" si="125"/>
        <v>Text only</v>
      </c>
    </row>
    <row r="1339" spans="1:20" hidden="1" x14ac:dyDescent="0.2">
      <c r="A1339" t="s">
        <v>4208</v>
      </c>
      <c r="B1339" t="s">
        <v>2365</v>
      </c>
      <c r="C1339" t="s">
        <v>2366</v>
      </c>
      <c r="D1339" t="s">
        <v>4209</v>
      </c>
      <c r="E1339" t="s">
        <v>4210</v>
      </c>
      <c r="F1339" t="str">
        <f>IF(Table2[[#This Row],[Date posted]]&lt; DATE(2015,9,18),"Before Crisis","During Crisis")</f>
        <v>During Crisis</v>
      </c>
      <c r="G1339" s="27">
        <f t="shared" si="120"/>
        <v>42283</v>
      </c>
      <c r="H1339" s="7" t="str">
        <f t="shared" si="121"/>
        <v>13:18:17</v>
      </c>
      <c r="I1339" s="8" t="str">
        <f t="shared" si="122"/>
        <v>Mid-day</v>
      </c>
      <c r="J1339" t="s">
        <v>2625</v>
      </c>
      <c r="K1339" t="s">
        <v>2370</v>
      </c>
      <c r="L1339" s="3">
        <v>0</v>
      </c>
      <c r="M1339" s="3">
        <v>0</v>
      </c>
      <c r="N1339" s="3">
        <v>0</v>
      </c>
      <c r="O1339" s="4">
        <f t="shared" si="123"/>
        <v>0</v>
      </c>
      <c r="P1339" s="5" t="str">
        <f t="shared" si="124"/>
        <v>No engagement</v>
      </c>
      <c r="Q1339" t="b">
        <v>0</v>
      </c>
      <c r="R1339" t="b">
        <v>0</v>
      </c>
      <c r="S1339" t="b">
        <v>0</v>
      </c>
      <c r="T1339" s="24" t="str">
        <f t="shared" si="125"/>
        <v>Text only</v>
      </c>
    </row>
    <row r="1340" spans="1:20" hidden="1" x14ac:dyDescent="0.2">
      <c r="A1340" t="s">
        <v>4202</v>
      </c>
      <c r="B1340" t="s">
        <v>2365</v>
      </c>
      <c r="C1340" t="s">
        <v>2366</v>
      </c>
      <c r="D1340" t="s">
        <v>4203</v>
      </c>
      <c r="E1340" t="s">
        <v>4204</v>
      </c>
      <c r="F1340" t="str">
        <f>IF(Table2[[#This Row],[Date posted]]&lt; DATE(2015,9,18),"Before Crisis","During Crisis")</f>
        <v>During Crisis</v>
      </c>
      <c r="G1340" s="27">
        <f t="shared" si="120"/>
        <v>42283</v>
      </c>
      <c r="H1340" s="7" t="str">
        <f t="shared" si="121"/>
        <v>14:52:02</v>
      </c>
      <c r="I1340" s="8" t="str">
        <f t="shared" si="122"/>
        <v>Afternoon</v>
      </c>
      <c r="J1340" t="s">
        <v>2370</v>
      </c>
      <c r="K1340" t="s">
        <v>2370</v>
      </c>
      <c r="L1340" s="3">
        <v>0</v>
      </c>
      <c r="M1340" s="3">
        <v>0</v>
      </c>
      <c r="N1340" s="3">
        <v>0</v>
      </c>
      <c r="O1340" s="4">
        <f t="shared" si="123"/>
        <v>0</v>
      </c>
      <c r="P1340" s="5" t="str">
        <f t="shared" si="124"/>
        <v>No engagement</v>
      </c>
      <c r="Q1340" t="b">
        <v>0</v>
      </c>
      <c r="R1340" t="b">
        <v>0</v>
      </c>
      <c r="S1340" t="b">
        <v>0</v>
      </c>
      <c r="T1340" s="24" t="str">
        <f t="shared" si="125"/>
        <v>Text only</v>
      </c>
    </row>
    <row r="1341" spans="1:20" hidden="1" x14ac:dyDescent="0.2">
      <c r="A1341" t="s">
        <v>4199</v>
      </c>
      <c r="B1341" t="s">
        <v>2365</v>
      </c>
      <c r="C1341" t="s">
        <v>2366</v>
      </c>
      <c r="D1341" t="s">
        <v>4200</v>
      </c>
      <c r="E1341" t="s">
        <v>4197</v>
      </c>
      <c r="F1341" t="str">
        <f>IF(Table2[[#This Row],[Date posted]]&lt; DATE(2015,9,18),"Before Crisis","During Crisis")</f>
        <v>During Crisis</v>
      </c>
      <c r="G1341" s="27">
        <f t="shared" si="120"/>
        <v>42283</v>
      </c>
      <c r="H1341" s="7" t="str">
        <f t="shared" si="121"/>
        <v>15:46:34</v>
      </c>
      <c r="I1341" s="8" t="str">
        <f t="shared" si="122"/>
        <v>Afternoon</v>
      </c>
      <c r="J1341" t="s">
        <v>4201</v>
      </c>
      <c r="K1341" t="s">
        <v>2370</v>
      </c>
      <c r="L1341" s="3">
        <v>0</v>
      </c>
      <c r="M1341" s="3">
        <v>0</v>
      </c>
      <c r="N1341" s="3">
        <v>0</v>
      </c>
      <c r="O1341" s="4">
        <f t="shared" si="123"/>
        <v>0</v>
      </c>
      <c r="P1341" s="5" t="str">
        <f t="shared" si="124"/>
        <v>No engagement</v>
      </c>
      <c r="Q1341" t="b">
        <v>0</v>
      </c>
      <c r="R1341" t="b">
        <v>0</v>
      </c>
      <c r="S1341" t="b">
        <v>1</v>
      </c>
      <c r="T1341" s="24" t="str">
        <f t="shared" si="125"/>
        <v>Link</v>
      </c>
    </row>
    <row r="1342" spans="1:20" hidden="1" x14ac:dyDescent="0.2">
      <c r="A1342" t="s">
        <v>4188</v>
      </c>
      <c r="B1342" t="s">
        <v>2365</v>
      </c>
      <c r="C1342" t="s">
        <v>2366</v>
      </c>
      <c r="D1342" t="s">
        <v>4189</v>
      </c>
      <c r="E1342" t="s">
        <v>4190</v>
      </c>
      <c r="F1342" t="str">
        <f>IF(Table2[[#This Row],[Date posted]]&lt; DATE(2015,9,18),"Before Crisis","During Crisis")</f>
        <v>During Crisis</v>
      </c>
      <c r="G1342" s="27">
        <f t="shared" si="120"/>
        <v>42283</v>
      </c>
      <c r="H1342" s="7" t="str">
        <f t="shared" si="121"/>
        <v>16:25:45</v>
      </c>
      <c r="I1342" s="8" t="str">
        <f t="shared" si="122"/>
        <v>Afternoon</v>
      </c>
      <c r="J1342" t="s">
        <v>4191</v>
      </c>
      <c r="K1342" t="s">
        <v>2370</v>
      </c>
      <c r="L1342" s="3">
        <v>0</v>
      </c>
      <c r="M1342">
        <v>1</v>
      </c>
      <c r="N1342" s="3">
        <v>0</v>
      </c>
      <c r="O1342" s="4">
        <f t="shared" si="123"/>
        <v>1</v>
      </c>
      <c r="P1342" s="5" t="str">
        <f t="shared" si="124"/>
        <v>Low engagement</v>
      </c>
      <c r="Q1342" t="b">
        <v>0</v>
      </c>
      <c r="R1342" t="b">
        <v>0</v>
      </c>
      <c r="S1342" t="b">
        <v>1</v>
      </c>
      <c r="T1342" s="24" t="str">
        <f t="shared" si="125"/>
        <v>Link</v>
      </c>
    </row>
    <row r="1343" spans="1:20" hidden="1" x14ac:dyDescent="0.2">
      <c r="A1343" t="s">
        <v>4176</v>
      </c>
      <c r="B1343" t="s">
        <v>2365</v>
      </c>
      <c r="C1343" t="s">
        <v>2366</v>
      </c>
      <c r="D1343" t="s">
        <v>4177</v>
      </c>
      <c r="E1343" t="s">
        <v>4178</v>
      </c>
      <c r="F1343" t="str">
        <f>IF(Table2[[#This Row],[Date posted]]&lt; DATE(2015,9,18),"Before Crisis","During Crisis")</f>
        <v>During Crisis</v>
      </c>
      <c r="G1343" s="27">
        <f t="shared" si="120"/>
        <v>42283</v>
      </c>
      <c r="H1343" s="7" t="str">
        <f t="shared" si="121"/>
        <v>20:29:38</v>
      </c>
      <c r="I1343" s="8" t="str">
        <f t="shared" si="122"/>
        <v>Evening</v>
      </c>
      <c r="J1343" t="s">
        <v>2723</v>
      </c>
      <c r="K1343" t="s">
        <v>2370</v>
      </c>
      <c r="L1343" s="3">
        <v>0</v>
      </c>
      <c r="M1343">
        <v>1</v>
      </c>
      <c r="N1343" s="3">
        <v>0</v>
      </c>
      <c r="O1343" s="4">
        <f t="shared" si="123"/>
        <v>1</v>
      </c>
      <c r="P1343" s="5" t="str">
        <f t="shared" si="124"/>
        <v>Low engagement</v>
      </c>
      <c r="Q1343" t="b">
        <v>0</v>
      </c>
      <c r="R1343" t="b">
        <v>0</v>
      </c>
      <c r="S1343" t="b">
        <v>1</v>
      </c>
      <c r="T1343" s="24" t="str">
        <f t="shared" si="125"/>
        <v>Link</v>
      </c>
    </row>
    <row r="1344" spans="1:20" hidden="1" x14ac:dyDescent="0.2">
      <c r="A1344" t="s">
        <v>4162</v>
      </c>
      <c r="B1344" t="s">
        <v>2365</v>
      </c>
      <c r="C1344" t="s">
        <v>2366</v>
      </c>
      <c r="D1344" t="s">
        <v>4163</v>
      </c>
      <c r="E1344" t="s">
        <v>4164</v>
      </c>
      <c r="F1344" t="str">
        <f>IF(Table2[[#This Row],[Date posted]]&lt; DATE(2015,9,18),"Before Crisis","During Crisis")</f>
        <v>During Crisis</v>
      </c>
      <c r="G1344" s="27">
        <f t="shared" si="120"/>
        <v>42283</v>
      </c>
      <c r="H1344" s="7" t="str">
        <f t="shared" si="121"/>
        <v>21:11:53</v>
      </c>
      <c r="I1344" s="8" t="str">
        <f t="shared" si="122"/>
        <v>Evening</v>
      </c>
      <c r="J1344" t="s">
        <v>4165</v>
      </c>
      <c r="K1344" t="s">
        <v>2370</v>
      </c>
      <c r="L1344" s="3">
        <v>0</v>
      </c>
      <c r="M1344" s="3">
        <v>0</v>
      </c>
      <c r="N1344" s="3">
        <v>0</v>
      </c>
      <c r="O1344" s="4">
        <f t="shared" si="123"/>
        <v>0</v>
      </c>
      <c r="P1344" s="5" t="str">
        <f t="shared" si="124"/>
        <v>No engagement</v>
      </c>
      <c r="Q1344" t="b">
        <v>0</v>
      </c>
      <c r="R1344" t="b">
        <v>0</v>
      </c>
      <c r="S1344" t="b">
        <v>0</v>
      </c>
      <c r="T1344" s="24" t="str">
        <f t="shared" si="125"/>
        <v>Text only</v>
      </c>
    </row>
    <row r="1345" spans="1:20" hidden="1" x14ac:dyDescent="0.2">
      <c r="A1345" t="s">
        <v>4119</v>
      </c>
      <c r="B1345" t="s">
        <v>2365</v>
      </c>
      <c r="C1345" t="s">
        <v>2366</v>
      </c>
      <c r="D1345" t="s">
        <v>4120</v>
      </c>
      <c r="E1345" t="s">
        <v>4121</v>
      </c>
      <c r="F1345" t="str">
        <f>IF(Table2[[#This Row],[Date posted]]&lt; DATE(2015,9,18),"Before Crisis","During Crisis")</f>
        <v>During Crisis</v>
      </c>
      <c r="G1345" s="27">
        <f t="shared" si="120"/>
        <v>42285</v>
      </c>
      <c r="H1345" s="7" t="str">
        <f t="shared" si="121"/>
        <v>21:23:09</v>
      </c>
      <c r="I1345" s="8" t="str">
        <f t="shared" si="122"/>
        <v>Evening</v>
      </c>
      <c r="J1345" t="s">
        <v>4122</v>
      </c>
      <c r="K1345" t="s">
        <v>2370</v>
      </c>
      <c r="L1345" s="3">
        <v>0</v>
      </c>
      <c r="M1345">
        <v>1</v>
      </c>
      <c r="N1345" s="3">
        <v>0</v>
      </c>
      <c r="O1345" s="4">
        <f t="shared" si="123"/>
        <v>1</v>
      </c>
      <c r="P1345" s="5" t="str">
        <f t="shared" si="124"/>
        <v>Low engagement</v>
      </c>
      <c r="Q1345" t="b">
        <v>0</v>
      </c>
      <c r="R1345" t="b">
        <v>0</v>
      </c>
      <c r="S1345" t="b">
        <v>0</v>
      </c>
      <c r="T1345" s="24" t="str">
        <f t="shared" si="125"/>
        <v>Text only</v>
      </c>
    </row>
    <row r="1346" spans="1:20" hidden="1" x14ac:dyDescent="0.2">
      <c r="A1346" t="s">
        <v>4094</v>
      </c>
      <c r="B1346" t="s">
        <v>2365</v>
      </c>
      <c r="C1346" t="s">
        <v>2366</v>
      </c>
      <c r="D1346" t="s">
        <v>4095</v>
      </c>
      <c r="E1346" t="s">
        <v>4093</v>
      </c>
      <c r="F1346" t="str">
        <f>IF(Table2[[#This Row],[Date posted]]&lt; DATE(2015,9,18),"Before Crisis","During Crisis")</f>
        <v>During Crisis</v>
      </c>
      <c r="G1346" s="27">
        <f t="shared" ref="G1346:G1409" si="126">DATEVALUE(LEFT(E1346,10))</f>
        <v>42286</v>
      </c>
      <c r="H1346" s="7" t="str">
        <f t="shared" ref="H1346:H1409" si="127">MID(E1346,12,8)</f>
        <v>21:24:55</v>
      </c>
      <c r="I1346" s="8" t="str">
        <f t="shared" ref="I1346:I1409" si="128">IF(HOUR(H1346)&lt;7,"Early morning",
IF(HOUR(H1346)&lt;11,"Morning",
IF(HOUR(H1346)&lt;14,"Mid-day",
IF(HOUR(H1346)&lt;18,"Afternoon","Evening"))))</f>
        <v>Evening</v>
      </c>
      <c r="J1346" t="s">
        <v>2370</v>
      </c>
      <c r="K1346" t="s">
        <v>2370</v>
      </c>
      <c r="L1346" s="3">
        <v>0</v>
      </c>
      <c r="M1346" s="3">
        <v>0</v>
      </c>
      <c r="N1346" s="3">
        <v>0</v>
      </c>
      <c r="O1346" s="4">
        <f t="shared" ref="O1346:O1409" si="129">L1346+M1346+N1346</f>
        <v>0</v>
      </c>
      <c r="P1346" s="5" t="str">
        <f t="shared" ref="P1346:P1409" si="130">IF(O1346&lt;1,"No engagement", IF(O1346&lt;5,"Low engagement", IF(O1346&lt;10,"Moderate engagement", "High engagement")))</f>
        <v>No engagement</v>
      </c>
      <c r="Q1346" t="b">
        <v>0</v>
      </c>
      <c r="R1346" t="b">
        <v>0</v>
      </c>
      <c r="S1346" t="b">
        <v>0</v>
      </c>
      <c r="T1346" s="24" t="str">
        <f t="shared" ref="T1346:T1409" si="131">IF(Q1346=TRUE,"Photo",
    IF(R1346=TRUE,"Video",
        IF(S1346=TRUE,"Link","Text only")))</f>
        <v>Text only</v>
      </c>
    </row>
    <row r="1347" spans="1:20" hidden="1" x14ac:dyDescent="0.2">
      <c r="A1347" t="s">
        <v>4081</v>
      </c>
      <c r="B1347" t="s">
        <v>2365</v>
      </c>
      <c r="C1347" t="s">
        <v>2366</v>
      </c>
      <c r="D1347" t="s">
        <v>4082</v>
      </c>
      <c r="E1347" t="s">
        <v>4083</v>
      </c>
      <c r="F1347" t="str">
        <f>IF(Table2[[#This Row],[Date posted]]&lt; DATE(2015,9,18),"Before Crisis","During Crisis")</f>
        <v>During Crisis</v>
      </c>
      <c r="G1347" s="27">
        <f t="shared" si="126"/>
        <v>42289</v>
      </c>
      <c r="H1347" s="7" t="str">
        <f t="shared" si="127"/>
        <v>15:07:22</v>
      </c>
      <c r="I1347" s="8" t="str">
        <f t="shared" si="128"/>
        <v>Afternoon</v>
      </c>
      <c r="J1347" t="s">
        <v>4080</v>
      </c>
      <c r="K1347" t="s">
        <v>2370</v>
      </c>
      <c r="L1347" s="3">
        <v>0</v>
      </c>
      <c r="M1347">
        <v>1</v>
      </c>
      <c r="N1347" s="3">
        <v>0</v>
      </c>
      <c r="O1347" s="4">
        <f t="shared" si="129"/>
        <v>1</v>
      </c>
      <c r="P1347" s="5" t="str">
        <f t="shared" si="130"/>
        <v>Low engagement</v>
      </c>
      <c r="Q1347" t="b">
        <v>0</v>
      </c>
      <c r="R1347" t="b">
        <v>0</v>
      </c>
      <c r="S1347" t="b">
        <v>0</v>
      </c>
      <c r="T1347" s="24" t="str">
        <f t="shared" si="131"/>
        <v>Text only</v>
      </c>
    </row>
    <row r="1348" spans="1:20" hidden="1" x14ac:dyDescent="0.2">
      <c r="A1348" t="s">
        <v>4084</v>
      </c>
      <c r="B1348" t="s">
        <v>2365</v>
      </c>
      <c r="C1348" t="s">
        <v>2366</v>
      </c>
      <c r="D1348" t="s">
        <v>4085</v>
      </c>
      <c r="E1348" t="s">
        <v>4083</v>
      </c>
      <c r="F1348" t="str">
        <f>IF(Table2[[#This Row],[Date posted]]&lt; DATE(2015,9,18),"Before Crisis","During Crisis")</f>
        <v>During Crisis</v>
      </c>
      <c r="G1348" s="27">
        <f t="shared" si="126"/>
        <v>42289</v>
      </c>
      <c r="H1348" s="7" t="str">
        <f t="shared" si="127"/>
        <v>15:07:22</v>
      </c>
      <c r="I1348" s="8" t="str">
        <f t="shared" si="128"/>
        <v>Afternoon</v>
      </c>
      <c r="J1348" t="s">
        <v>4086</v>
      </c>
      <c r="K1348" t="s">
        <v>2370</v>
      </c>
      <c r="L1348" s="3">
        <v>0</v>
      </c>
      <c r="M1348">
        <v>1</v>
      </c>
      <c r="N1348" s="3">
        <v>0</v>
      </c>
      <c r="O1348" s="4">
        <f t="shared" si="129"/>
        <v>1</v>
      </c>
      <c r="P1348" s="5" t="str">
        <f t="shared" si="130"/>
        <v>Low engagement</v>
      </c>
      <c r="Q1348" t="b">
        <v>0</v>
      </c>
      <c r="R1348" t="b">
        <v>0</v>
      </c>
      <c r="S1348" t="b">
        <v>0</v>
      </c>
      <c r="T1348" s="24" t="str">
        <f t="shared" si="131"/>
        <v>Text only</v>
      </c>
    </row>
    <row r="1349" spans="1:20" hidden="1" x14ac:dyDescent="0.2">
      <c r="A1349" t="s">
        <v>4074</v>
      </c>
      <c r="B1349" t="s">
        <v>2365</v>
      </c>
      <c r="C1349" t="s">
        <v>2366</v>
      </c>
      <c r="D1349" t="s">
        <v>4075</v>
      </c>
      <c r="E1349" t="s">
        <v>4076</v>
      </c>
      <c r="F1349" t="str">
        <f>IF(Table2[[#This Row],[Date posted]]&lt; DATE(2015,9,18),"Before Crisis","During Crisis")</f>
        <v>During Crisis</v>
      </c>
      <c r="G1349" s="27">
        <f t="shared" si="126"/>
        <v>42289</v>
      </c>
      <c r="H1349" s="7" t="str">
        <f t="shared" si="127"/>
        <v>15:07:23</v>
      </c>
      <c r="I1349" s="8" t="str">
        <f t="shared" si="128"/>
        <v>Afternoon</v>
      </c>
      <c r="J1349" t="s">
        <v>4077</v>
      </c>
      <c r="K1349" t="s">
        <v>2370</v>
      </c>
      <c r="L1349" s="3">
        <v>0</v>
      </c>
      <c r="M1349" s="3">
        <v>0</v>
      </c>
      <c r="N1349" s="3">
        <v>0</v>
      </c>
      <c r="O1349" s="4">
        <f t="shared" si="129"/>
        <v>0</v>
      </c>
      <c r="P1349" s="5" t="str">
        <f t="shared" si="130"/>
        <v>No engagement</v>
      </c>
      <c r="Q1349" t="b">
        <v>0</v>
      </c>
      <c r="R1349" t="b">
        <v>0</v>
      </c>
      <c r="S1349" t="b">
        <v>1</v>
      </c>
      <c r="T1349" s="24" t="str">
        <f t="shared" si="131"/>
        <v>Link</v>
      </c>
    </row>
    <row r="1350" spans="1:20" hidden="1" x14ac:dyDescent="0.2">
      <c r="A1350" t="s">
        <v>4078</v>
      </c>
      <c r="B1350" t="s">
        <v>2365</v>
      </c>
      <c r="C1350" t="s">
        <v>2366</v>
      </c>
      <c r="D1350" t="s">
        <v>4079</v>
      </c>
      <c r="E1350" t="s">
        <v>4076</v>
      </c>
      <c r="F1350" t="str">
        <f>IF(Table2[[#This Row],[Date posted]]&lt; DATE(2015,9,18),"Before Crisis","During Crisis")</f>
        <v>During Crisis</v>
      </c>
      <c r="G1350" s="27">
        <f t="shared" si="126"/>
        <v>42289</v>
      </c>
      <c r="H1350" s="7" t="str">
        <f t="shared" si="127"/>
        <v>15:07:23</v>
      </c>
      <c r="I1350" s="8" t="str">
        <f t="shared" si="128"/>
        <v>Afternoon</v>
      </c>
      <c r="J1350" t="s">
        <v>4080</v>
      </c>
      <c r="K1350" t="s">
        <v>2370</v>
      </c>
      <c r="L1350" s="3">
        <v>0</v>
      </c>
      <c r="M1350">
        <v>2</v>
      </c>
      <c r="N1350" s="3">
        <v>0</v>
      </c>
      <c r="O1350" s="4">
        <f t="shared" si="129"/>
        <v>2</v>
      </c>
      <c r="P1350" s="5" t="str">
        <f t="shared" si="130"/>
        <v>Low engagement</v>
      </c>
      <c r="Q1350" t="b">
        <v>0</v>
      </c>
      <c r="R1350" t="b">
        <v>0</v>
      </c>
      <c r="S1350" t="b">
        <v>0</v>
      </c>
      <c r="T1350" s="24" t="str">
        <f t="shared" si="131"/>
        <v>Text only</v>
      </c>
    </row>
    <row r="1351" spans="1:20" hidden="1" x14ac:dyDescent="0.2">
      <c r="A1351" t="s">
        <v>4070</v>
      </c>
      <c r="B1351" t="s">
        <v>2365</v>
      </c>
      <c r="C1351" t="s">
        <v>2366</v>
      </c>
      <c r="D1351" t="s">
        <v>4071</v>
      </c>
      <c r="E1351" t="s">
        <v>4072</v>
      </c>
      <c r="F1351" t="str">
        <f>IF(Table2[[#This Row],[Date posted]]&lt; DATE(2015,9,18),"Before Crisis","During Crisis")</f>
        <v>During Crisis</v>
      </c>
      <c r="G1351" s="27">
        <f t="shared" si="126"/>
        <v>42289</v>
      </c>
      <c r="H1351" s="7" t="str">
        <f t="shared" si="127"/>
        <v>15:28:40</v>
      </c>
      <c r="I1351" s="8" t="str">
        <f t="shared" si="128"/>
        <v>Afternoon</v>
      </c>
      <c r="J1351" t="s">
        <v>4073</v>
      </c>
      <c r="K1351" t="s">
        <v>2370</v>
      </c>
      <c r="L1351" s="3">
        <v>0</v>
      </c>
      <c r="M1351" s="3">
        <v>0</v>
      </c>
      <c r="N1351" s="3">
        <v>0</v>
      </c>
      <c r="O1351" s="4">
        <f t="shared" si="129"/>
        <v>0</v>
      </c>
      <c r="P1351" s="5" t="str">
        <f t="shared" si="130"/>
        <v>No engagement</v>
      </c>
      <c r="Q1351" t="b">
        <v>0</v>
      </c>
      <c r="R1351" t="b">
        <v>0</v>
      </c>
      <c r="S1351" t="b">
        <v>0</v>
      </c>
      <c r="T1351" s="24" t="str">
        <f t="shared" si="131"/>
        <v>Text only</v>
      </c>
    </row>
    <row r="1352" spans="1:20" hidden="1" x14ac:dyDescent="0.2">
      <c r="A1352" t="s">
        <v>4066</v>
      </c>
      <c r="B1352" t="s">
        <v>2365</v>
      </c>
      <c r="C1352" t="s">
        <v>2366</v>
      </c>
      <c r="D1352" t="s">
        <v>4067</v>
      </c>
      <c r="E1352" t="s">
        <v>4068</v>
      </c>
      <c r="F1352" t="str">
        <f>IF(Table2[[#This Row],[Date posted]]&lt; DATE(2015,9,18),"Before Crisis","During Crisis")</f>
        <v>During Crisis</v>
      </c>
      <c r="G1352" s="27">
        <f t="shared" si="126"/>
        <v>42289</v>
      </c>
      <c r="H1352" s="7" t="str">
        <f t="shared" si="127"/>
        <v>15:43:00</v>
      </c>
      <c r="I1352" s="8" t="str">
        <f t="shared" si="128"/>
        <v>Afternoon</v>
      </c>
      <c r="J1352" t="s">
        <v>4069</v>
      </c>
      <c r="K1352" t="s">
        <v>2370</v>
      </c>
      <c r="L1352" s="3">
        <v>0</v>
      </c>
      <c r="M1352" s="3">
        <v>0</v>
      </c>
      <c r="N1352" s="3">
        <v>0</v>
      </c>
      <c r="O1352" s="4">
        <f t="shared" si="129"/>
        <v>0</v>
      </c>
      <c r="P1352" s="5" t="str">
        <f t="shared" si="130"/>
        <v>No engagement</v>
      </c>
      <c r="Q1352" t="b">
        <v>0</v>
      </c>
      <c r="R1352" t="b">
        <v>0</v>
      </c>
      <c r="S1352" t="b">
        <v>1</v>
      </c>
      <c r="T1352" s="24" t="str">
        <f t="shared" si="131"/>
        <v>Link</v>
      </c>
    </row>
    <row r="1353" spans="1:20" hidden="1" x14ac:dyDescent="0.2">
      <c r="A1353" t="s">
        <v>4062</v>
      </c>
      <c r="B1353" t="s">
        <v>2365</v>
      </c>
      <c r="C1353" t="s">
        <v>2366</v>
      </c>
      <c r="D1353" t="s">
        <v>4063</v>
      </c>
      <c r="E1353" t="s">
        <v>4064</v>
      </c>
      <c r="F1353" t="str">
        <f>IF(Table2[[#This Row],[Date posted]]&lt; DATE(2015,9,18),"Before Crisis","During Crisis")</f>
        <v>During Crisis</v>
      </c>
      <c r="G1353" s="27">
        <f t="shared" si="126"/>
        <v>42289</v>
      </c>
      <c r="H1353" s="7" t="str">
        <f t="shared" si="127"/>
        <v>16:03:25</v>
      </c>
      <c r="I1353" s="8" t="str">
        <f t="shared" si="128"/>
        <v>Afternoon</v>
      </c>
      <c r="J1353" t="s">
        <v>4065</v>
      </c>
      <c r="K1353" t="s">
        <v>2370</v>
      </c>
      <c r="L1353">
        <v>1</v>
      </c>
      <c r="M1353" s="3">
        <v>0</v>
      </c>
      <c r="N1353" s="3">
        <v>0</v>
      </c>
      <c r="O1353" s="4">
        <f t="shared" si="129"/>
        <v>1</v>
      </c>
      <c r="P1353" s="5" t="str">
        <f t="shared" si="130"/>
        <v>Low engagement</v>
      </c>
      <c r="Q1353" t="b">
        <v>0</v>
      </c>
      <c r="R1353" t="b">
        <v>0</v>
      </c>
      <c r="S1353" t="b">
        <v>1</v>
      </c>
      <c r="T1353" s="24" t="str">
        <f t="shared" si="131"/>
        <v>Link</v>
      </c>
    </row>
    <row r="1354" spans="1:20" hidden="1" x14ac:dyDescent="0.2">
      <c r="A1354" t="s">
        <v>4058</v>
      </c>
      <c r="B1354" t="s">
        <v>2365</v>
      </c>
      <c r="C1354" t="s">
        <v>2366</v>
      </c>
      <c r="D1354" t="s">
        <v>4059</v>
      </c>
      <c r="E1354" t="s">
        <v>4060</v>
      </c>
      <c r="F1354" t="str">
        <f>IF(Table2[[#This Row],[Date posted]]&lt; DATE(2015,9,18),"Before Crisis","During Crisis")</f>
        <v>During Crisis</v>
      </c>
      <c r="G1354" s="27">
        <f t="shared" si="126"/>
        <v>42289</v>
      </c>
      <c r="H1354" s="7" t="str">
        <f t="shared" si="127"/>
        <v>16:10:20</v>
      </c>
      <c r="I1354" s="8" t="str">
        <f t="shared" si="128"/>
        <v>Afternoon</v>
      </c>
      <c r="J1354" t="s">
        <v>4061</v>
      </c>
      <c r="K1354" t="s">
        <v>2370</v>
      </c>
      <c r="L1354">
        <v>1</v>
      </c>
      <c r="M1354">
        <v>1</v>
      </c>
      <c r="N1354" s="3">
        <v>0</v>
      </c>
      <c r="O1354" s="4">
        <f t="shared" si="129"/>
        <v>2</v>
      </c>
      <c r="P1354" s="5" t="str">
        <f t="shared" si="130"/>
        <v>Low engagement</v>
      </c>
      <c r="Q1354" t="b">
        <v>0</v>
      </c>
      <c r="R1354" t="b">
        <v>0</v>
      </c>
      <c r="S1354" t="b">
        <v>0</v>
      </c>
      <c r="T1354" s="24" t="str">
        <f t="shared" si="131"/>
        <v>Text only</v>
      </c>
    </row>
    <row r="1355" spans="1:20" hidden="1" x14ac:dyDescent="0.2">
      <c r="A1355" t="s">
        <v>4055</v>
      </c>
      <c r="B1355" t="s">
        <v>2365</v>
      </c>
      <c r="C1355" t="s">
        <v>2366</v>
      </c>
      <c r="D1355" t="s">
        <v>4056</v>
      </c>
      <c r="E1355" t="s">
        <v>4057</v>
      </c>
      <c r="F1355" t="str">
        <f>IF(Table2[[#This Row],[Date posted]]&lt; DATE(2015,9,18),"Before Crisis","During Crisis")</f>
        <v>During Crisis</v>
      </c>
      <c r="G1355" s="27">
        <f t="shared" si="126"/>
        <v>42289</v>
      </c>
      <c r="H1355" s="7" t="str">
        <f t="shared" si="127"/>
        <v>17:20:55</v>
      </c>
      <c r="I1355" s="8" t="str">
        <f t="shared" si="128"/>
        <v>Afternoon</v>
      </c>
      <c r="J1355" t="s">
        <v>4054</v>
      </c>
      <c r="K1355" t="s">
        <v>2370</v>
      </c>
      <c r="L1355" s="3">
        <v>0</v>
      </c>
      <c r="M1355" s="3">
        <v>0</v>
      </c>
      <c r="N1355" s="3">
        <v>0</v>
      </c>
      <c r="O1355" s="4">
        <f t="shared" si="129"/>
        <v>0</v>
      </c>
      <c r="P1355" s="5" t="str">
        <f t="shared" si="130"/>
        <v>No engagement</v>
      </c>
      <c r="Q1355" t="b">
        <v>0</v>
      </c>
      <c r="R1355" t="b">
        <v>0</v>
      </c>
      <c r="S1355" t="b">
        <v>0</v>
      </c>
      <c r="T1355" s="24" t="str">
        <f t="shared" si="131"/>
        <v>Text only</v>
      </c>
    </row>
    <row r="1356" spans="1:20" hidden="1" x14ac:dyDescent="0.2">
      <c r="A1356" t="s">
        <v>4051</v>
      </c>
      <c r="B1356" t="s">
        <v>2365</v>
      </c>
      <c r="C1356" t="s">
        <v>2366</v>
      </c>
      <c r="D1356" t="s">
        <v>4052</v>
      </c>
      <c r="E1356" t="s">
        <v>4053</v>
      </c>
      <c r="F1356" t="str">
        <f>IF(Table2[[#This Row],[Date posted]]&lt; DATE(2015,9,18),"Before Crisis","During Crisis")</f>
        <v>During Crisis</v>
      </c>
      <c r="G1356" s="27">
        <f t="shared" si="126"/>
        <v>42289</v>
      </c>
      <c r="H1356" s="7" t="str">
        <f t="shared" si="127"/>
        <v>17:20:56</v>
      </c>
      <c r="I1356" s="8" t="str">
        <f t="shared" si="128"/>
        <v>Afternoon</v>
      </c>
      <c r="J1356" t="s">
        <v>4054</v>
      </c>
      <c r="K1356" t="s">
        <v>2370</v>
      </c>
      <c r="L1356" s="3">
        <v>0</v>
      </c>
      <c r="M1356">
        <v>1</v>
      </c>
      <c r="N1356" s="3">
        <v>0</v>
      </c>
      <c r="O1356" s="4">
        <f t="shared" si="129"/>
        <v>1</v>
      </c>
      <c r="P1356" s="5" t="str">
        <f t="shared" si="130"/>
        <v>Low engagement</v>
      </c>
      <c r="Q1356" t="b">
        <v>0</v>
      </c>
      <c r="R1356" t="b">
        <v>0</v>
      </c>
      <c r="S1356" t="b">
        <v>1</v>
      </c>
      <c r="T1356" s="24" t="str">
        <f t="shared" si="131"/>
        <v>Link</v>
      </c>
    </row>
    <row r="1357" spans="1:20" hidden="1" x14ac:dyDescent="0.2">
      <c r="A1357" t="s">
        <v>4048</v>
      </c>
      <c r="B1357" t="s">
        <v>2365</v>
      </c>
      <c r="C1357" t="s">
        <v>2366</v>
      </c>
      <c r="D1357" t="s">
        <v>4049</v>
      </c>
      <c r="E1357" t="s">
        <v>4050</v>
      </c>
      <c r="F1357" t="str">
        <f>IF(Table2[[#This Row],[Date posted]]&lt; DATE(2015,9,18),"Before Crisis","During Crisis")</f>
        <v>During Crisis</v>
      </c>
      <c r="G1357" s="27">
        <f t="shared" si="126"/>
        <v>42289</v>
      </c>
      <c r="H1357" s="7" t="str">
        <f t="shared" si="127"/>
        <v>17:48:39</v>
      </c>
      <c r="I1357" s="8" t="str">
        <f t="shared" si="128"/>
        <v>Afternoon</v>
      </c>
      <c r="J1357" t="s">
        <v>2370</v>
      </c>
      <c r="K1357" t="s">
        <v>2370</v>
      </c>
      <c r="L1357" s="3">
        <v>0</v>
      </c>
      <c r="M1357" s="3">
        <v>0</v>
      </c>
      <c r="N1357" s="3">
        <v>0</v>
      </c>
      <c r="O1357" s="4">
        <f t="shared" si="129"/>
        <v>0</v>
      </c>
      <c r="P1357" s="5" t="str">
        <f t="shared" si="130"/>
        <v>No engagement</v>
      </c>
      <c r="Q1357" t="b">
        <v>0</v>
      </c>
      <c r="R1357" t="b">
        <v>0</v>
      </c>
      <c r="S1357" t="b">
        <v>0</v>
      </c>
      <c r="T1357" s="24" t="str">
        <f t="shared" si="131"/>
        <v>Text only</v>
      </c>
    </row>
    <row r="1358" spans="1:20" hidden="1" x14ac:dyDescent="0.2">
      <c r="A1358" t="s">
        <v>4031</v>
      </c>
      <c r="B1358" t="s">
        <v>2365</v>
      </c>
      <c r="C1358" t="s">
        <v>2366</v>
      </c>
      <c r="D1358" t="s">
        <v>4032</v>
      </c>
      <c r="E1358" t="s">
        <v>4033</v>
      </c>
      <c r="F1358" t="str">
        <f>IF(Table2[[#This Row],[Date posted]]&lt; DATE(2015,9,18),"Before Crisis","During Crisis")</f>
        <v>During Crisis</v>
      </c>
      <c r="G1358" s="27">
        <f t="shared" si="126"/>
        <v>42290</v>
      </c>
      <c r="H1358" s="7" t="str">
        <f t="shared" si="127"/>
        <v>14:31:22</v>
      </c>
      <c r="I1358" s="8" t="str">
        <f t="shared" si="128"/>
        <v>Afternoon</v>
      </c>
      <c r="J1358" t="s">
        <v>4034</v>
      </c>
      <c r="K1358" t="s">
        <v>2370</v>
      </c>
      <c r="L1358" s="3">
        <v>0</v>
      </c>
      <c r="M1358" s="3">
        <v>0</v>
      </c>
      <c r="N1358" s="3">
        <v>0</v>
      </c>
      <c r="O1358" s="4">
        <f t="shared" si="129"/>
        <v>0</v>
      </c>
      <c r="P1358" s="5" t="str">
        <f t="shared" si="130"/>
        <v>No engagement</v>
      </c>
      <c r="Q1358" t="b">
        <v>0</v>
      </c>
      <c r="R1358" t="b">
        <v>0</v>
      </c>
      <c r="S1358" t="b">
        <v>0</v>
      </c>
      <c r="T1358" s="24" t="str">
        <f t="shared" si="131"/>
        <v>Text only</v>
      </c>
    </row>
    <row r="1359" spans="1:20" hidden="1" x14ac:dyDescent="0.2">
      <c r="A1359" t="s">
        <v>4026</v>
      </c>
      <c r="B1359" t="s">
        <v>2365</v>
      </c>
      <c r="C1359" t="s">
        <v>2366</v>
      </c>
      <c r="D1359" t="s">
        <v>4027</v>
      </c>
      <c r="E1359" t="s">
        <v>4028</v>
      </c>
      <c r="F1359" t="str">
        <f>IF(Table2[[#This Row],[Date posted]]&lt; DATE(2015,9,18),"Before Crisis","During Crisis")</f>
        <v>During Crisis</v>
      </c>
      <c r="G1359" s="27">
        <f t="shared" si="126"/>
        <v>42290</v>
      </c>
      <c r="H1359" s="7" t="str">
        <f t="shared" si="127"/>
        <v>14:41:48</v>
      </c>
      <c r="I1359" s="8" t="str">
        <f t="shared" si="128"/>
        <v>Afternoon</v>
      </c>
      <c r="J1359" t="s">
        <v>3997</v>
      </c>
      <c r="K1359" t="s">
        <v>2370</v>
      </c>
      <c r="L1359" s="3">
        <v>0</v>
      </c>
      <c r="M1359">
        <v>2</v>
      </c>
      <c r="N1359" s="3">
        <v>0</v>
      </c>
      <c r="O1359" s="4">
        <f t="shared" si="129"/>
        <v>2</v>
      </c>
      <c r="P1359" s="5" t="str">
        <f t="shared" si="130"/>
        <v>Low engagement</v>
      </c>
      <c r="Q1359" t="b">
        <v>0</v>
      </c>
      <c r="R1359" t="b">
        <v>0</v>
      </c>
      <c r="S1359" t="b">
        <v>0</v>
      </c>
      <c r="T1359" s="24" t="str">
        <f t="shared" si="131"/>
        <v>Text only</v>
      </c>
    </row>
    <row r="1360" spans="1:20" hidden="1" x14ac:dyDescent="0.2">
      <c r="A1360" t="s">
        <v>4029</v>
      </c>
      <c r="B1360" t="s">
        <v>2365</v>
      </c>
      <c r="C1360" t="s">
        <v>2366</v>
      </c>
      <c r="D1360" t="s">
        <v>4030</v>
      </c>
      <c r="E1360" t="s">
        <v>4028</v>
      </c>
      <c r="F1360" t="str">
        <f>IF(Table2[[#This Row],[Date posted]]&lt; DATE(2015,9,18),"Before Crisis","During Crisis")</f>
        <v>During Crisis</v>
      </c>
      <c r="G1360" s="27">
        <f t="shared" si="126"/>
        <v>42290</v>
      </c>
      <c r="H1360" s="7" t="str">
        <f t="shared" si="127"/>
        <v>14:41:48</v>
      </c>
      <c r="I1360" s="8" t="str">
        <f t="shared" si="128"/>
        <v>Afternoon</v>
      </c>
      <c r="J1360" t="s">
        <v>3997</v>
      </c>
      <c r="K1360" t="s">
        <v>2370</v>
      </c>
      <c r="L1360">
        <v>1</v>
      </c>
      <c r="M1360" s="3">
        <v>0</v>
      </c>
      <c r="N1360" s="3">
        <v>0</v>
      </c>
      <c r="O1360" s="4">
        <f t="shared" si="129"/>
        <v>1</v>
      </c>
      <c r="P1360" s="5" t="str">
        <f t="shared" si="130"/>
        <v>Low engagement</v>
      </c>
      <c r="Q1360" t="b">
        <v>0</v>
      </c>
      <c r="R1360" t="b">
        <v>0</v>
      </c>
      <c r="S1360" t="b">
        <v>0</v>
      </c>
      <c r="T1360" s="24" t="str">
        <f t="shared" si="131"/>
        <v>Text only</v>
      </c>
    </row>
    <row r="1361" spans="1:20" hidden="1" x14ac:dyDescent="0.2">
      <c r="A1361" t="s">
        <v>4019</v>
      </c>
      <c r="B1361" t="s">
        <v>2365</v>
      </c>
      <c r="C1361" t="s">
        <v>2366</v>
      </c>
      <c r="D1361" t="s">
        <v>4020</v>
      </c>
      <c r="E1361" t="s">
        <v>4021</v>
      </c>
      <c r="F1361" t="str">
        <f>IF(Table2[[#This Row],[Date posted]]&lt; DATE(2015,9,18),"Before Crisis","During Crisis")</f>
        <v>During Crisis</v>
      </c>
      <c r="G1361" s="27">
        <f t="shared" si="126"/>
        <v>42290</v>
      </c>
      <c r="H1361" s="7" t="str">
        <f t="shared" si="127"/>
        <v>16:56:17</v>
      </c>
      <c r="I1361" s="8" t="str">
        <f t="shared" si="128"/>
        <v>Afternoon</v>
      </c>
      <c r="J1361" t="s">
        <v>2370</v>
      </c>
      <c r="K1361" t="s">
        <v>2370</v>
      </c>
      <c r="L1361" s="3">
        <v>0</v>
      </c>
      <c r="M1361" s="3">
        <v>0</v>
      </c>
      <c r="N1361" s="3">
        <v>0</v>
      </c>
      <c r="O1361" s="4">
        <f t="shared" si="129"/>
        <v>0</v>
      </c>
      <c r="P1361" s="5" t="str">
        <f t="shared" si="130"/>
        <v>No engagement</v>
      </c>
      <c r="Q1361" t="b">
        <v>0</v>
      </c>
      <c r="R1361" t="b">
        <v>0</v>
      </c>
      <c r="S1361" t="b">
        <v>0</v>
      </c>
      <c r="T1361" s="24" t="str">
        <f t="shared" si="131"/>
        <v>Text only</v>
      </c>
    </row>
    <row r="1362" spans="1:20" hidden="1" x14ac:dyDescent="0.2">
      <c r="A1362" t="s">
        <v>4015</v>
      </c>
      <c r="B1362" t="s">
        <v>2365</v>
      </c>
      <c r="C1362" t="s">
        <v>2366</v>
      </c>
      <c r="D1362" t="s">
        <v>4016</v>
      </c>
      <c r="E1362" t="s">
        <v>4017</v>
      </c>
      <c r="F1362" t="str">
        <f>IF(Table2[[#This Row],[Date posted]]&lt; DATE(2015,9,18),"Before Crisis","During Crisis")</f>
        <v>During Crisis</v>
      </c>
      <c r="G1362" s="27">
        <f t="shared" si="126"/>
        <v>42290</v>
      </c>
      <c r="H1362" s="7" t="str">
        <f t="shared" si="127"/>
        <v>18:49:41</v>
      </c>
      <c r="I1362" s="8" t="str">
        <f t="shared" si="128"/>
        <v>Evening</v>
      </c>
      <c r="J1362" t="s">
        <v>4018</v>
      </c>
      <c r="K1362" t="s">
        <v>2370</v>
      </c>
      <c r="L1362" s="3">
        <v>0</v>
      </c>
      <c r="M1362" s="3">
        <v>0</v>
      </c>
      <c r="N1362" s="3">
        <v>0</v>
      </c>
      <c r="O1362" s="4">
        <f t="shared" si="129"/>
        <v>0</v>
      </c>
      <c r="P1362" s="5" t="str">
        <f t="shared" si="130"/>
        <v>No engagement</v>
      </c>
      <c r="Q1362" t="b">
        <v>0</v>
      </c>
      <c r="R1362" t="b">
        <v>0</v>
      </c>
      <c r="S1362" t="b">
        <v>0</v>
      </c>
      <c r="T1362" s="24" t="str">
        <f t="shared" si="131"/>
        <v>Text only</v>
      </c>
    </row>
    <row r="1363" spans="1:20" hidden="1" x14ac:dyDescent="0.2">
      <c r="A1363" t="s">
        <v>4012</v>
      </c>
      <c r="B1363" t="s">
        <v>2365</v>
      </c>
      <c r="C1363" t="s">
        <v>2366</v>
      </c>
      <c r="D1363" t="s">
        <v>4013</v>
      </c>
      <c r="E1363" t="s">
        <v>4014</v>
      </c>
      <c r="F1363" t="str">
        <f>IF(Table2[[#This Row],[Date posted]]&lt; DATE(2015,9,18),"Before Crisis","During Crisis")</f>
        <v>During Crisis</v>
      </c>
      <c r="G1363" s="27">
        <f t="shared" si="126"/>
        <v>42290</v>
      </c>
      <c r="H1363" s="7" t="str">
        <f t="shared" si="127"/>
        <v>18:59:59</v>
      </c>
      <c r="I1363" s="8" t="str">
        <f t="shared" si="128"/>
        <v>Evening</v>
      </c>
      <c r="J1363" t="s">
        <v>3979</v>
      </c>
      <c r="K1363" t="s">
        <v>2370</v>
      </c>
      <c r="L1363" s="3">
        <v>0</v>
      </c>
      <c r="M1363" s="3">
        <v>0</v>
      </c>
      <c r="N1363" s="3">
        <v>0</v>
      </c>
      <c r="O1363" s="4">
        <f t="shared" si="129"/>
        <v>0</v>
      </c>
      <c r="P1363" s="5" t="str">
        <f t="shared" si="130"/>
        <v>No engagement</v>
      </c>
      <c r="Q1363" t="b">
        <v>0</v>
      </c>
      <c r="R1363" t="b">
        <v>0</v>
      </c>
      <c r="S1363" t="b">
        <v>0</v>
      </c>
      <c r="T1363" s="24" t="str">
        <f t="shared" si="131"/>
        <v>Text only</v>
      </c>
    </row>
    <row r="1364" spans="1:20" hidden="1" x14ac:dyDescent="0.2">
      <c r="A1364" t="s">
        <v>4009</v>
      </c>
      <c r="B1364" t="s">
        <v>2365</v>
      </c>
      <c r="C1364" t="s">
        <v>2366</v>
      </c>
      <c r="D1364" t="s">
        <v>4010</v>
      </c>
      <c r="E1364" t="s">
        <v>4011</v>
      </c>
      <c r="F1364" t="str">
        <f>IF(Table2[[#This Row],[Date posted]]&lt; DATE(2015,9,18),"Before Crisis","During Crisis")</f>
        <v>During Crisis</v>
      </c>
      <c r="G1364" s="27">
        <f t="shared" si="126"/>
        <v>42290</v>
      </c>
      <c r="H1364" s="7" t="str">
        <f t="shared" si="127"/>
        <v>19:00:00</v>
      </c>
      <c r="I1364" s="8" t="str">
        <f t="shared" si="128"/>
        <v>Evening</v>
      </c>
      <c r="J1364" t="s">
        <v>3979</v>
      </c>
      <c r="K1364" t="s">
        <v>2370</v>
      </c>
      <c r="L1364" s="3">
        <v>0</v>
      </c>
      <c r="M1364">
        <v>1</v>
      </c>
      <c r="N1364" s="3">
        <v>0</v>
      </c>
      <c r="O1364" s="4">
        <f t="shared" si="129"/>
        <v>1</v>
      </c>
      <c r="P1364" s="5" t="str">
        <f t="shared" si="130"/>
        <v>Low engagement</v>
      </c>
      <c r="Q1364" t="b">
        <v>0</v>
      </c>
      <c r="R1364" t="b">
        <v>0</v>
      </c>
      <c r="S1364" t="b">
        <v>0</v>
      </c>
      <c r="T1364" s="24" t="str">
        <f t="shared" si="131"/>
        <v>Text only</v>
      </c>
    </row>
    <row r="1365" spans="1:20" hidden="1" x14ac:dyDescent="0.2">
      <c r="A1365" t="s">
        <v>4005</v>
      </c>
      <c r="B1365" t="s">
        <v>2365</v>
      </c>
      <c r="C1365" t="s">
        <v>2366</v>
      </c>
      <c r="D1365" t="s">
        <v>4006</v>
      </c>
      <c r="E1365" t="s">
        <v>4007</v>
      </c>
      <c r="F1365" t="str">
        <f>IF(Table2[[#This Row],[Date posted]]&lt; DATE(2015,9,18),"Before Crisis","During Crisis")</f>
        <v>During Crisis</v>
      </c>
      <c r="G1365" s="27">
        <f t="shared" si="126"/>
        <v>42290</v>
      </c>
      <c r="H1365" s="7" t="str">
        <f t="shared" si="127"/>
        <v>19:10:20</v>
      </c>
      <c r="I1365" s="8" t="str">
        <f t="shared" si="128"/>
        <v>Evening</v>
      </c>
      <c r="J1365" t="s">
        <v>4008</v>
      </c>
      <c r="K1365" t="s">
        <v>2370</v>
      </c>
      <c r="L1365" s="3">
        <v>0</v>
      </c>
      <c r="M1365" s="3">
        <v>0</v>
      </c>
      <c r="N1365" s="3">
        <v>0</v>
      </c>
      <c r="O1365" s="4">
        <f t="shared" si="129"/>
        <v>0</v>
      </c>
      <c r="P1365" s="5" t="str">
        <f t="shared" si="130"/>
        <v>No engagement</v>
      </c>
      <c r="Q1365" t="b">
        <v>0</v>
      </c>
      <c r="R1365" t="b">
        <v>0</v>
      </c>
      <c r="S1365" t="b">
        <v>0</v>
      </c>
      <c r="T1365" s="24" t="str">
        <f t="shared" si="131"/>
        <v>Text only</v>
      </c>
    </row>
    <row r="1366" spans="1:20" hidden="1" x14ac:dyDescent="0.2">
      <c r="A1366" t="s">
        <v>3973</v>
      </c>
      <c r="B1366" t="s">
        <v>2365</v>
      </c>
      <c r="C1366" t="s">
        <v>2366</v>
      </c>
      <c r="D1366" t="s">
        <v>3974</v>
      </c>
      <c r="E1366" t="s">
        <v>3975</v>
      </c>
      <c r="F1366" t="str">
        <f>IF(Table2[[#This Row],[Date posted]]&lt; DATE(2015,9,18),"Before Crisis","During Crisis")</f>
        <v>During Crisis</v>
      </c>
      <c r="G1366" s="27">
        <f t="shared" si="126"/>
        <v>42292</v>
      </c>
      <c r="H1366" s="7" t="str">
        <f t="shared" si="127"/>
        <v>15:58:35</v>
      </c>
      <c r="I1366" s="8" t="str">
        <f t="shared" si="128"/>
        <v>Afternoon</v>
      </c>
      <c r="J1366" t="s">
        <v>3877</v>
      </c>
      <c r="K1366" t="s">
        <v>2370</v>
      </c>
      <c r="L1366" s="3">
        <v>0</v>
      </c>
      <c r="M1366">
        <v>1</v>
      </c>
      <c r="N1366" s="3">
        <v>0</v>
      </c>
      <c r="O1366" s="4">
        <f t="shared" si="129"/>
        <v>1</v>
      </c>
      <c r="P1366" s="5" t="str">
        <f t="shared" si="130"/>
        <v>Low engagement</v>
      </c>
      <c r="Q1366" t="b">
        <v>0</v>
      </c>
      <c r="R1366" t="b">
        <v>0</v>
      </c>
      <c r="S1366" t="b">
        <v>0</v>
      </c>
      <c r="T1366" s="24" t="str">
        <f t="shared" si="131"/>
        <v>Text only</v>
      </c>
    </row>
    <row r="1367" spans="1:20" hidden="1" x14ac:dyDescent="0.2">
      <c r="A1367" t="s">
        <v>3970</v>
      </c>
      <c r="B1367" t="s">
        <v>2365</v>
      </c>
      <c r="C1367" t="s">
        <v>2366</v>
      </c>
      <c r="D1367" t="s">
        <v>3971</v>
      </c>
      <c r="E1367" t="s">
        <v>3972</v>
      </c>
      <c r="F1367" t="str">
        <f>IF(Table2[[#This Row],[Date posted]]&lt; DATE(2015,9,18),"Before Crisis","During Crisis")</f>
        <v>During Crisis</v>
      </c>
      <c r="G1367" s="27">
        <f t="shared" si="126"/>
        <v>42292</v>
      </c>
      <c r="H1367" s="7" t="str">
        <f t="shared" si="127"/>
        <v>17:35:38</v>
      </c>
      <c r="I1367" s="8" t="str">
        <f t="shared" si="128"/>
        <v>Afternoon</v>
      </c>
      <c r="J1367" t="s">
        <v>2370</v>
      </c>
      <c r="K1367" t="s">
        <v>2370</v>
      </c>
      <c r="L1367" s="3">
        <v>0</v>
      </c>
      <c r="M1367" s="3">
        <v>0</v>
      </c>
      <c r="N1367" s="3">
        <v>0</v>
      </c>
      <c r="O1367" s="4">
        <f t="shared" si="129"/>
        <v>0</v>
      </c>
      <c r="P1367" s="5" t="str">
        <f t="shared" si="130"/>
        <v>No engagement</v>
      </c>
      <c r="Q1367" t="b">
        <v>0</v>
      </c>
      <c r="R1367" t="b">
        <v>0</v>
      </c>
      <c r="S1367" t="b">
        <v>0</v>
      </c>
      <c r="T1367" s="24" t="str">
        <f t="shared" si="131"/>
        <v>Text only</v>
      </c>
    </row>
    <row r="1368" spans="1:20" hidden="1" x14ac:dyDescent="0.2">
      <c r="A1368" t="s">
        <v>3967</v>
      </c>
      <c r="B1368" t="s">
        <v>2365</v>
      </c>
      <c r="C1368" t="s">
        <v>2366</v>
      </c>
      <c r="D1368" t="s">
        <v>3968</v>
      </c>
      <c r="E1368" t="s">
        <v>3969</v>
      </c>
      <c r="F1368" t="str">
        <f>IF(Table2[[#This Row],[Date posted]]&lt; DATE(2015,9,18),"Before Crisis","During Crisis")</f>
        <v>During Crisis</v>
      </c>
      <c r="G1368" s="27">
        <f t="shared" si="126"/>
        <v>42292</v>
      </c>
      <c r="H1368" s="7" t="str">
        <f t="shared" si="127"/>
        <v>17:35:39</v>
      </c>
      <c r="I1368" s="8" t="str">
        <f t="shared" si="128"/>
        <v>Afternoon</v>
      </c>
      <c r="J1368" t="s">
        <v>2370</v>
      </c>
      <c r="K1368" t="s">
        <v>2370</v>
      </c>
      <c r="L1368" s="3">
        <v>0</v>
      </c>
      <c r="M1368" s="3">
        <v>0</v>
      </c>
      <c r="N1368" s="3">
        <v>0</v>
      </c>
      <c r="O1368" s="4">
        <f t="shared" si="129"/>
        <v>0</v>
      </c>
      <c r="P1368" s="5" t="str">
        <f t="shared" si="130"/>
        <v>No engagement</v>
      </c>
      <c r="Q1368" t="b">
        <v>0</v>
      </c>
      <c r="R1368" t="b">
        <v>0</v>
      </c>
      <c r="S1368" t="b">
        <v>1</v>
      </c>
      <c r="T1368" s="24" t="str">
        <f t="shared" si="131"/>
        <v>Link</v>
      </c>
    </row>
    <row r="1369" spans="1:20" hidden="1" x14ac:dyDescent="0.2">
      <c r="A1369" t="s">
        <v>3964</v>
      </c>
      <c r="B1369" t="s">
        <v>2365</v>
      </c>
      <c r="C1369" t="s">
        <v>2366</v>
      </c>
      <c r="D1369" t="s">
        <v>3965</v>
      </c>
      <c r="E1369" t="s">
        <v>3966</v>
      </c>
      <c r="F1369" t="str">
        <f>IF(Table2[[#This Row],[Date posted]]&lt; DATE(2015,9,18),"Before Crisis","During Crisis")</f>
        <v>During Crisis</v>
      </c>
      <c r="G1369" s="27">
        <f t="shared" si="126"/>
        <v>42292</v>
      </c>
      <c r="H1369" s="7" t="str">
        <f t="shared" si="127"/>
        <v>17:42:42</v>
      </c>
      <c r="I1369" s="8" t="str">
        <f t="shared" si="128"/>
        <v>Afternoon</v>
      </c>
      <c r="J1369" t="s">
        <v>3696</v>
      </c>
      <c r="K1369" t="s">
        <v>2370</v>
      </c>
      <c r="L1369">
        <v>1</v>
      </c>
      <c r="M1369">
        <v>1</v>
      </c>
      <c r="N1369" s="3">
        <v>0</v>
      </c>
      <c r="O1369" s="4">
        <f t="shared" si="129"/>
        <v>2</v>
      </c>
      <c r="P1369" s="5" t="str">
        <f t="shared" si="130"/>
        <v>Low engagement</v>
      </c>
      <c r="Q1369" t="b">
        <v>0</v>
      </c>
      <c r="R1369" t="b">
        <v>0</v>
      </c>
      <c r="S1369" t="b">
        <v>0</v>
      </c>
      <c r="T1369" s="24" t="str">
        <f t="shared" si="131"/>
        <v>Text only</v>
      </c>
    </row>
    <row r="1370" spans="1:20" hidden="1" x14ac:dyDescent="0.2">
      <c r="A1370" t="s">
        <v>3960</v>
      </c>
      <c r="B1370" t="s">
        <v>2365</v>
      </c>
      <c r="C1370" t="s">
        <v>2366</v>
      </c>
      <c r="D1370" t="s">
        <v>3961</v>
      </c>
      <c r="E1370" t="s">
        <v>3962</v>
      </c>
      <c r="F1370" t="str">
        <f>IF(Table2[[#This Row],[Date posted]]&lt; DATE(2015,9,18),"Before Crisis","During Crisis")</f>
        <v>During Crisis</v>
      </c>
      <c r="G1370" s="27">
        <f t="shared" si="126"/>
        <v>42292</v>
      </c>
      <c r="H1370" s="7" t="str">
        <f t="shared" si="127"/>
        <v>19:19:53</v>
      </c>
      <c r="I1370" s="8" t="str">
        <f t="shared" si="128"/>
        <v>Evening</v>
      </c>
      <c r="J1370" t="s">
        <v>3963</v>
      </c>
      <c r="K1370" t="s">
        <v>2370</v>
      </c>
      <c r="L1370">
        <v>1</v>
      </c>
      <c r="M1370" s="3">
        <v>0</v>
      </c>
      <c r="N1370" s="3">
        <v>0</v>
      </c>
      <c r="O1370" s="4">
        <f t="shared" si="129"/>
        <v>1</v>
      </c>
      <c r="P1370" s="5" t="str">
        <f t="shared" si="130"/>
        <v>Low engagement</v>
      </c>
      <c r="Q1370" t="b">
        <v>0</v>
      </c>
      <c r="R1370" t="b">
        <v>0</v>
      </c>
      <c r="S1370" t="b">
        <v>0</v>
      </c>
      <c r="T1370" s="24" t="str">
        <f t="shared" si="131"/>
        <v>Text only</v>
      </c>
    </row>
    <row r="1371" spans="1:20" hidden="1" x14ac:dyDescent="0.2">
      <c r="A1371" t="s">
        <v>3954</v>
      </c>
      <c r="B1371" t="s">
        <v>2365</v>
      </c>
      <c r="C1371" t="s">
        <v>2366</v>
      </c>
      <c r="D1371" t="s">
        <v>3955</v>
      </c>
      <c r="E1371" t="s">
        <v>3956</v>
      </c>
      <c r="F1371" t="str">
        <f>IF(Table2[[#This Row],[Date posted]]&lt; DATE(2015,9,18),"Before Crisis","During Crisis")</f>
        <v>During Crisis</v>
      </c>
      <c r="G1371" s="27">
        <f t="shared" si="126"/>
        <v>42292</v>
      </c>
      <c r="H1371" s="7" t="str">
        <f t="shared" si="127"/>
        <v>19:44:33</v>
      </c>
      <c r="I1371" s="8" t="str">
        <f t="shared" si="128"/>
        <v>Evening</v>
      </c>
      <c r="J1371" t="s">
        <v>3957</v>
      </c>
      <c r="K1371" t="s">
        <v>2370</v>
      </c>
      <c r="L1371" s="3">
        <v>0</v>
      </c>
      <c r="M1371" s="3">
        <v>0</v>
      </c>
      <c r="N1371" s="3">
        <v>0</v>
      </c>
      <c r="O1371" s="4">
        <f t="shared" si="129"/>
        <v>0</v>
      </c>
      <c r="P1371" s="5" t="str">
        <f t="shared" si="130"/>
        <v>No engagement</v>
      </c>
      <c r="Q1371" t="b">
        <v>0</v>
      </c>
      <c r="R1371" t="b">
        <v>0</v>
      </c>
      <c r="S1371" t="b">
        <v>0</v>
      </c>
      <c r="T1371" s="24" t="str">
        <f t="shared" si="131"/>
        <v>Text only</v>
      </c>
    </row>
    <row r="1372" spans="1:20" hidden="1" x14ac:dyDescent="0.2">
      <c r="A1372" t="s">
        <v>3958</v>
      </c>
      <c r="B1372" t="s">
        <v>2365</v>
      </c>
      <c r="C1372" t="s">
        <v>2366</v>
      </c>
      <c r="D1372" t="s">
        <v>3959</v>
      </c>
      <c r="E1372" t="s">
        <v>3956</v>
      </c>
      <c r="F1372" t="str">
        <f>IF(Table2[[#This Row],[Date posted]]&lt; DATE(2015,9,18),"Before Crisis","During Crisis")</f>
        <v>During Crisis</v>
      </c>
      <c r="G1372" s="27">
        <f t="shared" si="126"/>
        <v>42292</v>
      </c>
      <c r="H1372" s="7" t="str">
        <f t="shared" si="127"/>
        <v>19:44:33</v>
      </c>
      <c r="I1372" s="8" t="str">
        <f t="shared" si="128"/>
        <v>Evening</v>
      </c>
      <c r="J1372" t="s">
        <v>3957</v>
      </c>
      <c r="K1372" t="s">
        <v>2370</v>
      </c>
      <c r="L1372" s="3">
        <v>0</v>
      </c>
      <c r="M1372" s="3">
        <v>0</v>
      </c>
      <c r="N1372" s="3">
        <v>0</v>
      </c>
      <c r="O1372" s="4">
        <f t="shared" si="129"/>
        <v>0</v>
      </c>
      <c r="P1372" s="5" t="str">
        <f t="shared" si="130"/>
        <v>No engagement</v>
      </c>
      <c r="Q1372" t="b">
        <v>0</v>
      </c>
      <c r="R1372" t="b">
        <v>0</v>
      </c>
      <c r="S1372" t="b">
        <v>0</v>
      </c>
      <c r="T1372" s="24" t="str">
        <f t="shared" si="131"/>
        <v>Text only</v>
      </c>
    </row>
    <row r="1373" spans="1:20" hidden="1" x14ac:dyDescent="0.2">
      <c r="A1373" t="s">
        <v>3952</v>
      </c>
      <c r="B1373" t="s">
        <v>2365</v>
      </c>
      <c r="C1373" t="s">
        <v>2366</v>
      </c>
      <c r="D1373" t="s">
        <v>3953</v>
      </c>
      <c r="E1373" t="s">
        <v>3949</v>
      </c>
      <c r="F1373" t="str">
        <f>IF(Table2[[#This Row],[Date posted]]&lt; DATE(2015,9,18),"Before Crisis","During Crisis")</f>
        <v>During Crisis</v>
      </c>
      <c r="G1373" s="27">
        <f t="shared" si="126"/>
        <v>42292</v>
      </c>
      <c r="H1373" s="7" t="str">
        <f t="shared" si="127"/>
        <v>22:29:10</v>
      </c>
      <c r="I1373" s="8" t="str">
        <f t="shared" si="128"/>
        <v>Evening</v>
      </c>
      <c r="J1373" t="s">
        <v>2370</v>
      </c>
      <c r="K1373" t="s">
        <v>2370</v>
      </c>
      <c r="L1373" s="3">
        <v>0</v>
      </c>
      <c r="M1373" s="3">
        <v>0</v>
      </c>
      <c r="N1373" s="3">
        <v>0</v>
      </c>
      <c r="O1373" s="4">
        <f t="shared" si="129"/>
        <v>0</v>
      </c>
      <c r="P1373" s="5" t="str">
        <f t="shared" si="130"/>
        <v>No engagement</v>
      </c>
      <c r="Q1373" t="b">
        <v>0</v>
      </c>
      <c r="R1373" t="b">
        <v>0</v>
      </c>
      <c r="S1373" t="b">
        <v>0</v>
      </c>
      <c r="T1373" s="24" t="str">
        <f t="shared" si="131"/>
        <v>Text only</v>
      </c>
    </row>
    <row r="1374" spans="1:20" hidden="1" x14ac:dyDescent="0.2">
      <c r="A1374" t="s">
        <v>3937</v>
      </c>
      <c r="B1374" t="s">
        <v>2365</v>
      </c>
      <c r="C1374" t="s">
        <v>2366</v>
      </c>
      <c r="D1374" t="s">
        <v>3938</v>
      </c>
      <c r="E1374" t="s">
        <v>3939</v>
      </c>
      <c r="F1374" t="str">
        <f>IF(Table2[[#This Row],[Date posted]]&lt; DATE(2015,9,18),"Before Crisis","During Crisis")</f>
        <v>During Crisis</v>
      </c>
      <c r="G1374" s="27">
        <f t="shared" si="126"/>
        <v>42292</v>
      </c>
      <c r="H1374" s="7" t="str">
        <f t="shared" si="127"/>
        <v>22:32:36</v>
      </c>
      <c r="I1374" s="8" t="str">
        <f t="shared" si="128"/>
        <v>Evening</v>
      </c>
      <c r="J1374" t="s">
        <v>3940</v>
      </c>
      <c r="K1374" t="s">
        <v>2370</v>
      </c>
      <c r="L1374" s="3">
        <v>0</v>
      </c>
      <c r="M1374" s="3">
        <v>0</v>
      </c>
      <c r="N1374" s="3">
        <v>0</v>
      </c>
      <c r="O1374" s="4">
        <f t="shared" si="129"/>
        <v>0</v>
      </c>
      <c r="P1374" s="5" t="str">
        <f t="shared" si="130"/>
        <v>No engagement</v>
      </c>
      <c r="Q1374" t="b">
        <v>0</v>
      </c>
      <c r="R1374" t="b">
        <v>0</v>
      </c>
      <c r="S1374" t="b">
        <v>1</v>
      </c>
      <c r="T1374" s="24" t="str">
        <f t="shared" si="131"/>
        <v>Link</v>
      </c>
    </row>
    <row r="1375" spans="1:20" hidden="1" x14ac:dyDescent="0.2">
      <c r="A1375" t="s">
        <v>3929</v>
      </c>
      <c r="B1375" t="s">
        <v>2365</v>
      </c>
      <c r="C1375" t="s">
        <v>2366</v>
      </c>
      <c r="D1375" t="s">
        <v>3930</v>
      </c>
      <c r="E1375" t="s">
        <v>3931</v>
      </c>
      <c r="F1375" t="str">
        <f>IF(Table2[[#This Row],[Date posted]]&lt; DATE(2015,9,18),"Before Crisis","During Crisis")</f>
        <v>During Crisis</v>
      </c>
      <c r="G1375" s="27">
        <f t="shared" si="126"/>
        <v>42293</v>
      </c>
      <c r="H1375" s="7" t="str">
        <f t="shared" si="127"/>
        <v>15:34:42</v>
      </c>
      <c r="I1375" s="8" t="str">
        <f t="shared" si="128"/>
        <v>Afternoon</v>
      </c>
      <c r="J1375" t="s">
        <v>3928</v>
      </c>
      <c r="K1375" t="s">
        <v>2370</v>
      </c>
      <c r="L1375" s="3">
        <v>0</v>
      </c>
      <c r="M1375" s="3">
        <v>0</v>
      </c>
      <c r="N1375" s="3">
        <v>0</v>
      </c>
      <c r="O1375" s="4">
        <f t="shared" si="129"/>
        <v>0</v>
      </c>
      <c r="P1375" s="5" t="str">
        <f t="shared" si="130"/>
        <v>No engagement</v>
      </c>
      <c r="Q1375" t="b">
        <v>0</v>
      </c>
      <c r="R1375" t="b">
        <v>0</v>
      </c>
      <c r="S1375" t="b">
        <v>0</v>
      </c>
      <c r="T1375" s="24" t="str">
        <f t="shared" si="131"/>
        <v>Text only</v>
      </c>
    </row>
    <row r="1376" spans="1:20" hidden="1" x14ac:dyDescent="0.2">
      <c r="A1376" t="s">
        <v>3913</v>
      </c>
      <c r="B1376" t="s">
        <v>2365</v>
      </c>
      <c r="C1376" t="s">
        <v>2366</v>
      </c>
      <c r="D1376" t="s">
        <v>3914</v>
      </c>
      <c r="E1376" t="s">
        <v>3911</v>
      </c>
      <c r="F1376" t="str">
        <f>IF(Table2[[#This Row],[Date posted]]&lt; DATE(2015,9,18),"Before Crisis","During Crisis")</f>
        <v>During Crisis</v>
      </c>
      <c r="G1376" s="27">
        <f t="shared" si="126"/>
        <v>42293</v>
      </c>
      <c r="H1376" s="7" t="str">
        <f t="shared" si="127"/>
        <v>15:52:18</v>
      </c>
      <c r="I1376" s="8" t="str">
        <f t="shared" si="128"/>
        <v>Afternoon</v>
      </c>
      <c r="J1376" t="s">
        <v>3915</v>
      </c>
      <c r="K1376" t="s">
        <v>2370</v>
      </c>
      <c r="L1376" s="3">
        <v>0</v>
      </c>
      <c r="M1376" s="3">
        <v>0</v>
      </c>
      <c r="N1376" s="3">
        <v>0</v>
      </c>
      <c r="O1376" s="4">
        <f t="shared" si="129"/>
        <v>0</v>
      </c>
      <c r="P1376" s="5" t="str">
        <f t="shared" si="130"/>
        <v>No engagement</v>
      </c>
      <c r="Q1376" t="b">
        <v>0</v>
      </c>
      <c r="R1376" t="b">
        <v>0</v>
      </c>
      <c r="S1376" t="b">
        <v>0</v>
      </c>
      <c r="T1376" s="24" t="str">
        <f t="shared" si="131"/>
        <v>Text only</v>
      </c>
    </row>
    <row r="1377" spans="1:20" hidden="1" x14ac:dyDescent="0.2">
      <c r="A1377" t="s">
        <v>3905</v>
      </c>
      <c r="B1377" t="s">
        <v>2365</v>
      </c>
      <c r="C1377" t="s">
        <v>2366</v>
      </c>
      <c r="D1377" t="s">
        <v>3906</v>
      </c>
      <c r="E1377" t="s">
        <v>3907</v>
      </c>
      <c r="F1377" t="str">
        <f>IF(Table2[[#This Row],[Date posted]]&lt; DATE(2015,9,18),"Before Crisis","During Crisis")</f>
        <v>During Crisis</v>
      </c>
      <c r="G1377" s="27">
        <f t="shared" si="126"/>
        <v>42293</v>
      </c>
      <c r="H1377" s="7" t="str">
        <f t="shared" si="127"/>
        <v>17:12:21</v>
      </c>
      <c r="I1377" s="8" t="str">
        <f t="shared" si="128"/>
        <v>Afternoon</v>
      </c>
      <c r="J1377" t="s">
        <v>3908</v>
      </c>
      <c r="K1377" t="s">
        <v>2370</v>
      </c>
      <c r="L1377" s="3">
        <v>0</v>
      </c>
      <c r="M1377">
        <v>1</v>
      </c>
      <c r="N1377" s="3">
        <v>0</v>
      </c>
      <c r="O1377" s="4">
        <f t="shared" si="129"/>
        <v>1</v>
      </c>
      <c r="P1377" s="5" t="str">
        <f t="shared" si="130"/>
        <v>Low engagement</v>
      </c>
      <c r="Q1377" t="b">
        <v>0</v>
      </c>
      <c r="R1377" t="b">
        <v>0</v>
      </c>
      <c r="S1377" t="b">
        <v>0</v>
      </c>
      <c r="T1377" s="24" t="str">
        <f t="shared" si="131"/>
        <v>Text only</v>
      </c>
    </row>
    <row r="1378" spans="1:20" hidden="1" x14ac:dyDescent="0.2">
      <c r="A1378" t="s">
        <v>3863</v>
      </c>
      <c r="B1378" t="s">
        <v>2365</v>
      </c>
      <c r="C1378" t="s">
        <v>2366</v>
      </c>
      <c r="D1378" t="s">
        <v>3864</v>
      </c>
      <c r="E1378" t="s">
        <v>3865</v>
      </c>
      <c r="F1378" t="str">
        <f>IF(Table2[[#This Row],[Date posted]]&lt; DATE(2015,9,18),"Before Crisis","During Crisis")</f>
        <v>During Crisis</v>
      </c>
      <c r="G1378" s="27">
        <f t="shared" si="126"/>
        <v>42296</v>
      </c>
      <c r="H1378" s="7" t="str">
        <f t="shared" si="127"/>
        <v>17:06:08</v>
      </c>
      <c r="I1378" s="8" t="str">
        <f t="shared" si="128"/>
        <v>Afternoon</v>
      </c>
      <c r="J1378" t="s">
        <v>3866</v>
      </c>
      <c r="K1378" t="s">
        <v>2370</v>
      </c>
      <c r="L1378" s="3">
        <v>0</v>
      </c>
      <c r="M1378" s="3">
        <v>0</v>
      </c>
      <c r="N1378" s="3">
        <v>0</v>
      </c>
      <c r="O1378" s="4">
        <f t="shared" si="129"/>
        <v>0</v>
      </c>
      <c r="P1378" s="5" t="str">
        <f t="shared" si="130"/>
        <v>No engagement</v>
      </c>
      <c r="Q1378" t="b">
        <v>0</v>
      </c>
      <c r="R1378" t="b">
        <v>0</v>
      </c>
      <c r="S1378" t="b">
        <v>0</v>
      </c>
      <c r="T1378" s="24" t="str">
        <f t="shared" si="131"/>
        <v>Text only</v>
      </c>
    </row>
    <row r="1379" spans="1:20" hidden="1" x14ac:dyDescent="0.2">
      <c r="A1379" t="s">
        <v>3867</v>
      </c>
      <c r="B1379" t="s">
        <v>2365</v>
      </c>
      <c r="C1379" t="s">
        <v>2366</v>
      </c>
      <c r="D1379" t="s">
        <v>3868</v>
      </c>
      <c r="E1379" t="s">
        <v>3865</v>
      </c>
      <c r="F1379" t="str">
        <f>IF(Table2[[#This Row],[Date posted]]&lt; DATE(2015,9,18),"Before Crisis","During Crisis")</f>
        <v>During Crisis</v>
      </c>
      <c r="G1379" s="27">
        <f t="shared" si="126"/>
        <v>42296</v>
      </c>
      <c r="H1379" s="7" t="str">
        <f t="shared" si="127"/>
        <v>17:06:08</v>
      </c>
      <c r="I1379" s="8" t="str">
        <f t="shared" si="128"/>
        <v>Afternoon</v>
      </c>
      <c r="J1379" t="s">
        <v>3869</v>
      </c>
      <c r="K1379" t="s">
        <v>2370</v>
      </c>
      <c r="L1379" s="3">
        <v>0</v>
      </c>
      <c r="M1379" s="3">
        <v>0</v>
      </c>
      <c r="N1379" s="3">
        <v>0</v>
      </c>
      <c r="O1379" s="4">
        <f t="shared" si="129"/>
        <v>0</v>
      </c>
      <c r="P1379" s="5" t="str">
        <f t="shared" si="130"/>
        <v>No engagement</v>
      </c>
      <c r="Q1379" t="b">
        <v>0</v>
      </c>
      <c r="R1379" t="b">
        <v>0</v>
      </c>
      <c r="S1379" t="b">
        <v>0</v>
      </c>
      <c r="T1379" s="24" t="str">
        <f t="shared" si="131"/>
        <v>Text only</v>
      </c>
    </row>
    <row r="1380" spans="1:20" hidden="1" x14ac:dyDescent="0.2">
      <c r="A1380" t="s">
        <v>3860</v>
      </c>
      <c r="B1380" t="s">
        <v>2365</v>
      </c>
      <c r="C1380" t="s">
        <v>2366</v>
      </c>
      <c r="D1380" t="s">
        <v>3861</v>
      </c>
      <c r="E1380" t="s">
        <v>3862</v>
      </c>
      <c r="F1380" t="str">
        <f>IF(Table2[[#This Row],[Date posted]]&lt; DATE(2015,9,18),"Before Crisis","During Crisis")</f>
        <v>During Crisis</v>
      </c>
      <c r="G1380" s="27">
        <f t="shared" si="126"/>
        <v>42296</v>
      </c>
      <c r="H1380" s="7" t="str">
        <f t="shared" si="127"/>
        <v>18:12:31</v>
      </c>
      <c r="I1380" s="8" t="str">
        <f t="shared" si="128"/>
        <v>Evening</v>
      </c>
      <c r="J1380" t="s">
        <v>3700</v>
      </c>
      <c r="K1380" t="s">
        <v>2370</v>
      </c>
      <c r="L1380" s="3">
        <v>0</v>
      </c>
      <c r="M1380">
        <v>6</v>
      </c>
      <c r="N1380" s="3">
        <v>0</v>
      </c>
      <c r="O1380" s="4">
        <f t="shared" si="129"/>
        <v>6</v>
      </c>
      <c r="P1380" s="5" t="str">
        <f t="shared" si="130"/>
        <v>Moderate engagement</v>
      </c>
      <c r="Q1380" t="b">
        <v>0</v>
      </c>
      <c r="R1380" t="b">
        <v>0</v>
      </c>
      <c r="S1380" t="b">
        <v>1</v>
      </c>
      <c r="T1380" s="24" t="str">
        <f t="shared" si="131"/>
        <v>Link</v>
      </c>
    </row>
    <row r="1381" spans="1:20" hidden="1" x14ac:dyDescent="0.2">
      <c r="A1381" t="s">
        <v>3856</v>
      </c>
      <c r="B1381" t="s">
        <v>2365</v>
      </c>
      <c r="C1381" t="s">
        <v>2366</v>
      </c>
      <c r="D1381" t="s">
        <v>3857</v>
      </c>
      <c r="E1381" t="s">
        <v>3858</v>
      </c>
      <c r="F1381" t="str">
        <f>IF(Table2[[#This Row],[Date posted]]&lt; DATE(2015,9,18),"Before Crisis","During Crisis")</f>
        <v>During Crisis</v>
      </c>
      <c r="G1381" s="27">
        <f t="shared" si="126"/>
        <v>42296</v>
      </c>
      <c r="H1381" s="7" t="str">
        <f t="shared" si="127"/>
        <v>18:40:15</v>
      </c>
      <c r="I1381" s="8" t="str">
        <f t="shared" si="128"/>
        <v>Evening</v>
      </c>
      <c r="J1381" t="s">
        <v>3859</v>
      </c>
      <c r="K1381" t="s">
        <v>2370</v>
      </c>
      <c r="L1381" s="3">
        <v>0</v>
      </c>
      <c r="M1381" s="3">
        <v>0</v>
      </c>
      <c r="N1381" s="3">
        <v>0</v>
      </c>
      <c r="O1381" s="4">
        <f t="shared" si="129"/>
        <v>0</v>
      </c>
      <c r="P1381" s="5" t="str">
        <f t="shared" si="130"/>
        <v>No engagement</v>
      </c>
      <c r="Q1381" t="b">
        <v>0</v>
      </c>
      <c r="R1381" t="b">
        <v>0</v>
      </c>
      <c r="S1381" t="b">
        <v>1</v>
      </c>
      <c r="T1381" s="24" t="str">
        <f t="shared" si="131"/>
        <v>Link</v>
      </c>
    </row>
    <row r="1382" spans="1:20" hidden="1" x14ac:dyDescent="0.2">
      <c r="A1382" t="s">
        <v>3852</v>
      </c>
      <c r="B1382" t="s">
        <v>2365</v>
      </c>
      <c r="C1382" t="s">
        <v>2366</v>
      </c>
      <c r="D1382" t="s">
        <v>3853</v>
      </c>
      <c r="E1382" t="s">
        <v>3854</v>
      </c>
      <c r="F1382" t="str">
        <f>IF(Table2[[#This Row],[Date posted]]&lt; DATE(2015,9,18),"Before Crisis","During Crisis")</f>
        <v>During Crisis</v>
      </c>
      <c r="G1382" s="27">
        <f t="shared" si="126"/>
        <v>42296</v>
      </c>
      <c r="H1382" s="7" t="str">
        <f t="shared" si="127"/>
        <v>19:01:06</v>
      </c>
      <c r="I1382" s="8" t="str">
        <f t="shared" si="128"/>
        <v>Evening</v>
      </c>
      <c r="J1382" t="s">
        <v>3855</v>
      </c>
      <c r="K1382" t="s">
        <v>2370</v>
      </c>
      <c r="L1382" s="3">
        <v>0</v>
      </c>
      <c r="M1382" s="3">
        <v>0</v>
      </c>
      <c r="N1382" s="3">
        <v>0</v>
      </c>
      <c r="O1382" s="4">
        <f t="shared" si="129"/>
        <v>0</v>
      </c>
      <c r="P1382" s="5" t="str">
        <f t="shared" si="130"/>
        <v>No engagement</v>
      </c>
      <c r="Q1382" t="b">
        <v>0</v>
      </c>
      <c r="R1382" t="b">
        <v>0</v>
      </c>
      <c r="S1382" t="b">
        <v>0</v>
      </c>
      <c r="T1382" s="24" t="str">
        <f t="shared" si="131"/>
        <v>Text only</v>
      </c>
    </row>
    <row r="1383" spans="1:20" hidden="1" x14ac:dyDescent="0.2">
      <c r="A1383" t="s">
        <v>3849</v>
      </c>
      <c r="B1383" t="s">
        <v>2365</v>
      </c>
      <c r="C1383" t="s">
        <v>2366</v>
      </c>
      <c r="D1383" t="s">
        <v>3850</v>
      </c>
      <c r="E1383" t="s">
        <v>3851</v>
      </c>
      <c r="F1383" t="str">
        <f>IF(Table2[[#This Row],[Date posted]]&lt; DATE(2015,9,18),"Before Crisis","During Crisis")</f>
        <v>During Crisis</v>
      </c>
      <c r="G1383" s="27">
        <f t="shared" si="126"/>
        <v>42296</v>
      </c>
      <c r="H1383" s="7" t="str">
        <f t="shared" si="127"/>
        <v>19:21:49</v>
      </c>
      <c r="I1383" s="8" t="str">
        <f t="shared" si="128"/>
        <v>Evening</v>
      </c>
      <c r="J1383" t="s">
        <v>3696</v>
      </c>
      <c r="K1383" t="s">
        <v>2370</v>
      </c>
      <c r="L1383">
        <v>1</v>
      </c>
      <c r="M1383" s="3">
        <v>0</v>
      </c>
      <c r="N1383" s="3">
        <v>0</v>
      </c>
      <c r="O1383" s="4">
        <f t="shared" si="129"/>
        <v>1</v>
      </c>
      <c r="P1383" s="5" t="str">
        <f t="shared" si="130"/>
        <v>Low engagement</v>
      </c>
      <c r="Q1383" t="b">
        <v>0</v>
      </c>
      <c r="R1383" t="b">
        <v>0</v>
      </c>
      <c r="S1383" t="b">
        <v>0</v>
      </c>
      <c r="T1383" s="24" t="str">
        <f t="shared" si="131"/>
        <v>Text only</v>
      </c>
    </row>
    <row r="1384" spans="1:20" hidden="1" x14ac:dyDescent="0.2">
      <c r="A1384" t="s">
        <v>3846</v>
      </c>
      <c r="B1384" t="s">
        <v>2365</v>
      </c>
      <c r="C1384" t="s">
        <v>2366</v>
      </c>
      <c r="D1384" t="s">
        <v>3847</v>
      </c>
      <c r="E1384" t="s">
        <v>3848</v>
      </c>
      <c r="F1384" t="str">
        <f>IF(Table2[[#This Row],[Date posted]]&lt; DATE(2015,9,18),"Before Crisis","During Crisis")</f>
        <v>During Crisis</v>
      </c>
      <c r="G1384" s="27">
        <f t="shared" si="126"/>
        <v>42296</v>
      </c>
      <c r="H1384" s="7" t="str">
        <f t="shared" si="127"/>
        <v>19:39:02</v>
      </c>
      <c r="I1384" s="8" t="str">
        <f t="shared" si="128"/>
        <v>Evening</v>
      </c>
      <c r="J1384" t="s">
        <v>2370</v>
      </c>
      <c r="K1384" t="s">
        <v>2370</v>
      </c>
      <c r="L1384" s="3">
        <v>0</v>
      </c>
      <c r="M1384" s="3">
        <v>0</v>
      </c>
      <c r="N1384" s="3">
        <v>0</v>
      </c>
      <c r="O1384" s="4">
        <f t="shared" si="129"/>
        <v>0</v>
      </c>
      <c r="P1384" s="5" t="str">
        <f t="shared" si="130"/>
        <v>No engagement</v>
      </c>
      <c r="Q1384" t="b">
        <v>0</v>
      </c>
      <c r="R1384" t="b">
        <v>0</v>
      </c>
      <c r="S1384" t="b">
        <v>0</v>
      </c>
      <c r="T1384" s="24" t="str">
        <f t="shared" si="131"/>
        <v>Text only</v>
      </c>
    </row>
    <row r="1385" spans="1:20" hidden="1" x14ac:dyDescent="0.2">
      <c r="A1385" t="s">
        <v>3843</v>
      </c>
      <c r="B1385" t="s">
        <v>2365</v>
      </c>
      <c r="C1385" t="s">
        <v>2366</v>
      </c>
      <c r="D1385" t="s">
        <v>3844</v>
      </c>
      <c r="E1385" t="s">
        <v>3845</v>
      </c>
      <c r="F1385" t="str">
        <f>IF(Table2[[#This Row],[Date posted]]&lt; DATE(2015,9,18),"Before Crisis","During Crisis")</f>
        <v>During Crisis</v>
      </c>
      <c r="G1385" s="27">
        <f t="shared" si="126"/>
        <v>42296</v>
      </c>
      <c r="H1385" s="7" t="str">
        <f t="shared" si="127"/>
        <v>19:39:03</v>
      </c>
      <c r="I1385" s="8" t="str">
        <f t="shared" si="128"/>
        <v>Evening</v>
      </c>
      <c r="J1385" t="s">
        <v>2370</v>
      </c>
      <c r="K1385" t="s">
        <v>2370</v>
      </c>
      <c r="L1385" s="3">
        <v>0</v>
      </c>
      <c r="M1385" s="3">
        <v>0</v>
      </c>
      <c r="N1385" s="3">
        <v>0</v>
      </c>
      <c r="O1385" s="4">
        <f t="shared" si="129"/>
        <v>0</v>
      </c>
      <c r="P1385" s="5" t="str">
        <f t="shared" si="130"/>
        <v>No engagement</v>
      </c>
      <c r="Q1385" t="b">
        <v>0</v>
      </c>
      <c r="R1385" t="b">
        <v>0</v>
      </c>
      <c r="S1385" t="b">
        <v>1</v>
      </c>
      <c r="T1385" s="24" t="str">
        <f t="shared" si="131"/>
        <v>Link</v>
      </c>
    </row>
    <row r="1386" spans="1:20" hidden="1" x14ac:dyDescent="0.2">
      <c r="A1386" t="s">
        <v>3836</v>
      </c>
      <c r="B1386" t="s">
        <v>2365</v>
      </c>
      <c r="C1386" t="s">
        <v>2366</v>
      </c>
      <c r="D1386" t="s">
        <v>3837</v>
      </c>
      <c r="E1386" t="s">
        <v>3838</v>
      </c>
      <c r="F1386" t="str">
        <f>IF(Table2[[#This Row],[Date posted]]&lt; DATE(2015,9,18),"Before Crisis","During Crisis")</f>
        <v>During Crisis</v>
      </c>
      <c r="G1386" s="27">
        <f t="shared" si="126"/>
        <v>42296</v>
      </c>
      <c r="H1386" s="7" t="str">
        <f t="shared" si="127"/>
        <v>19:56:12</v>
      </c>
      <c r="I1386" s="8" t="str">
        <f t="shared" si="128"/>
        <v>Evening</v>
      </c>
      <c r="J1386" t="s">
        <v>3839</v>
      </c>
      <c r="K1386" t="s">
        <v>2370</v>
      </c>
      <c r="L1386">
        <v>1</v>
      </c>
      <c r="M1386" s="3">
        <v>0</v>
      </c>
      <c r="N1386" s="3">
        <v>0</v>
      </c>
      <c r="O1386" s="4">
        <f t="shared" si="129"/>
        <v>1</v>
      </c>
      <c r="P1386" s="5" t="str">
        <f t="shared" si="130"/>
        <v>Low engagement</v>
      </c>
      <c r="Q1386" t="b">
        <v>0</v>
      </c>
      <c r="R1386" t="b">
        <v>0</v>
      </c>
      <c r="S1386" t="b">
        <v>0</v>
      </c>
      <c r="T1386" s="24" t="str">
        <f t="shared" si="131"/>
        <v>Text only</v>
      </c>
    </row>
    <row r="1387" spans="1:20" hidden="1" x14ac:dyDescent="0.2">
      <c r="A1387" t="s">
        <v>3840</v>
      </c>
      <c r="B1387" t="s">
        <v>2365</v>
      </c>
      <c r="C1387" t="s">
        <v>2366</v>
      </c>
      <c r="D1387" t="s">
        <v>3841</v>
      </c>
      <c r="E1387" t="s">
        <v>3838</v>
      </c>
      <c r="F1387" t="str">
        <f>IF(Table2[[#This Row],[Date posted]]&lt; DATE(2015,9,18),"Before Crisis","During Crisis")</f>
        <v>During Crisis</v>
      </c>
      <c r="G1387" s="27">
        <f t="shared" si="126"/>
        <v>42296</v>
      </c>
      <c r="H1387" s="7" t="str">
        <f t="shared" si="127"/>
        <v>19:56:12</v>
      </c>
      <c r="I1387" s="8" t="str">
        <f t="shared" si="128"/>
        <v>Evening</v>
      </c>
      <c r="J1387" t="s">
        <v>3842</v>
      </c>
      <c r="K1387" t="s">
        <v>2370</v>
      </c>
      <c r="L1387" s="3">
        <v>0</v>
      </c>
      <c r="M1387" s="3">
        <v>0</v>
      </c>
      <c r="N1387" s="3">
        <v>0</v>
      </c>
      <c r="O1387" s="4">
        <f t="shared" si="129"/>
        <v>0</v>
      </c>
      <c r="P1387" s="5" t="str">
        <f t="shared" si="130"/>
        <v>No engagement</v>
      </c>
      <c r="Q1387" t="b">
        <v>0</v>
      </c>
      <c r="R1387" t="b">
        <v>0</v>
      </c>
      <c r="S1387" t="b">
        <v>0</v>
      </c>
      <c r="T1387" s="24" t="str">
        <f t="shared" si="131"/>
        <v>Text only</v>
      </c>
    </row>
    <row r="1388" spans="1:20" hidden="1" x14ac:dyDescent="0.2">
      <c r="A1388" t="s">
        <v>3833</v>
      </c>
      <c r="B1388" t="s">
        <v>2365</v>
      </c>
      <c r="C1388" t="s">
        <v>2366</v>
      </c>
      <c r="D1388" t="s">
        <v>3834</v>
      </c>
      <c r="E1388" t="s">
        <v>3835</v>
      </c>
      <c r="F1388" t="str">
        <f>IF(Table2[[#This Row],[Date posted]]&lt; DATE(2015,9,18),"Before Crisis","During Crisis")</f>
        <v>During Crisis</v>
      </c>
      <c r="G1388" s="27">
        <f t="shared" si="126"/>
        <v>42296</v>
      </c>
      <c r="H1388" s="7" t="str">
        <f t="shared" si="127"/>
        <v>20:16:29</v>
      </c>
      <c r="I1388" s="8" t="str">
        <f t="shared" si="128"/>
        <v>Evening</v>
      </c>
      <c r="J1388" t="s">
        <v>3832</v>
      </c>
      <c r="K1388" t="s">
        <v>2370</v>
      </c>
      <c r="L1388" s="3">
        <v>0</v>
      </c>
      <c r="M1388" s="3">
        <v>0</v>
      </c>
      <c r="N1388" s="3">
        <v>0</v>
      </c>
      <c r="O1388" s="4">
        <f t="shared" si="129"/>
        <v>0</v>
      </c>
      <c r="P1388" s="5" t="str">
        <f t="shared" si="130"/>
        <v>No engagement</v>
      </c>
      <c r="Q1388" t="b">
        <v>0</v>
      </c>
      <c r="R1388" t="b">
        <v>0</v>
      </c>
      <c r="S1388" t="b">
        <v>0</v>
      </c>
      <c r="T1388" s="24" t="str">
        <f t="shared" si="131"/>
        <v>Text only</v>
      </c>
    </row>
    <row r="1389" spans="1:20" hidden="1" x14ac:dyDescent="0.2">
      <c r="A1389" t="s">
        <v>3821</v>
      </c>
      <c r="B1389" t="s">
        <v>2365</v>
      </c>
      <c r="C1389" t="s">
        <v>2366</v>
      </c>
      <c r="D1389" t="s">
        <v>3822</v>
      </c>
      <c r="E1389" t="s">
        <v>3823</v>
      </c>
      <c r="F1389" t="str">
        <f>IF(Table2[[#This Row],[Date posted]]&lt; DATE(2015,9,18),"Before Crisis","During Crisis")</f>
        <v>During Crisis</v>
      </c>
      <c r="G1389" s="27">
        <f t="shared" si="126"/>
        <v>42297</v>
      </c>
      <c r="H1389" s="7" t="str">
        <f t="shared" si="127"/>
        <v>13:44:09</v>
      </c>
      <c r="I1389" s="8" t="str">
        <f t="shared" si="128"/>
        <v>Mid-day</v>
      </c>
      <c r="J1389" t="s">
        <v>2370</v>
      </c>
      <c r="K1389" t="s">
        <v>2370</v>
      </c>
      <c r="L1389" s="3">
        <v>0</v>
      </c>
      <c r="M1389" s="3">
        <v>0</v>
      </c>
      <c r="N1389" s="3">
        <v>0</v>
      </c>
      <c r="O1389" s="4">
        <f t="shared" si="129"/>
        <v>0</v>
      </c>
      <c r="P1389" s="5" t="str">
        <f t="shared" si="130"/>
        <v>No engagement</v>
      </c>
      <c r="Q1389" t="b">
        <v>0</v>
      </c>
      <c r="R1389" t="b">
        <v>0</v>
      </c>
      <c r="S1389" t="b">
        <v>0</v>
      </c>
      <c r="T1389" s="24" t="str">
        <f t="shared" si="131"/>
        <v>Text only</v>
      </c>
    </row>
    <row r="1390" spans="1:20" hidden="1" x14ac:dyDescent="0.2">
      <c r="A1390" t="s">
        <v>3818</v>
      </c>
      <c r="B1390" t="s">
        <v>2365</v>
      </c>
      <c r="C1390" t="s">
        <v>2366</v>
      </c>
      <c r="D1390" t="s">
        <v>3819</v>
      </c>
      <c r="E1390" t="s">
        <v>3820</v>
      </c>
      <c r="F1390" t="str">
        <f>IF(Table2[[#This Row],[Date posted]]&lt; DATE(2015,9,18),"Before Crisis","During Crisis")</f>
        <v>During Crisis</v>
      </c>
      <c r="G1390" s="27">
        <f t="shared" si="126"/>
        <v>42297</v>
      </c>
      <c r="H1390" s="7" t="str">
        <f t="shared" si="127"/>
        <v>13:44:10</v>
      </c>
      <c r="I1390" s="8" t="str">
        <f t="shared" si="128"/>
        <v>Mid-day</v>
      </c>
      <c r="J1390" t="s">
        <v>3817</v>
      </c>
      <c r="K1390" t="s">
        <v>2370</v>
      </c>
      <c r="L1390" s="3">
        <v>0</v>
      </c>
      <c r="M1390" s="3">
        <v>0</v>
      </c>
      <c r="N1390" s="3">
        <v>0</v>
      </c>
      <c r="O1390" s="4">
        <f t="shared" si="129"/>
        <v>0</v>
      </c>
      <c r="P1390" s="5" t="str">
        <f t="shared" si="130"/>
        <v>No engagement</v>
      </c>
      <c r="Q1390" t="b">
        <v>0</v>
      </c>
      <c r="R1390" t="b">
        <v>0</v>
      </c>
      <c r="S1390" t="b">
        <v>0</v>
      </c>
      <c r="T1390" s="24" t="str">
        <f t="shared" si="131"/>
        <v>Text only</v>
      </c>
    </row>
    <row r="1391" spans="1:20" hidden="1" x14ac:dyDescent="0.2">
      <c r="A1391" t="s">
        <v>3814</v>
      </c>
      <c r="B1391" t="s">
        <v>2365</v>
      </c>
      <c r="C1391" t="s">
        <v>2366</v>
      </c>
      <c r="D1391" t="s">
        <v>3815</v>
      </c>
      <c r="E1391" t="s">
        <v>3816</v>
      </c>
      <c r="F1391" t="str">
        <f>IF(Table2[[#This Row],[Date posted]]&lt; DATE(2015,9,18),"Before Crisis","During Crisis")</f>
        <v>During Crisis</v>
      </c>
      <c r="G1391" s="27">
        <f t="shared" si="126"/>
        <v>42297</v>
      </c>
      <c r="H1391" s="7" t="str">
        <f t="shared" si="127"/>
        <v>13:44:11</v>
      </c>
      <c r="I1391" s="8" t="str">
        <f t="shared" si="128"/>
        <v>Mid-day</v>
      </c>
      <c r="J1391" t="s">
        <v>3817</v>
      </c>
      <c r="K1391" t="s">
        <v>2370</v>
      </c>
      <c r="L1391" s="3">
        <v>0</v>
      </c>
      <c r="M1391" s="3">
        <v>0</v>
      </c>
      <c r="N1391" s="3">
        <v>0</v>
      </c>
      <c r="O1391" s="4">
        <f t="shared" si="129"/>
        <v>0</v>
      </c>
      <c r="P1391" s="5" t="str">
        <f t="shared" si="130"/>
        <v>No engagement</v>
      </c>
      <c r="Q1391" t="b">
        <v>0</v>
      </c>
      <c r="R1391" t="b">
        <v>0</v>
      </c>
      <c r="S1391" t="b">
        <v>0</v>
      </c>
      <c r="T1391" s="24" t="str">
        <f t="shared" si="131"/>
        <v>Text only</v>
      </c>
    </row>
    <row r="1392" spans="1:20" hidden="1" x14ac:dyDescent="0.2">
      <c r="A1392" t="s">
        <v>3808</v>
      </c>
      <c r="B1392" t="s">
        <v>2365</v>
      </c>
      <c r="C1392" t="s">
        <v>2366</v>
      </c>
      <c r="D1392" t="s">
        <v>3809</v>
      </c>
      <c r="E1392" t="s">
        <v>3810</v>
      </c>
      <c r="F1392" t="str">
        <f>IF(Table2[[#This Row],[Date posted]]&lt; DATE(2015,9,18),"Before Crisis","During Crisis")</f>
        <v>During Crisis</v>
      </c>
      <c r="G1392" s="27">
        <f t="shared" si="126"/>
        <v>42297</v>
      </c>
      <c r="H1392" s="7" t="str">
        <f t="shared" si="127"/>
        <v>13:51:00</v>
      </c>
      <c r="I1392" s="8" t="str">
        <f t="shared" si="128"/>
        <v>Mid-day</v>
      </c>
      <c r="J1392" t="s">
        <v>3811</v>
      </c>
      <c r="K1392" t="s">
        <v>2370</v>
      </c>
      <c r="L1392" s="3">
        <v>0</v>
      </c>
      <c r="M1392">
        <v>1</v>
      </c>
      <c r="N1392" s="3">
        <v>0</v>
      </c>
      <c r="O1392" s="4">
        <f t="shared" si="129"/>
        <v>1</v>
      </c>
      <c r="P1392" s="5" t="str">
        <f t="shared" si="130"/>
        <v>Low engagement</v>
      </c>
      <c r="Q1392" t="b">
        <v>0</v>
      </c>
      <c r="R1392" t="b">
        <v>0</v>
      </c>
      <c r="S1392" t="b">
        <v>0</v>
      </c>
      <c r="T1392" s="24" t="str">
        <f t="shared" si="131"/>
        <v>Text only</v>
      </c>
    </row>
    <row r="1393" spans="1:20" hidden="1" x14ac:dyDescent="0.2">
      <c r="A1393" t="s">
        <v>3812</v>
      </c>
      <c r="B1393" t="s">
        <v>2365</v>
      </c>
      <c r="C1393" t="s">
        <v>2366</v>
      </c>
      <c r="D1393" t="s">
        <v>3813</v>
      </c>
      <c r="E1393" t="s">
        <v>3810</v>
      </c>
      <c r="F1393" t="str">
        <f>IF(Table2[[#This Row],[Date posted]]&lt; DATE(2015,9,18),"Before Crisis","During Crisis")</f>
        <v>During Crisis</v>
      </c>
      <c r="G1393" s="27">
        <f t="shared" si="126"/>
        <v>42297</v>
      </c>
      <c r="H1393" s="7" t="str">
        <f t="shared" si="127"/>
        <v>13:51:00</v>
      </c>
      <c r="I1393" s="8" t="str">
        <f t="shared" si="128"/>
        <v>Mid-day</v>
      </c>
      <c r="J1393" t="s">
        <v>3811</v>
      </c>
      <c r="K1393" t="s">
        <v>2370</v>
      </c>
      <c r="L1393" s="3">
        <v>0</v>
      </c>
      <c r="M1393" s="3">
        <v>0</v>
      </c>
      <c r="N1393" s="3">
        <v>0</v>
      </c>
      <c r="O1393" s="4">
        <f t="shared" si="129"/>
        <v>0</v>
      </c>
      <c r="P1393" s="5" t="str">
        <f t="shared" si="130"/>
        <v>No engagement</v>
      </c>
      <c r="Q1393" t="b">
        <v>0</v>
      </c>
      <c r="R1393" t="b">
        <v>0</v>
      </c>
      <c r="S1393" t="b">
        <v>0</v>
      </c>
      <c r="T1393" s="24" t="str">
        <f t="shared" si="131"/>
        <v>Text only</v>
      </c>
    </row>
    <row r="1394" spans="1:20" hidden="1" x14ac:dyDescent="0.2">
      <c r="A1394" t="s">
        <v>3805</v>
      </c>
      <c r="B1394" t="s">
        <v>2365</v>
      </c>
      <c r="C1394" t="s">
        <v>2366</v>
      </c>
      <c r="D1394" t="s">
        <v>3806</v>
      </c>
      <c r="E1394" t="s">
        <v>3807</v>
      </c>
      <c r="F1394" t="str">
        <f>IF(Table2[[#This Row],[Date posted]]&lt; DATE(2015,9,18),"Before Crisis","During Crisis")</f>
        <v>During Crisis</v>
      </c>
      <c r="G1394" s="27">
        <f t="shared" si="126"/>
        <v>42297</v>
      </c>
      <c r="H1394" s="7" t="str">
        <f t="shared" si="127"/>
        <v>13:57:48</v>
      </c>
      <c r="I1394" s="8" t="str">
        <f t="shared" si="128"/>
        <v>Mid-day</v>
      </c>
      <c r="J1394" t="s">
        <v>3354</v>
      </c>
      <c r="K1394" t="s">
        <v>2370</v>
      </c>
      <c r="L1394" s="3">
        <v>0</v>
      </c>
      <c r="M1394" s="3">
        <v>0</v>
      </c>
      <c r="N1394" s="3">
        <v>0</v>
      </c>
      <c r="O1394" s="4">
        <f t="shared" si="129"/>
        <v>0</v>
      </c>
      <c r="P1394" s="5" t="str">
        <f t="shared" si="130"/>
        <v>No engagement</v>
      </c>
      <c r="Q1394" t="b">
        <v>0</v>
      </c>
      <c r="R1394" t="b">
        <v>0</v>
      </c>
      <c r="S1394" t="b">
        <v>0</v>
      </c>
      <c r="T1394" s="24" t="str">
        <f t="shared" si="131"/>
        <v>Text only</v>
      </c>
    </row>
    <row r="1395" spans="1:20" hidden="1" x14ac:dyDescent="0.2">
      <c r="A1395" t="s">
        <v>3801</v>
      </c>
      <c r="B1395" t="s">
        <v>2365</v>
      </c>
      <c r="C1395" t="s">
        <v>2366</v>
      </c>
      <c r="D1395" t="s">
        <v>3802</v>
      </c>
      <c r="E1395" t="s">
        <v>3803</v>
      </c>
      <c r="F1395" t="str">
        <f>IF(Table2[[#This Row],[Date posted]]&lt; DATE(2015,9,18),"Before Crisis","During Crisis")</f>
        <v>During Crisis</v>
      </c>
      <c r="G1395" s="27">
        <f t="shared" si="126"/>
        <v>42297</v>
      </c>
      <c r="H1395" s="7" t="str">
        <f t="shared" si="127"/>
        <v>14:04:51</v>
      </c>
      <c r="I1395" s="8" t="str">
        <f t="shared" si="128"/>
        <v>Afternoon</v>
      </c>
      <c r="J1395" t="s">
        <v>3804</v>
      </c>
      <c r="K1395" t="s">
        <v>2370</v>
      </c>
      <c r="L1395" s="3">
        <v>0</v>
      </c>
      <c r="M1395" s="3">
        <v>0</v>
      </c>
      <c r="N1395" s="3">
        <v>0</v>
      </c>
      <c r="O1395" s="4">
        <f t="shared" si="129"/>
        <v>0</v>
      </c>
      <c r="P1395" s="5" t="str">
        <f t="shared" si="130"/>
        <v>No engagement</v>
      </c>
      <c r="Q1395" t="b">
        <v>0</v>
      </c>
      <c r="R1395" t="b">
        <v>0</v>
      </c>
      <c r="S1395" t="b">
        <v>0</v>
      </c>
      <c r="T1395" s="24" t="str">
        <f t="shared" si="131"/>
        <v>Text only</v>
      </c>
    </row>
    <row r="1396" spans="1:20" hidden="1" x14ac:dyDescent="0.2">
      <c r="A1396" t="s">
        <v>3797</v>
      </c>
      <c r="B1396" t="s">
        <v>2365</v>
      </c>
      <c r="C1396" t="s">
        <v>2366</v>
      </c>
      <c r="D1396" t="s">
        <v>3798</v>
      </c>
      <c r="E1396" t="s">
        <v>3799</v>
      </c>
      <c r="F1396" t="str">
        <f>IF(Table2[[#This Row],[Date posted]]&lt; DATE(2015,9,18),"Before Crisis","During Crisis")</f>
        <v>During Crisis</v>
      </c>
      <c r="G1396" s="27">
        <f t="shared" si="126"/>
        <v>42297</v>
      </c>
      <c r="H1396" s="7" t="str">
        <f t="shared" si="127"/>
        <v>14:22:49</v>
      </c>
      <c r="I1396" s="8" t="str">
        <f t="shared" si="128"/>
        <v>Afternoon</v>
      </c>
      <c r="J1396" t="s">
        <v>3800</v>
      </c>
      <c r="K1396" t="s">
        <v>2370</v>
      </c>
      <c r="L1396" s="3">
        <v>0</v>
      </c>
      <c r="M1396">
        <v>1</v>
      </c>
      <c r="N1396" s="3">
        <v>0</v>
      </c>
      <c r="O1396" s="4">
        <f t="shared" si="129"/>
        <v>1</v>
      </c>
      <c r="P1396" s="5" t="str">
        <f t="shared" si="130"/>
        <v>Low engagement</v>
      </c>
      <c r="Q1396" t="b">
        <v>0</v>
      </c>
      <c r="R1396" t="b">
        <v>0</v>
      </c>
      <c r="S1396" t="b">
        <v>0</v>
      </c>
      <c r="T1396" s="24" t="str">
        <f t="shared" si="131"/>
        <v>Text only</v>
      </c>
    </row>
    <row r="1397" spans="1:20" hidden="1" x14ac:dyDescent="0.2">
      <c r="A1397" t="s">
        <v>3782</v>
      </c>
      <c r="B1397" t="s">
        <v>2365</v>
      </c>
      <c r="C1397" t="s">
        <v>2366</v>
      </c>
      <c r="D1397" t="s">
        <v>3783</v>
      </c>
      <c r="E1397" t="s">
        <v>3784</v>
      </c>
      <c r="F1397" t="str">
        <f>IF(Table2[[#This Row],[Date posted]]&lt; DATE(2015,9,18),"Before Crisis","During Crisis")</f>
        <v>During Crisis</v>
      </c>
      <c r="G1397" s="27">
        <f t="shared" si="126"/>
        <v>42297</v>
      </c>
      <c r="H1397" s="7" t="str">
        <f t="shared" si="127"/>
        <v>19:50:03</v>
      </c>
      <c r="I1397" s="8" t="str">
        <f t="shared" si="128"/>
        <v>Evening</v>
      </c>
      <c r="J1397" t="s">
        <v>2370</v>
      </c>
      <c r="K1397" t="s">
        <v>2370</v>
      </c>
      <c r="L1397" s="3">
        <v>0</v>
      </c>
      <c r="M1397">
        <v>1</v>
      </c>
      <c r="N1397" s="3">
        <v>0</v>
      </c>
      <c r="O1397" s="4">
        <f t="shared" si="129"/>
        <v>1</v>
      </c>
      <c r="P1397" s="5" t="str">
        <f t="shared" si="130"/>
        <v>Low engagement</v>
      </c>
      <c r="Q1397" t="b">
        <v>0</v>
      </c>
      <c r="R1397" t="b">
        <v>0</v>
      </c>
      <c r="S1397" t="b">
        <v>1</v>
      </c>
      <c r="T1397" s="24" t="str">
        <f t="shared" si="131"/>
        <v>Link</v>
      </c>
    </row>
    <row r="1398" spans="1:20" hidden="1" x14ac:dyDescent="0.2">
      <c r="A1398" t="s">
        <v>3773</v>
      </c>
      <c r="B1398" t="s">
        <v>2365</v>
      </c>
      <c r="C1398" t="s">
        <v>2366</v>
      </c>
      <c r="D1398" t="s">
        <v>3774</v>
      </c>
      <c r="E1398" t="s">
        <v>3775</v>
      </c>
      <c r="F1398" t="str">
        <f>IF(Table2[[#This Row],[Date posted]]&lt; DATE(2015,9,18),"Before Crisis","During Crisis")</f>
        <v>During Crisis</v>
      </c>
      <c r="G1398" s="27">
        <f t="shared" si="126"/>
        <v>42298</v>
      </c>
      <c r="H1398" s="7" t="str">
        <f t="shared" si="127"/>
        <v>14:20:45</v>
      </c>
      <c r="I1398" s="8" t="str">
        <f t="shared" si="128"/>
        <v>Afternoon</v>
      </c>
      <c r="J1398" t="s">
        <v>3772</v>
      </c>
      <c r="K1398" t="s">
        <v>2370</v>
      </c>
      <c r="L1398" s="3">
        <v>0</v>
      </c>
      <c r="M1398" s="3">
        <v>0</v>
      </c>
      <c r="N1398" s="3">
        <v>0</v>
      </c>
      <c r="O1398" s="4">
        <f t="shared" si="129"/>
        <v>0</v>
      </c>
      <c r="P1398" s="5" t="str">
        <f t="shared" si="130"/>
        <v>No engagement</v>
      </c>
      <c r="Q1398" t="b">
        <v>0</v>
      </c>
      <c r="R1398" t="b">
        <v>0</v>
      </c>
      <c r="S1398" t="b">
        <v>0</v>
      </c>
      <c r="T1398" s="24" t="str">
        <f t="shared" si="131"/>
        <v>Text only</v>
      </c>
    </row>
    <row r="1399" spans="1:20" hidden="1" x14ac:dyDescent="0.2">
      <c r="A1399" t="s">
        <v>3767</v>
      </c>
      <c r="B1399" t="s">
        <v>2365</v>
      </c>
      <c r="C1399" t="s">
        <v>2366</v>
      </c>
      <c r="D1399" t="s">
        <v>3768</v>
      </c>
      <c r="E1399" t="s">
        <v>3769</v>
      </c>
      <c r="F1399" t="str">
        <f>IF(Table2[[#This Row],[Date posted]]&lt; DATE(2015,9,18),"Before Crisis","During Crisis")</f>
        <v>During Crisis</v>
      </c>
      <c r="G1399" s="27">
        <f t="shared" si="126"/>
        <v>42298</v>
      </c>
      <c r="H1399" s="7" t="str">
        <f t="shared" si="127"/>
        <v>14:20:46</v>
      </c>
      <c r="I1399" s="8" t="str">
        <f t="shared" si="128"/>
        <v>Afternoon</v>
      </c>
      <c r="J1399" t="s">
        <v>2370</v>
      </c>
      <c r="K1399" t="s">
        <v>2370</v>
      </c>
      <c r="L1399" s="3">
        <v>0</v>
      </c>
      <c r="M1399" s="3">
        <v>0</v>
      </c>
      <c r="N1399" s="3">
        <v>0</v>
      </c>
      <c r="O1399" s="4">
        <f t="shared" si="129"/>
        <v>0</v>
      </c>
      <c r="P1399" s="5" t="str">
        <f t="shared" si="130"/>
        <v>No engagement</v>
      </c>
      <c r="Q1399" t="b">
        <v>0</v>
      </c>
      <c r="R1399" t="b">
        <v>0</v>
      </c>
      <c r="S1399" t="b">
        <v>0</v>
      </c>
      <c r="T1399" s="24" t="str">
        <f t="shared" si="131"/>
        <v>Text only</v>
      </c>
    </row>
    <row r="1400" spans="1:20" hidden="1" x14ac:dyDescent="0.2">
      <c r="A1400" t="s">
        <v>3770</v>
      </c>
      <c r="B1400" t="s">
        <v>2365</v>
      </c>
      <c r="C1400" t="s">
        <v>2366</v>
      </c>
      <c r="D1400" t="s">
        <v>3771</v>
      </c>
      <c r="E1400" t="s">
        <v>3769</v>
      </c>
      <c r="F1400" t="str">
        <f>IF(Table2[[#This Row],[Date posted]]&lt; DATE(2015,9,18),"Before Crisis","During Crisis")</f>
        <v>During Crisis</v>
      </c>
      <c r="G1400" s="27">
        <f t="shared" si="126"/>
        <v>42298</v>
      </c>
      <c r="H1400" s="7" t="str">
        <f t="shared" si="127"/>
        <v>14:20:46</v>
      </c>
      <c r="I1400" s="8" t="str">
        <f t="shared" si="128"/>
        <v>Afternoon</v>
      </c>
      <c r="J1400" t="s">
        <v>3772</v>
      </c>
      <c r="K1400" t="s">
        <v>2370</v>
      </c>
      <c r="L1400" s="3">
        <v>0</v>
      </c>
      <c r="M1400" s="3">
        <v>0</v>
      </c>
      <c r="N1400" s="3">
        <v>0</v>
      </c>
      <c r="O1400" s="4">
        <f t="shared" si="129"/>
        <v>0</v>
      </c>
      <c r="P1400" s="5" t="str">
        <f t="shared" si="130"/>
        <v>No engagement</v>
      </c>
      <c r="Q1400" t="b">
        <v>0</v>
      </c>
      <c r="R1400" t="b">
        <v>0</v>
      </c>
      <c r="S1400" t="b">
        <v>0</v>
      </c>
      <c r="T1400" s="24" t="str">
        <f t="shared" si="131"/>
        <v>Text only</v>
      </c>
    </row>
    <row r="1401" spans="1:20" hidden="1" x14ac:dyDescent="0.2">
      <c r="A1401" t="s">
        <v>3761</v>
      </c>
      <c r="B1401" t="s">
        <v>2365</v>
      </c>
      <c r="C1401" t="s">
        <v>2366</v>
      </c>
      <c r="D1401" t="s">
        <v>3762</v>
      </c>
      <c r="E1401" t="s">
        <v>3763</v>
      </c>
      <c r="F1401" t="str">
        <f>IF(Table2[[#This Row],[Date posted]]&lt; DATE(2015,9,18),"Before Crisis","During Crisis")</f>
        <v>During Crisis</v>
      </c>
      <c r="G1401" s="27">
        <f t="shared" si="126"/>
        <v>42298</v>
      </c>
      <c r="H1401" s="7" t="str">
        <f t="shared" si="127"/>
        <v>14:20:47</v>
      </c>
      <c r="I1401" s="8" t="str">
        <f t="shared" si="128"/>
        <v>Afternoon</v>
      </c>
      <c r="J1401" t="s">
        <v>3764</v>
      </c>
      <c r="K1401" t="s">
        <v>2370</v>
      </c>
      <c r="L1401" s="3">
        <v>0</v>
      </c>
      <c r="M1401" s="3">
        <v>0</v>
      </c>
      <c r="N1401" s="3">
        <v>0</v>
      </c>
      <c r="O1401" s="4">
        <f t="shared" si="129"/>
        <v>0</v>
      </c>
      <c r="P1401" s="5" t="str">
        <f t="shared" si="130"/>
        <v>No engagement</v>
      </c>
      <c r="Q1401" t="b">
        <v>0</v>
      </c>
      <c r="R1401" t="b">
        <v>0</v>
      </c>
      <c r="S1401" t="b">
        <v>1</v>
      </c>
      <c r="T1401" s="24" t="str">
        <f t="shared" si="131"/>
        <v>Link</v>
      </c>
    </row>
    <row r="1402" spans="1:20" hidden="1" x14ac:dyDescent="0.2">
      <c r="A1402" t="s">
        <v>3765</v>
      </c>
      <c r="B1402" t="s">
        <v>2365</v>
      </c>
      <c r="C1402" t="s">
        <v>2366</v>
      </c>
      <c r="D1402" t="s">
        <v>3766</v>
      </c>
      <c r="E1402" t="s">
        <v>3763</v>
      </c>
      <c r="F1402" t="str">
        <f>IF(Table2[[#This Row],[Date posted]]&lt; DATE(2015,9,18),"Before Crisis","During Crisis")</f>
        <v>During Crisis</v>
      </c>
      <c r="G1402" s="27">
        <f t="shared" si="126"/>
        <v>42298</v>
      </c>
      <c r="H1402" s="7" t="str">
        <f t="shared" si="127"/>
        <v>14:20:47</v>
      </c>
      <c r="I1402" s="8" t="str">
        <f t="shared" si="128"/>
        <v>Afternoon</v>
      </c>
      <c r="J1402" t="s">
        <v>3764</v>
      </c>
      <c r="K1402" t="s">
        <v>2370</v>
      </c>
      <c r="L1402" s="3">
        <v>0</v>
      </c>
      <c r="M1402" s="3">
        <v>0</v>
      </c>
      <c r="N1402" s="3">
        <v>0</v>
      </c>
      <c r="O1402" s="4">
        <f t="shared" si="129"/>
        <v>0</v>
      </c>
      <c r="P1402" s="5" t="str">
        <f t="shared" si="130"/>
        <v>No engagement</v>
      </c>
      <c r="Q1402" t="b">
        <v>0</v>
      </c>
      <c r="R1402" t="b">
        <v>0</v>
      </c>
      <c r="S1402" t="b">
        <v>0</v>
      </c>
      <c r="T1402" s="24" t="str">
        <f t="shared" si="131"/>
        <v>Text only</v>
      </c>
    </row>
    <row r="1403" spans="1:20" hidden="1" x14ac:dyDescent="0.2">
      <c r="A1403" t="s">
        <v>3758</v>
      </c>
      <c r="B1403" t="s">
        <v>2365</v>
      </c>
      <c r="C1403" t="s">
        <v>2366</v>
      </c>
      <c r="D1403" t="s">
        <v>3759</v>
      </c>
      <c r="E1403" t="s">
        <v>3760</v>
      </c>
      <c r="F1403" t="str">
        <f>IF(Table2[[#This Row],[Date posted]]&lt; DATE(2015,9,18),"Before Crisis","During Crisis")</f>
        <v>During Crisis</v>
      </c>
      <c r="G1403" s="27">
        <f t="shared" si="126"/>
        <v>42298</v>
      </c>
      <c r="H1403" s="7" t="str">
        <f t="shared" si="127"/>
        <v>17:45:33</v>
      </c>
      <c r="I1403" s="8" t="str">
        <f t="shared" si="128"/>
        <v>Afternoon</v>
      </c>
      <c r="J1403" t="s">
        <v>3757</v>
      </c>
      <c r="K1403" t="s">
        <v>2370</v>
      </c>
      <c r="L1403" s="3">
        <v>0</v>
      </c>
      <c r="M1403" s="3">
        <v>0</v>
      </c>
      <c r="N1403" s="3">
        <v>0</v>
      </c>
      <c r="O1403" s="4">
        <f t="shared" si="129"/>
        <v>0</v>
      </c>
      <c r="P1403" s="5" t="str">
        <f t="shared" si="130"/>
        <v>No engagement</v>
      </c>
      <c r="Q1403" t="b">
        <v>0</v>
      </c>
      <c r="R1403" t="b">
        <v>0</v>
      </c>
      <c r="S1403" t="b">
        <v>0</v>
      </c>
      <c r="T1403" s="24" t="str">
        <f t="shared" si="131"/>
        <v>Text only</v>
      </c>
    </row>
    <row r="1404" spans="1:20" hidden="1" x14ac:dyDescent="0.2">
      <c r="A1404" t="s">
        <v>3754</v>
      </c>
      <c r="B1404" t="s">
        <v>2365</v>
      </c>
      <c r="C1404" t="s">
        <v>2366</v>
      </c>
      <c r="D1404" t="s">
        <v>3755</v>
      </c>
      <c r="E1404" t="s">
        <v>3756</v>
      </c>
      <c r="F1404" t="str">
        <f>IF(Table2[[#This Row],[Date posted]]&lt; DATE(2015,9,18),"Before Crisis","During Crisis")</f>
        <v>During Crisis</v>
      </c>
      <c r="G1404" s="27">
        <f t="shared" si="126"/>
        <v>42298</v>
      </c>
      <c r="H1404" s="7" t="str">
        <f t="shared" si="127"/>
        <v>17:45:34</v>
      </c>
      <c r="I1404" s="8" t="str">
        <f t="shared" si="128"/>
        <v>Afternoon</v>
      </c>
      <c r="J1404" t="s">
        <v>3757</v>
      </c>
      <c r="K1404" t="s">
        <v>2370</v>
      </c>
      <c r="L1404" s="3">
        <v>0</v>
      </c>
      <c r="M1404" s="3">
        <v>0</v>
      </c>
      <c r="N1404" s="3">
        <v>0</v>
      </c>
      <c r="O1404" s="4">
        <f t="shared" si="129"/>
        <v>0</v>
      </c>
      <c r="P1404" s="5" t="str">
        <f t="shared" si="130"/>
        <v>No engagement</v>
      </c>
      <c r="Q1404" t="b">
        <v>0</v>
      </c>
      <c r="R1404" t="b">
        <v>0</v>
      </c>
      <c r="S1404" t="b">
        <v>0</v>
      </c>
      <c r="T1404" s="24" t="str">
        <f t="shared" si="131"/>
        <v>Text only</v>
      </c>
    </row>
    <row r="1405" spans="1:20" hidden="1" x14ac:dyDescent="0.2">
      <c r="A1405" t="s">
        <v>3751</v>
      </c>
      <c r="B1405" t="s">
        <v>2365</v>
      </c>
      <c r="C1405" t="s">
        <v>2366</v>
      </c>
      <c r="D1405" t="s">
        <v>3752</v>
      </c>
      <c r="E1405" t="s">
        <v>3753</v>
      </c>
      <c r="F1405" t="str">
        <f>IF(Table2[[#This Row],[Date posted]]&lt; DATE(2015,9,18),"Before Crisis","During Crisis")</f>
        <v>During Crisis</v>
      </c>
      <c r="G1405" s="27">
        <f t="shared" si="126"/>
        <v>42298</v>
      </c>
      <c r="H1405" s="7" t="str">
        <f t="shared" si="127"/>
        <v>17:45:35</v>
      </c>
      <c r="I1405" s="8" t="str">
        <f t="shared" si="128"/>
        <v>Afternoon</v>
      </c>
      <c r="J1405" t="s">
        <v>3750</v>
      </c>
      <c r="K1405" t="s">
        <v>2370</v>
      </c>
      <c r="L1405" s="3">
        <v>0</v>
      </c>
      <c r="M1405" s="3">
        <v>0</v>
      </c>
      <c r="N1405" s="3">
        <v>0</v>
      </c>
      <c r="O1405" s="4">
        <f t="shared" si="129"/>
        <v>0</v>
      </c>
      <c r="P1405" s="5" t="str">
        <f t="shared" si="130"/>
        <v>No engagement</v>
      </c>
      <c r="Q1405" t="b">
        <v>0</v>
      </c>
      <c r="R1405" t="b">
        <v>0</v>
      </c>
      <c r="S1405" t="b">
        <v>0</v>
      </c>
      <c r="T1405" s="24" t="str">
        <f t="shared" si="131"/>
        <v>Text only</v>
      </c>
    </row>
    <row r="1406" spans="1:20" hidden="1" x14ac:dyDescent="0.2">
      <c r="A1406" t="s">
        <v>3747</v>
      </c>
      <c r="B1406" t="s">
        <v>2365</v>
      </c>
      <c r="C1406" t="s">
        <v>2366</v>
      </c>
      <c r="D1406" t="s">
        <v>3748</v>
      </c>
      <c r="E1406" t="s">
        <v>3749</v>
      </c>
      <c r="F1406" t="str">
        <f>IF(Table2[[#This Row],[Date posted]]&lt; DATE(2015,9,18),"Before Crisis","During Crisis")</f>
        <v>During Crisis</v>
      </c>
      <c r="G1406" s="27">
        <f t="shared" si="126"/>
        <v>42298</v>
      </c>
      <c r="H1406" s="7" t="str">
        <f t="shared" si="127"/>
        <v>17:45:36</v>
      </c>
      <c r="I1406" s="8" t="str">
        <f t="shared" si="128"/>
        <v>Afternoon</v>
      </c>
      <c r="J1406" t="s">
        <v>3750</v>
      </c>
      <c r="K1406" t="s">
        <v>2370</v>
      </c>
      <c r="L1406" s="3">
        <v>0</v>
      </c>
      <c r="M1406" s="3">
        <v>0</v>
      </c>
      <c r="N1406" s="3">
        <v>0</v>
      </c>
      <c r="O1406" s="4">
        <f t="shared" si="129"/>
        <v>0</v>
      </c>
      <c r="P1406" s="5" t="str">
        <f t="shared" si="130"/>
        <v>No engagement</v>
      </c>
      <c r="Q1406" t="b">
        <v>0</v>
      </c>
      <c r="R1406" t="b">
        <v>0</v>
      </c>
      <c r="S1406" t="b">
        <v>1</v>
      </c>
      <c r="T1406" s="24" t="str">
        <f t="shared" si="131"/>
        <v>Link</v>
      </c>
    </row>
    <row r="1407" spans="1:20" hidden="1" x14ac:dyDescent="0.2">
      <c r="A1407" t="s">
        <v>3744</v>
      </c>
      <c r="B1407" t="s">
        <v>2365</v>
      </c>
      <c r="C1407" t="s">
        <v>2366</v>
      </c>
      <c r="D1407" t="s">
        <v>3745</v>
      </c>
      <c r="E1407" t="s">
        <v>3743</v>
      </c>
      <c r="F1407" t="str">
        <f>IF(Table2[[#This Row],[Date posted]]&lt; DATE(2015,9,18),"Before Crisis","During Crisis")</f>
        <v>During Crisis</v>
      </c>
      <c r="G1407" s="27">
        <f t="shared" si="126"/>
        <v>42298</v>
      </c>
      <c r="H1407" s="7" t="str">
        <f t="shared" si="127"/>
        <v>17:49:02</v>
      </c>
      <c r="I1407" s="8" t="str">
        <f t="shared" si="128"/>
        <v>Afternoon</v>
      </c>
      <c r="J1407" t="s">
        <v>3746</v>
      </c>
      <c r="K1407" t="s">
        <v>2370</v>
      </c>
      <c r="L1407" s="3">
        <v>0</v>
      </c>
      <c r="M1407" s="3">
        <v>0</v>
      </c>
      <c r="N1407" s="3">
        <v>0</v>
      </c>
      <c r="O1407" s="4">
        <f t="shared" si="129"/>
        <v>0</v>
      </c>
      <c r="P1407" s="5" t="str">
        <f t="shared" si="130"/>
        <v>No engagement</v>
      </c>
      <c r="Q1407" t="b">
        <v>0</v>
      </c>
      <c r="R1407" t="b">
        <v>0</v>
      </c>
      <c r="S1407" t="b">
        <v>0</v>
      </c>
      <c r="T1407" s="24" t="str">
        <f t="shared" si="131"/>
        <v>Text only</v>
      </c>
    </row>
    <row r="1408" spans="1:20" hidden="1" x14ac:dyDescent="0.2">
      <c r="A1408" t="s">
        <v>3718</v>
      </c>
      <c r="B1408" t="s">
        <v>2365</v>
      </c>
      <c r="C1408" t="s">
        <v>2366</v>
      </c>
      <c r="D1408" t="s">
        <v>3719</v>
      </c>
      <c r="E1408" t="s">
        <v>3720</v>
      </c>
      <c r="F1408" t="str">
        <f>IF(Table2[[#This Row],[Date posted]]&lt; DATE(2015,9,18),"Before Crisis","During Crisis")</f>
        <v>During Crisis</v>
      </c>
      <c r="G1408" s="27">
        <f t="shared" si="126"/>
        <v>42298</v>
      </c>
      <c r="H1408" s="7" t="str">
        <f t="shared" si="127"/>
        <v>19:07:45</v>
      </c>
      <c r="I1408" s="8" t="str">
        <f t="shared" si="128"/>
        <v>Evening</v>
      </c>
      <c r="J1408" t="s">
        <v>2370</v>
      </c>
      <c r="K1408" t="s">
        <v>2370</v>
      </c>
      <c r="L1408" s="3">
        <v>0</v>
      </c>
      <c r="M1408" s="3">
        <v>0</v>
      </c>
      <c r="N1408" s="3">
        <v>0</v>
      </c>
      <c r="O1408" s="4">
        <f t="shared" si="129"/>
        <v>0</v>
      </c>
      <c r="P1408" s="5" t="str">
        <f t="shared" si="130"/>
        <v>No engagement</v>
      </c>
      <c r="Q1408" t="b">
        <v>0</v>
      </c>
      <c r="R1408" t="b">
        <v>0</v>
      </c>
      <c r="S1408" t="b">
        <v>0</v>
      </c>
      <c r="T1408" s="24" t="str">
        <f t="shared" si="131"/>
        <v>Text only</v>
      </c>
    </row>
    <row r="1409" spans="1:20" hidden="1" x14ac:dyDescent="0.2">
      <c r="A1409" t="s">
        <v>3705</v>
      </c>
      <c r="B1409" t="s">
        <v>2365</v>
      </c>
      <c r="C1409" t="s">
        <v>2366</v>
      </c>
      <c r="D1409" t="s">
        <v>3706</v>
      </c>
      <c r="E1409" t="s">
        <v>3707</v>
      </c>
      <c r="F1409" t="str">
        <f>IF(Table2[[#This Row],[Date posted]]&lt; DATE(2015,9,18),"Before Crisis","During Crisis")</f>
        <v>During Crisis</v>
      </c>
      <c r="G1409" s="27">
        <f t="shared" si="126"/>
        <v>42298</v>
      </c>
      <c r="H1409" s="7" t="str">
        <f t="shared" si="127"/>
        <v>21:47:09</v>
      </c>
      <c r="I1409" s="8" t="str">
        <f t="shared" si="128"/>
        <v>Evening</v>
      </c>
      <c r="J1409" t="s">
        <v>3708</v>
      </c>
      <c r="K1409" t="s">
        <v>2370</v>
      </c>
      <c r="L1409" s="3">
        <v>0</v>
      </c>
      <c r="M1409" s="3">
        <v>0</v>
      </c>
      <c r="N1409" s="3">
        <v>0</v>
      </c>
      <c r="O1409" s="4">
        <f t="shared" si="129"/>
        <v>0</v>
      </c>
      <c r="P1409" s="5" t="str">
        <f t="shared" si="130"/>
        <v>No engagement</v>
      </c>
      <c r="Q1409" t="b">
        <v>0</v>
      </c>
      <c r="R1409" t="b">
        <v>0</v>
      </c>
      <c r="S1409" t="b">
        <v>0</v>
      </c>
      <c r="T1409" s="24" t="str">
        <f t="shared" si="131"/>
        <v>Text only</v>
      </c>
    </row>
    <row r="1410" spans="1:20" hidden="1" x14ac:dyDescent="0.2">
      <c r="A1410" t="s">
        <v>3649</v>
      </c>
      <c r="B1410" t="s">
        <v>2365</v>
      </c>
      <c r="C1410" t="s">
        <v>2366</v>
      </c>
      <c r="D1410" t="s">
        <v>3650</v>
      </c>
      <c r="E1410" t="s">
        <v>3651</v>
      </c>
      <c r="F1410" t="str">
        <f>IF(Table2[[#This Row],[Date posted]]&lt; DATE(2015,9,18),"Before Crisis","During Crisis")</f>
        <v>During Crisis</v>
      </c>
      <c r="G1410" s="27">
        <f t="shared" ref="G1410:G1473" si="132">DATEVALUE(LEFT(E1410,10))</f>
        <v>42300</v>
      </c>
      <c r="H1410" s="7" t="str">
        <f t="shared" ref="H1410:H1473" si="133">MID(E1410,12,8)</f>
        <v>20:03:23</v>
      </c>
      <c r="I1410" s="8" t="str">
        <f t="shared" ref="I1410:I1473" si="134">IF(HOUR(H1410)&lt;7,"Early morning",
IF(HOUR(H1410)&lt;11,"Morning",
IF(HOUR(H1410)&lt;14,"Mid-day",
IF(HOUR(H1410)&lt;18,"Afternoon","Evening"))))</f>
        <v>Evening</v>
      </c>
      <c r="J1410" t="s">
        <v>3652</v>
      </c>
      <c r="K1410" t="s">
        <v>2370</v>
      </c>
      <c r="L1410" s="3">
        <v>0</v>
      </c>
      <c r="M1410" s="3">
        <v>0</v>
      </c>
      <c r="N1410" s="3">
        <v>0</v>
      </c>
      <c r="O1410" s="4">
        <f t="shared" ref="O1410:O1473" si="135">L1410+M1410+N1410</f>
        <v>0</v>
      </c>
      <c r="P1410" s="5" t="str">
        <f t="shared" ref="P1410:P1473" si="136">IF(O1410&lt;1,"No engagement", IF(O1410&lt;5,"Low engagement", IF(O1410&lt;10,"Moderate engagement", "High engagement")))</f>
        <v>No engagement</v>
      </c>
      <c r="Q1410" t="b">
        <v>0</v>
      </c>
      <c r="R1410" t="b">
        <v>0</v>
      </c>
      <c r="S1410" t="b">
        <v>0</v>
      </c>
      <c r="T1410" s="24" t="str">
        <f t="shared" ref="T1410:T1473" si="137">IF(Q1410=TRUE,"Photo",
    IF(R1410=TRUE,"Video",
        IF(S1410=TRUE,"Link","Text only")))</f>
        <v>Text only</v>
      </c>
    </row>
    <row r="1411" spans="1:20" hidden="1" x14ac:dyDescent="0.2">
      <c r="A1411" t="s">
        <v>3635</v>
      </c>
      <c r="B1411" t="s">
        <v>2365</v>
      </c>
      <c r="C1411" t="s">
        <v>2366</v>
      </c>
      <c r="D1411" t="s">
        <v>3636</v>
      </c>
      <c r="E1411" t="s">
        <v>3637</v>
      </c>
      <c r="F1411" t="str">
        <f>IF(Table2[[#This Row],[Date posted]]&lt; DATE(2015,9,18),"Before Crisis","During Crisis")</f>
        <v>During Crisis</v>
      </c>
      <c r="G1411" s="27">
        <f t="shared" si="132"/>
        <v>42303</v>
      </c>
      <c r="H1411" s="7" t="str">
        <f t="shared" si="133"/>
        <v>16:50:11</v>
      </c>
      <c r="I1411" s="8" t="str">
        <f t="shared" si="134"/>
        <v>Afternoon</v>
      </c>
      <c r="J1411" t="s">
        <v>3638</v>
      </c>
      <c r="K1411" t="s">
        <v>2370</v>
      </c>
      <c r="L1411" s="3">
        <v>0</v>
      </c>
      <c r="M1411" s="3">
        <v>0</v>
      </c>
      <c r="N1411" s="3">
        <v>0</v>
      </c>
      <c r="O1411" s="4">
        <f t="shared" si="135"/>
        <v>0</v>
      </c>
      <c r="P1411" s="5" t="str">
        <f t="shared" si="136"/>
        <v>No engagement</v>
      </c>
      <c r="Q1411" t="b">
        <v>0</v>
      </c>
      <c r="R1411" t="b">
        <v>0</v>
      </c>
      <c r="S1411" t="b">
        <v>0</v>
      </c>
      <c r="T1411" s="24" t="str">
        <f t="shared" si="137"/>
        <v>Text only</v>
      </c>
    </row>
    <row r="1412" spans="1:20" hidden="1" x14ac:dyDescent="0.2">
      <c r="A1412" t="s">
        <v>3639</v>
      </c>
      <c r="B1412" t="s">
        <v>2365</v>
      </c>
      <c r="C1412" t="s">
        <v>2366</v>
      </c>
      <c r="D1412" t="s">
        <v>3640</v>
      </c>
      <c r="E1412" t="s">
        <v>3637</v>
      </c>
      <c r="F1412" t="str">
        <f>IF(Table2[[#This Row],[Date posted]]&lt; DATE(2015,9,18),"Before Crisis","During Crisis")</f>
        <v>During Crisis</v>
      </c>
      <c r="G1412" s="27">
        <f t="shared" si="132"/>
        <v>42303</v>
      </c>
      <c r="H1412" s="7" t="str">
        <f t="shared" si="133"/>
        <v>16:50:11</v>
      </c>
      <c r="I1412" s="8" t="str">
        <f t="shared" si="134"/>
        <v>Afternoon</v>
      </c>
      <c r="J1412" t="s">
        <v>3638</v>
      </c>
      <c r="K1412" t="s">
        <v>2370</v>
      </c>
      <c r="L1412" s="3">
        <v>0</v>
      </c>
      <c r="M1412" s="3">
        <v>0</v>
      </c>
      <c r="N1412" s="3">
        <v>0</v>
      </c>
      <c r="O1412" s="4">
        <f t="shared" si="135"/>
        <v>0</v>
      </c>
      <c r="P1412" s="5" t="str">
        <f t="shared" si="136"/>
        <v>No engagement</v>
      </c>
      <c r="Q1412" t="b">
        <v>0</v>
      </c>
      <c r="R1412" t="b">
        <v>0</v>
      </c>
      <c r="S1412" t="b">
        <v>0</v>
      </c>
      <c r="T1412" s="24" t="str">
        <f t="shared" si="137"/>
        <v>Text only</v>
      </c>
    </row>
    <row r="1413" spans="1:20" hidden="1" x14ac:dyDescent="0.2">
      <c r="A1413" t="s">
        <v>3614</v>
      </c>
      <c r="B1413" t="s">
        <v>2365</v>
      </c>
      <c r="C1413" t="s">
        <v>2366</v>
      </c>
      <c r="D1413" t="s">
        <v>3615</v>
      </c>
      <c r="E1413" t="s">
        <v>3616</v>
      </c>
      <c r="F1413" t="str">
        <f>IF(Table2[[#This Row],[Date posted]]&lt; DATE(2015,9,18),"Before Crisis","During Crisis")</f>
        <v>During Crisis</v>
      </c>
      <c r="G1413" s="27">
        <f t="shared" si="132"/>
        <v>42303</v>
      </c>
      <c r="H1413" s="7" t="str">
        <f t="shared" si="133"/>
        <v>22:26:29</v>
      </c>
      <c r="I1413" s="8" t="str">
        <f t="shared" si="134"/>
        <v>Evening</v>
      </c>
      <c r="J1413" t="s">
        <v>3549</v>
      </c>
      <c r="K1413" t="s">
        <v>2370</v>
      </c>
      <c r="L1413" s="3">
        <v>0</v>
      </c>
      <c r="M1413" s="3">
        <v>0</v>
      </c>
      <c r="N1413" s="3">
        <v>0</v>
      </c>
      <c r="O1413" s="4">
        <f t="shared" si="135"/>
        <v>0</v>
      </c>
      <c r="P1413" s="5" t="str">
        <f t="shared" si="136"/>
        <v>No engagement</v>
      </c>
      <c r="Q1413" t="b">
        <v>0</v>
      </c>
      <c r="R1413" t="b">
        <v>0</v>
      </c>
      <c r="S1413" t="b">
        <v>0</v>
      </c>
      <c r="T1413" s="24" t="str">
        <f t="shared" si="137"/>
        <v>Text only</v>
      </c>
    </row>
    <row r="1414" spans="1:20" hidden="1" x14ac:dyDescent="0.2">
      <c r="A1414" t="s">
        <v>3604</v>
      </c>
      <c r="B1414" t="s">
        <v>2365</v>
      </c>
      <c r="C1414" t="s">
        <v>2366</v>
      </c>
      <c r="D1414" t="s">
        <v>3605</v>
      </c>
      <c r="E1414" t="s">
        <v>3606</v>
      </c>
      <c r="F1414" t="str">
        <f>IF(Table2[[#This Row],[Date posted]]&lt; DATE(2015,9,18),"Before Crisis","During Crisis")</f>
        <v>During Crisis</v>
      </c>
      <c r="G1414" s="27">
        <f t="shared" si="132"/>
        <v>42304</v>
      </c>
      <c r="H1414" s="7" t="str">
        <f t="shared" si="133"/>
        <v>16:14:39</v>
      </c>
      <c r="I1414" s="8" t="str">
        <f t="shared" si="134"/>
        <v>Afternoon</v>
      </c>
      <c r="J1414" t="s">
        <v>2370</v>
      </c>
      <c r="K1414" t="s">
        <v>2370</v>
      </c>
      <c r="L1414" s="3">
        <v>0</v>
      </c>
      <c r="M1414" s="3">
        <v>0</v>
      </c>
      <c r="N1414" s="3">
        <v>0</v>
      </c>
      <c r="O1414" s="4">
        <f t="shared" si="135"/>
        <v>0</v>
      </c>
      <c r="P1414" s="5" t="str">
        <f t="shared" si="136"/>
        <v>No engagement</v>
      </c>
      <c r="Q1414" t="b">
        <v>0</v>
      </c>
      <c r="R1414" t="b">
        <v>0</v>
      </c>
      <c r="S1414" t="b">
        <v>0</v>
      </c>
      <c r="T1414" s="24" t="str">
        <f t="shared" si="137"/>
        <v>Text only</v>
      </c>
    </row>
    <row r="1415" spans="1:20" hidden="1" x14ac:dyDescent="0.2">
      <c r="A1415" t="s">
        <v>3600</v>
      </c>
      <c r="B1415" t="s">
        <v>2365</v>
      </c>
      <c r="C1415" t="s">
        <v>2366</v>
      </c>
      <c r="D1415" t="s">
        <v>3601</v>
      </c>
      <c r="E1415" t="s">
        <v>3602</v>
      </c>
      <c r="F1415" t="str">
        <f>IF(Table2[[#This Row],[Date posted]]&lt; DATE(2015,9,18),"Before Crisis","During Crisis")</f>
        <v>During Crisis</v>
      </c>
      <c r="G1415" s="27">
        <f t="shared" si="132"/>
        <v>42304</v>
      </c>
      <c r="H1415" s="7" t="str">
        <f t="shared" si="133"/>
        <v>16:24:56</v>
      </c>
      <c r="I1415" s="8" t="str">
        <f t="shared" si="134"/>
        <v>Afternoon</v>
      </c>
      <c r="J1415" t="s">
        <v>3603</v>
      </c>
      <c r="K1415" t="s">
        <v>2370</v>
      </c>
      <c r="L1415" s="3">
        <v>0</v>
      </c>
      <c r="M1415" s="3">
        <v>0</v>
      </c>
      <c r="N1415" s="3">
        <v>0</v>
      </c>
      <c r="O1415" s="4">
        <f t="shared" si="135"/>
        <v>0</v>
      </c>
      <c r="P1415" s="5" t="str">
        <f t="shared" si="136"/>
        <v>No engagement</v>
      </c>
      <c r="Q1415" t="b">
        <v>0</v>
      </c>
      <c r="R1415" t="b">
        <v>0</v>
      </c>
      <c r="S1415" t="b">
        <v>0</v>
      </c>
      <c r="T1415" s="24" t="str">
        <f t="shared" si="137"/>
        <v>Text only</v>
      </c>
    </row>
    <row r="1416" spans="1:20" hidden="1" x14ac:dyDescent="0.2">
      <c r="A1416" t="s">
        <v>3596</v>
      </c>
      <c r="B1416" t="s">
        <v>2365</v>
      </c>
      <c r="C1416" t="s">
        <v>2366</v>
      </c>
      <c r="D1416" t="s">
        <v>3597</v>
      </c>
      <c r="E1416" t="s">
        <v>3598</v>
      </c>
      <c r="F1416" t="str">
        <f>IF(Table2[[#This Row],[Date posted]]&lt; DATE(2015,9,18),"Before Crisis","During Crisis")</f>
        <v>During Crisis</v>
      </c>
      <c r="G1416" s="27">
        <f t="shared" si="132"/>
        <v>42304</v>
      </c>
      <c r="H1416" s="7" t="str">
        <f t="shared" si="133"/>
        <v>16:35:31</v>
      </c>
      <c r="I1416" s="8" t="str">
        <f t="shared" si="134"/>
        <v>Afternoon</v>
      </c>
      <c r="J1416" t="s">
        <v>3599</v>
      </c>
      <c r="K1416" t="s">
        <v>2370</v>
      </c>
      <c r="L1416" s="3">
        <v>0</v>
      </c>
      <c r="M1416" s="3">
        <v>0</v>
      </c>
      <c r="N1416" s="3">
        <v>0</v>
      </c>
      <c r="O1416" s="4">
        <f t="shared" si="135"/>
        <v>0</v>
      </c>
      <c r="P1416" s="5" t="str">
        <f t="shared" si="136"/>
        <v>No engagement</v>
      </c>
      <c r="Q1416" t="b">
        <v>0</v>
      </c>
      <c r="R1416" t="b">
        <v>0</v>
      </c>
      <c r="S1416" t="b">
        <v>0</v>
      </c>
      <c r="T1416" s="24" t="str">
        <f t="shared" si="137"/>
        <v>Text only</v>
      </c>
    </row>
    <row r="1417" spans="1:20" hidden="1" x14ac:dyDescent="0.2">
      <c r="A1417" t="s">
        <v>3592</v>
      </c>
      <c r="B1417" t="s">
        <v>2365</v>
      </c>
      <c r="C1417" t="s">
        <v>2366</v>
      </c>
      <c r="D1417" t="s">
        <v>3593</v>
      </c>
      <c r="E1417" t="s">
        <v>3594</v>
      </c>
      <c r="F1417" t="str">
        <f>IF(Table2[[#This Row],[Date posted]]&lt; DATE(2015,9,18),"Before Crisis","During Crisis")</f>
        <v>During Crisis</v>
      </c>
      <c r="G1417" s="27">
        <f t="shared" si="132"/>
        <v>42304</v>
      </c>
      <c r="H1417" s="7" t="str">
        <f t="shared" si="133"/>
        <v>16:45:59</v>
      </c>
      <c r="I1417" s="8" t="str">
        <f t="shared" si="134"/>
        <v>Afternoon</v>
      </c>
      <c r="J1417" t="s">
        <v>3595</v>
      </c>
      <c r="K1417" t="s">
        <v>2370</v>
      </c>
      <c r="L1417" s="3">
        <v>0</v>
      </c>
      <c r="M1417" s="3">
        <v>0</v>
      </c>
      <c r="N1417" s="3">
        <v>0</v>
      </c>
      <c r="O1417" s="4">
        <f t="shared" si="135"/>
        <v>0</v>
      </c>
      <c r="P1417" s="5" t="str">
        <f t="shared" si="136"/>
        <v>No engagement</v>
      </c>
      <c r="Q1417" t="b">
        <v>0</v>
      </c>
      <c r="R1417" t="b">
        <v>0</v>
      </c>
      <c r="S1417" t="b">
        <v>0</v>
      </c>
      <c r="T1417" s="24" t="str">
        <f t="shared" si="137"/>
        <v>Text only</v>
      </c>
    </row>
    <row r="1418" spans="1:20" hidden="1" x14ac:dyDescent="0.2">
      <c r="A1418" t="s">
        <v>3589</v>
      </c>
      <c r="B1418" t="s">
        <v>2365</v>
      </c>
      <c r="C1418" t="s">
        <v>2366</v>
      </c>
      <c r="D1418" t="s">
        <v>3590</v>
      </c>
      <c r="E1418" t="s">
        <v>3591</v>
      </c>
      <c r="F1418" t="str">
        <f>IF(Table2[[#This Row],[Date posted]]&lt; DATE(2015,9,18),"Before Crisis","During Crisis")</f>
        <v>During Crisis</v>
      </c>
      <c r="G1418" s="27">
        <f t="shared" si="132"/>
        <v>42304</v>
      </c>
      <c r="H1418" s="7" t="str">
        <f t="shared" si="133"/>
        <v>18:19:41</v>
      </c>
      <c r="I1418" s="8" t="str">
        <f t="shared" si="134"/>
        <v>Evening</v>
      </c>
      <c r="J1418" t="s">
        <v>3588</v>
      </c>
      <c r="K1418" t="s">
        <v>2370</v>
      </c>
      <c r="L1418" s="3">
        <v>0</v>
      </c>
      <c r="M1418">
        <v>1</v>
      </c>
      <c r="N1418" s="3">
        <v>0</v>
      </c>
      <c r="O1418" s="4">
        <f t="shared" si="135"/>
        <v>1</v>
      </c>
      <c r="P1418" s="5" t="str">
        <f t="shared" si="136"/>
        <v>Low engagement</v>
      </c>
      <c r="Q1418" t="b">
        <v>0</v>
      </c>
      <c r="R1418" t="b">
        <v>0</v>
      </c>
      <c r="S1418" t="b">
        <v>0</v>
      </c>
      <c r="T1418" s="24" t="str">
        <f t="shared" si="137"/>
        <v>Text only</v>
      </c>
    </row>
    <row r="1419" spans="1:20" hidden="1" x14ac:dyDescent="0.2">
      <c r="A1419" t="s">
        <v>3585</v>
      </c>
      <c r="B1419" t="s">
        <v>2365</v>
      </c>
      <c r="C1419" t="s">
        <v>2366</v>
      </c>
      <c r="D1419" t="s">
        <v>3586</v>
      </c>
      <c r="E1419" t="s">
        <v>3587</v>
      </c>
      <c r="F1419" t="str">
        <f>IF(Table2[[#This Row],[Date posted]]&lt; DATE(2015,9,18),"Before Crisis","During Crisis")</f>
        <v>During Crisis</v>
      </c>
      <c r="G1419" s="27">
        <f t="shared" si="132"/>
        <v>42304</v>
      </c>
      <c r="H1419" s="7" t="str">
        <f t="shared" si="133"/>
        <v>18:19:42</v>
      </c>
      <c r="I1419" s="8" t="str">
        <f t="shared" si="134"/>
        <v>Evening</v>
      </c>
      <c r="J1419" t="s">
        <v>3588</v>
      </c>
      <c r="K1419" t="s">
        <v>2370</v>
      </c>
      <c r="L1419" s="3">
        <v>0</v>
      </c>
      <c r="M1419">
        <v>1</v>
      </c>
      <c r="N1419" s="3">
        <v>0</v>
      </c>
      <c r="O1419" s="4">
        <f t="shared" si="135"/>
        <v>1</v>
      </c>
      <c r="P1419" s="5" t="str">
        <f t="shared" si="136"/>
        <v>Low engagement</v>
      </c>
      <c r="Q1419" t="b">
        <v>0</v>
      </c>
      <c r="R1419" t="b">
        <v>0</v>
      </c>
      <c r="S1419" t="b">
        <v>0</v>
      </c>
      <c r="T1419" s="24" t="str">
        <f t="shared" si="137"/>
        <v>Text only</v>
      </c>
    </row>
    <row r="1420" spans="1:20" hidden="1" x14ac:dyDescent="0.2">
      <c r="A1420" t="s">
        <v>3578</v>
      </c>
      <c r="B1420" t="s">
        <v>2365</v>
      </c>
      <c r="C1420" t="s">
        <v>2366</v>
      </c>
      <c r="D1420" t="s">
        <v>3579</v>
      </c>
      <c r="E1420" t="s">
        <v>3580</v>
      </c>
      <c r="F1420" t="str">
        <f>IF(Table2[[#This Row],[Date posted]]&lt; DATE(2015,9,18),"Before Crisis","During Crisis")</f>
        <v>During Crisis</v>
      </c>
      <c r="G1420" s="27">
        <f t="shared" si="132"/>
        <v>42304</v>
      </c>
      <c r="H1420" s="7" t="str">
        <f t="shared" si="133"/>
        <v>19:15:07</v>
      </c>
      <c r="I1420" s="8" t="str">
        <f t="shared" si="134"/>
        <v>Evening</v>
      </c>
      <c r="J1420" t="s">
        <v>3581</v>
      </c>
      <c r="K1420" t="s">
        <v>2370</v>
      </c>
      <c r="L1420" s="3">
        <v>0</v>
      </c>
      <c r="M1420">
        <v>5</v>
      </c>
      <c r="N1420" s="3">
        <v>0</v>
      </c>
      <c r="O1420" s="4">
        <f t="shared" si="135"/>
        <v>5</v>
      </c>
      <c r="P1420" s="5" t="str">
        <f t="shared" si="136"/>
        <v>Moderate engagement</v>
      </c>
      <c r="Q1420" t="b">
        <v>0</v>
      </c>
      <c r="R1420" t="b">
        <v>0</v>
      </c>
      <c r="S1420" t="b">
        <v>0</v>
      </c>
      <c r="T1420" s="24" t="str">
        <f t="shared" si="137"/>
        <v>Text only</v>
      </c>
    </row>
    <row r="1421" spans="1:20" hidden="1" x14ac:dyDescent="0.2">
      <c r="A1421" t="s">
        <v>3582</v>
      </c>
      <c r="B1421" t="s">
        <v>2365</v>
      </c>
      <c r="C1421" t="s">
        <v>2366</v>
      </c>
      <c r="D1421" t="s">
        <v>3583</v>
      </c>
      <c r="E1421" t="s">
        <v>3580</v>
      </c>
      <c r="F1421" t="str">
        <f>IF(Table2[[#This Row],[Date posted]]&lt; DATE(2015,9,18),"Before Crisis","During Crisis")</f>
        <v>During Crisis</v>
      </c>
      <c r="G1421" s="27">
        <f t="shared" si="132"/>
        <v>42304</v>
      </c>
      <c r="H1421" s="7" t="str">
        <f t="shared" si="133"/>
        <v>19:15:07</v>
      </c>
      <c r="I1421" s="8" t="str">
        <f t="shared" si="134"/>
        <v>Evening</v>
      </c>
      <c r="J1421" t="s">
        <v>3584</v>
      </c>
      <c r="K1421" t="s">
        <v>2370</v>
      </c>
      <c r="L1421" s="3">
        <v>0</v>
      </c>
      <c r="M1421" s="3">
        <v>0</v>
      </c>
      <c r="N1421" s="3">
        <v>0</v>
      </c>
      <c r="O1421" s="4">
        <f t="shared" si="135"/>
        <v>0</v>
      </c>
      <c r="P1421" s="5" t="str">
        <f t="shared" si="136"/>
        <v>No engagement</v>
      </c>
      <c r="Q1421" t="b">
        <v>0</v>
      </c>
      <c r="R1421" t="b">
        <v>0</v>
      </c>
      <c r="S1421" t="b">
        <v>0</v>
      </c>
      <c r="T1421" s="24" t="str">
        <f t="shared" si="137"/>
        <v>Text only</v>
      </c>
    </row>
    <row r="1422" spans="1:20" hidden="1" x14ac:dyDescent="0.2">
      <c r="A1422" t="s">
        <v>3576</v>
      </c>
      <c r="B1422" t="s">
        <v>2365</v>
      </c>
      <c r="C1422" t="s">
        <v>2366</v>
      </c>
      <c r="D1422" t="s">
        <v>3577</v>
      </c>
      <c r="E1422" t="s">
        <v>3574</v>
      </c>
      <c r="F1422" t="str">
        <f>IF(Table2[[#This Row],[Date posted]]&lt; DATE(2015,9,18),"Before Crisis","During Crisis")</f>
        <v>During Crisis</v>
      </c>
      <c r="G1422" s="27">
        <f t="shared" si="132"/>
        <v>42304</v>
      </c>
      <c r="H1422" s="7" t="str">
        <f t="shared" si="133"/>
        <v>19:15:08</v>
      </c>
      <c r="I1422" s="8" t="str">
        <f t="shared" si="134"/>
        <v>Evening</v>
      </c>
      <c r="J1422" t="s">
        <v>2370</v>
      </c>
      <c r="K1422" t="s">
        <v>2370</v>
      </c>
      <c r="L1422" s="3">
        <v>0</v>
      </c>
      <c r="M1422" s="3">
        <v>0</v>
      </c>
      <c r="N1422" s="3">
        <v>0</v>
      </c>
      <c r="O1422" s="4">
        <f t="shared" si="135"/>
        <v>0</v>
      </c>
      <c r="P1422" s="5" t="str">
        <f t="shared" si="136"/>
        <v>No engagement</v>
      </c>
      <c r="Q1422" t="b">
        <v>0</v>
      </c>
      <c r="R1422" t="b">
        <v>0</v>
      </c>
      <c r="S1422" t="b">
        <v>0</v>
      </c>
      <c r="T1422" s="24" t="str">
        <f t="shared" si="137"/>
        <v>Text only</v>
      </c>
    </row>
    <row r="1423" spans="1:20" hidden="1" x14ac:dyDescent="0.2">
      <c r="A1423" t="s">
        <v>3566</v>
      </c>
      <c r="B1423" t="s">
        <v>2365</v>
      </c>
      <c r="C1423" t="s">
        <v>2366</v>
      </c>
      <c r="D1423" t="s">
        <v>3567</v>
      </c>
      <c r="E1423" t="s">
        <v>3568</v>
      </c>
      <c r="F1423" t="str">
        <f>IF(Table2[[#This Row],[Date posted]]&lt; DATE(2015,9,18),"Before Crisis","During Crisis")</f>
        <v>During Crisis</v>
      </c>
      <c r="G1423" s="27">
        <f t="shared" si="132"/>
        <v>42304</v>
      </c>
      <c r="H1423" s="7" t="str">
        <f t="shared" si="133"/>
        <v>19:22:23</v>
      </c>
      <c r="I1423" s="8" t="str">
        <f t="shared" si="134"/>
        <v>Evening</v>
      </c>
      <c r="J1423" t="s">
        <v>3565</v>
      </c>
      <c r="K1423" t="s">
        <v>2370</v>
      </c>
      <c r="L1423" s="3">
        <v>0</v>
      </c>
      <c r="M1423" s="3">
        <v>0</v>
      </c>
      <c r="N1423" s="3">
        <v>0</v>
      </c>
      <c r="O1423" s="4">
        <f t="shared" si="135"/>
        <v>0</v>
      </c>
      <c r="P1423" s="5" t="str">
        <f t="shared" si="136"/>
        <v>No engagement</v>
      </c>
      <c r="Q1423" t="b">
        <v>0</v>
      </c>
      <c r="R1423" t="b">
        <v>0</v>
      </c>
      <c r="S1423" t="b">
        <v>0</v>
      </c>
      <c r="T1423" s="24" t="str">
        <f t="shared" si="137"/>
        <v>Text only</v>
      </c>
    </row>
    <row r="1424" spans="1:20" hidden="1" x14ac:dyDescent="0.2">
      <c r="A1424" t="s">
        <v>3554</v>
      </c>
      <c r="B1424" t="s">
        <v>2365</v>
      </c>
      <c r="C1424" t="s">
        <v>2366</v>
      </c>
      <c r="D1424" t="s">
        <v>3555</v>
      </c>
      <c r="E1424" t="s">
        <v>3556</v>
      </c>
      <c r="F1424" t="str">
        <f>IF(Table2[[#This Row],[Date posted]]&lt; DATE(2015,9,18),"Before Crisis","During Crisis")</f>
        <v>During Crisis</v>
      </c>
      <c r="G1424" s="27">
        <f t="shared" si="132"/>
        <v>42305</v>
      </c>
      <c r="H1424" s="7" t="str">
        <f t="shared" si="133"/>
        <v>14:44:40</v>
      </c>
      <c r="I1424" s="8" t="str">
        <f t="shared" si="134"/>
        <v>Afternoon</v>
      </c>
      <c r="J1424" t="s">
        <v>3557</v>
      </c>
      <c r="K1424" t="s">
        <v>2370</v>
      </c>
      <c r="L1424" s="3">
        <v>0</v>
      </c>
      <c r="M1424" s="3">
        <v>0</v>
      </c>
      <c r="N1424" s="3">
        <v>0</v>
      </c>
      <c r="O1424" s="4">
        <f t="shared" si="135"/>
        <v>0</v>
      </c>
      <c r="P1424" s="5" t="str">
        <f t="shared" si="136"/>
        <v>No engagement</v>
      </c>
      <c r="Q1424" t="b">
        <v>0</v>
      </c>
      <c r="R1424" t="b">
        <v>0</v>
      </c>
      <c r="S1424" t="b">
        <v>0</v>
      </c>
      <c r="T1424" s="24" t="str">
        <f t="shared" si="137"/>
        <v>Text only</v>
      </c>
    </row>
    <row r="1425" spans="1:20" hidden="1" x14ac:dyDescent="0.2">
      <c r="A1425" t="s">
        <v>3537</v>
      </c>
      <c r="B1425" t="s">
        <v>2365</v>
      </c>
      <c r="C1425" t="s">
        <v>2366</v>
      </c>
      <c r="D1425" t="s">
        <v>3538</v>
      </c>
      <c r="E1425" t="s">
        <v>3539</v>
      </c>
      <c r="F1425" t="str">
        <f>IF(Table2[[#This Row],[Date posted]]&lt; DATE(2015,9,18),"Before Crisis","During Crisis")</f>
        <v>During Crisis</v>
      </c>
      <c r="G1425" s="27">
        <f t="shared" si="132"/>
        <v>42306</v>
      </c>
      <c r="H1425" s="7" t="str">
        <f t="shared" si="133"/>
        <v>14:09:41</v>
      </c>
      <c r="I1425" s="8" t="str">
        <f t="shared" si="134"/>
        <v>Afternoon</v>
      </c>
      <c r="J1425" t="s">
        <v>2370</v>
      </c>
      <c r="K1425" t="s">
        <v>2370</v>
      </c>
      <c r="L1425" s="3">
        <v>0</v>
      </c>
      <c r="M1425" s="3">
        <v>0</v>
      </c>
      <c r="N1425" s="3">
        <v>0</v>
      </c>
      <c r="O1425" s="4">
        <f t="shared" si="135"/>
        <v>0</v>
      </c>
      <c r="P1425" s="5" t="str">
        <f t="shared" si="136"/>
        <v>No engagement</v>
      </c>
      <c r="Q1425" t="b">
        <v>0</v>
      </c>
      <c r="R1425" t="b">
        <v>0</v>
      </c>
      <c r="S1425" t="b">
        <v>0</v>
      </c>
      <c r="T1425" s="24" t="str">
        <f t="shared" si="137"/>
        <v>Text only</v>
      </c>
    </row>
    <row r="1426" spans="1:20" hidden="1" x14ac:dyDescent="0.2">
      <c r="A1426" t="s">
        <v>3496</v>
      </c>
      <c r="B1426" t="s">
        <v>2365</v>
      </c>
      <c r="C1426" t="s">
        <v>2366</v>
      </c>
      <c r="D1426" t="s">
        <v>3497</v>
      </c>
      <c r="E1426" t="s">
        <v>3498</v>
      </c>
      <c r="F1426" t="str">
        <f>IF(Table2[[#This Row],[Date posted]]&lt; DATE(2015,9,18),"Before Crisis","During Crisis")</f>
        <v>During Crisis</v>
      </c>
      <c r="G1426" s="27">
        <f t="shared" si="132"/>
        <v>42307</v>
      </c>
      <c r="H1426" s="7" t="str">
        <f t="shared" si="133"/>
        <v>16:32:44</v>
      </c>
      <c r="I1426" s="8" t="str">
        <f t="shared" si="134"/>
        <v>Afternoon</v>
      </c>
      <c r="J1426" t="s">
        <v>3499</v>
      </c>
      <c r="K1426" t="s">
        <v>2370</v>
      </c>
      <c r="L1426" s="3">
        <v>0</v>
      </c>
      <c r="M1426" s="3">
        <v>0</v>
      </c>
      <c r="N1426" s="3">
        <v>0</v>
      </c>
      <c r="O1426" s="4">
        <f t="shared" si="135"/>
        <v>0</v>
      </c>
      <c r="P1426" s="5" t="str">
        <f t="shared" si="136"/>
        <v>No engagement</v>
      </c>
      <c r="Q1426" t="b">
        <v>0</v>
      </c>
      <c r="R1426" t="b">
        <v>0</v>
      </c>
      <c r="S1426" t="b">
        <v>0</v>
      </c>
      <c r="T1426" s="24" t="str">
        <f t="shared" si="137"/>
        <v>Text only</v>
      </c>
    </row>
    <row r="1427" spans="1:20" hidden="1" x14ac:dyDescent="0.2">
      <c r="A1427" t="s">
        <v>3479</v>
      </c>
      <c r="B1427" t="s">
        <v>2365</v>
      </c>
      <c r="C1427" t="s">
        <v>2366</v>
      </c>
      <c r="D1427" t="s">
        <v>3480</v>
      </c>
      <c r="E1427" t="s">
        <v>3481</v>
      </c>
      <c r="F1427" t="str">
        <f>IF(Table2[[#This Row],[Date posted]]&lt; DATE(2015,9,18),"Before Crisis","During Crisis")</f>
        <v>During Crisis</v>
      </c>
      <c r="G1427" s="27">
        <f t="shared" si="132"/>
        <v>42307</v>
      </c>
      <c r="H1427" s="7" t="str">
        <f t="shared" si="133"/>
        <v>18:02:29</v>
      </c>
      <c r="I1427" s="8" t="str">
        <f t="shared" si="134"/>
        <v>Evening</v>
      </c>
      <c r="J1427" t="s">
        <v>2370</v>
      </c>
      <c r="K1427" t="s">
        <v>2370</v>
      </c>
      <c r="L1427" s="3">
        <v>0</v>
      </c>
      <c r="M1427" s="3">
        <v>0</v>
      </c>
      <c r="N1427" s="3">
        <v>0</v>
      </c>
      <c r="O1427" s="4">
        <f t="shared" si="135"/>
        <v>0</v>
      </c>
      <c r="P1427" s="5" t="str">
        <f t="shared" si="136"/>
        <v>No engagement</v>
      </c>
      <c r="Q1427" t="b">
        <v>0</v>
      </c>
      <c r="R1427" t="b">
        <v>0</v>
      </c>
      <c r="S1427" t="b">
        <v>0</v>
      </c>
      <c r="T1427" s="24" t="str">
        <f t="shared" si="137"/>
        <v>Text only</v>
      </c>
    </row>
    <row r="1428" spans="1:20" hidden="1" x14ac:dyDescent="0.2">
      <c r="A1428" t="s">
        <v>3472</v>
      </c>
      <c r="B1428" t="s">
        <v>2365</v>
      </c>
      <c r="C1428" t="s">
        <v>2366</v>
      </c>
      <c r="D1428" t="s">
        <v>3473</v>
      </c>
      <c r="E1428" t="s">
        <v>3474</v>
      </c>
      <c r="F1428" t="str">
        <f>IF(Table2[[#This Row],[Date posted]]&lt; DATE(2015,9,18),"Before Crisis","During Crisis")</f>
        <v>During Crisis</v>
      </c>
      <c r="G1428" s="27">
        <f t="shared" si="132"/>
        <v>42307</v>
      </c>
      <c r="H1428" s="7" t="str">
        <f t="shared" si="133"/>
        <v>18:13:23</v>
      </c>
      <c r="I1428" s="8" t="str">
        <f t="shared" si="134"/>
        <v>Evening</v>
      </c>
      <c r="J1428" t="s">
        <v>3475</v>
      </c>
      <c r="K1428" t="s">
        <v>2370</v>
      </c>
      <c r="L1428" s="3">
        <v>0</v>
      </c>
      <c r="M1428" s="3">
        <v>0</v>
      </c>
      <c r="N1428" s="3">
        <v>0</v>
      </c>
      <c r="O1428" s="4">
        <f t="shared" si="135"/>
        <v>0</v>
      </c>
      <c r="P1428" s="5" t="str">
        <f t="shared" si="136"/>
        <v>No engagement</v>
      </c>
      <c r="Q1428" t="b">
        <v>0</v>
      </c>
      <c r="R1428" t="b">
        <v>0</v>
      </c>
      <c r="S1428" t="b">
        <v>1</v>
      </c>
      <c r="T1428" s="24" t="str">
        <f t="shared" si="137"/>
        <v>Link</v>
      </c>
    </row>
    <row r="1429" spans="1:20" hidden="1" x14ac:dyDescent="0.2">
      <c r="A1429" t="s">
        <v>3470</v>
      </c>
      <c r="B1429" t="s">
        <v>2365</v>
      </c>
      <c r="C1429" t="s">
        <v>2366</v>
      </c>
      <c r="D1429" t="s">
        <v>3471</v>
      </c>
      <c r="E1429" t="s">
        <v>3469</v>
      </c>
      <c r="F1429" t="str">
        <f>IF(Table2[[#This Row],[Date posted]]&lt; DATE(2015,9,18),"Before Crisis","During Crisis")</f>
        <v>During Crisis</v>
      </c>
      <c r="G1429" s="27">
        <f t="shared" si="132"/>
        <v>42307</v>
      </c>
      <c r="H1429" s="7" t="str">
        <f t="shared" si="133"/>
        <v>18:23:31</v>
      </c>
      <c r="I1429" s="8" t="str">
        <f t="shared" si="134"/>
        <v>Evening</v>
      </c>
      <c r="J1429" t="s">
        <v>2370</v>
      </c>
      <c r="K1429" t="s">
        <v>2370</v>
      </c>
      <c r="L1429" s="3">
        <v>0</v>
      </c>
      <c r="M1429" s="3">
        <v>0</v>
      </c>
      <c r="N1429" s="3">
        <v>0</v>
      </c>
      <c r="O1429" s="4">
        <f t="shared" si="135"/>
        <v>0</v>
      </c>
      <c r="P1429" s="5" t="str">
        <f t="shared" si="136"/>
        <v>No engagement</v>
      </c>
      <c r="Q1429" t="b">
        <v>0</v>
      </c>
      <c r="R1429" t="b">
        <v>0</v>
      </c>
      <c r="S1429" t="b">
        <v>0</v>
      </c>
      <c r="T1429" s="24" t="str">
        <f t="shared" si="137"/>
        <v>Text only</v>
      </c>
    </row>
    <row r="1430" spans="1:20" hidden="1" x14ac:dyDescent="0.2">
      <c r="A1430" t="s">
        <v>3462</v>
      </c>
      <c r="B1430" t="s">
        <v>2365</v>
      </c>
      <c r="C1430" t="s">
        <v>2366</v>
      </c>
      <c r="D1430" t="s">
        <v>3463</v>
      </c>
      <c r="E1430" t="s">
        <v>3464</v>
      </c>
      <c r="F1430" t="str">
        <f>IF(Table2[[#This Row],[Date posted]]&lt; DATE(2015,9,18),"Before Crisis","During Crisis")</f>
        <v>During Crisis</v>
      </c>
      <c r="G1430" s="27">
        <f t="shared" si="132"/>
        <v>42307</v>
      </c>
      <c r="H1430" s="7" t="str">
        <f t="shared" si="133"/>
        <v>18:58:19</v>
      </c>
      <c r="I1430" s="8" t="str">
        <f t="shared" si="134"/>
        <v>Evening</v>
      </c>
      <c r="J1430" t="s">
        <v>2370</v>
      </c>
      <c r="K1430" t="s">
        <v>2370</v>
      </c>
      <c r="L1430" s="3">
        <v>0</v>
      </c>
      <c r="M1430" s="3">
        <v>0</v>
      </c>
      <c r="N1430" s="3">
        <v>0</v>
      </c>
      <c r="O1430" s="4">
        <f t="shared" si="135"/>
        <v>0</v>
      </c>
      <c r="P1430" s="5" t="str">
        <f t="shared" si="136"/>
        <v>No engagement</v>
      </c>
      <c r="Q1430" t="b">
        <v>0</v>
      </c>
      <c r="R1430" t="b">
        <v>0</v>
      </c>
      <c r="S1430" t="b">
        <v>0</v>
      </c>
      <c r="T1430" s="24" t="str">
        <f t="shared" si="137"/>
        <v>Text only</v>
      </c>
    </row>
    <row r="1431" spans="1:20" hidden="1" x14ac:dyDescent="0.2">
      <c r="A1431" t="s">
        <v>3465</v>
      </c>
      <c r="B1431" t="s">
        <v>2365</v>
      </c>
      <c r="C1431" t="s">
        <v>2366</v>
      </c>
      <c r="D1431" t="s">
        <v>3466</v>
      </c>
      <c r="E1431" t="s">
        <v>3464</v>
      </c>
      <c r="F1431" t="str">
        <f>IF(Table2[[#This Row],[Date posted]]&lt; DATE(2015,9,18),"Before Crisis","During Crisis")</f>
        <v>During Crisis</v>
      </c>
      <c r="G1431" s="27">
        <f t="shared" si="132"/>
        <v>42307</v>
      </c>
      <c r="H1431" s="7" t="str">
        <f t="shared" si="133"/>
        <v>18:58:19</v>
      </c>
      <c r="I1431" s="8" t="str">
        <f t="shared" si="134"/>
        <v>Evening</v>
      </c>
      <c r="J1431" t="s">
        <v>2370</v>
      </c>
      <c r="K1431" t="s">
        <v>2370</v>
      </c>
      <c r="L1431" s="3">
        <v>0</v>
      </c>
      <c r="M1431" s="3">
        <v>0</v>
      </c>
      <c r="N1431" s="3">
        <v>0</v>
      </c>
      <c r="O1431" s="4">
        <f t="shared" si="135"/>
        <v>0</v>
      </c>
      <c r="P1431" s="5" t="str">
        <f t="shared" si="136"/>
        <v>No engagement</v>
      </c>
      <c r="Q1431" t="b">
        <v>0</v>
      </c>
      <c r="R1431" t="b">
        <v>0</v>
      </c>
      <c r="S1431" t="b">
        <v>0</v>
      </c>
      <c r="T1431" s="24" t="str">
        <f t="shared" si="137"/>
        <v>Text only</v>
      </c>
    </row>
    <row r="1432" spans="1:20" hidden="1" x14ac:dyDescent="0.2">
      <c r="A1432" t="s">
        <v>3449</v>
      </c>
      <c r="B1432" t="s">
        <v>2365</v>
      </c>
      <c r="C1432" t="s">
        <v>2366</v>
      </c>
      <c r="D1432" t="s">
        <v>3450</v>
      </c>
      <c r="E1432" t="s">
        <v>3451</v>
      </c>
      <c r="F1432" t="str">
        <f>IF(Table2[[#This Row],[Date posted]]&lt; DATE(2015,9,18),"Before Crisis","During Crisis")</f>
        <v>During Crisis</v>
      </c>
      <c r="G1432" s="27">
        <f t="shared" si="132"/>
        <v>42307</v>
      </c>
      <c r="H1432" s="7" t="str">
        <f t="shared" si="133"/>
        <v>19:18:40</v>
      </c>
      <c r="I1432" s="8" t="str">
        <f t="shared" si="134"/>
        <v>Evening</v>
      </c>
      <c r="J1432" t="s">
        <v>3452</v>
      </c>
      <c r="K1432" t="s">
        <v>2370</v>
      </c>
      <c r="L1432">
        <v>1</v>
      </c>
      <c r="M1432" s="3">
        <v>0</v>
      </c>
      <c r="N1432" s="3">
        <v>0</v>
      </c>
      <c r="O1432" s="4">
        <f t="shared" si="135"/>
        <v>1</v>
      </c>
      <c r="P1432" s="5" t="str">
        <f t="shared" si="136"/>
        <v>Low engagement</v>
      </c>
      <c r="Q1432" t="b">
        <v>0</v>
      </c>
      <c r="R1432" t="b">
        <v>0</v>
      </c>
      <c r="S1432" t="b">
        <v>0</v>
      </c>
      <c r="T1432" s="24" t="str">
        <f t="shared" si="137"/>
        <v>Text only</v>
      </c>
    </row>
    <row r="1433" spans="1:20" hidden="1" x14ac:dyDescent="0.2">
      <c r="A1433" t="s">
        <v>3441</v>
      </c>
      <c r="B1433" t="s">
        <v>2365</v>
      </c>
      <c r="C1433" t="s">
        <v>2366</v>
      </c>
      <c r="D1433" t="s">
        <v>3442</v>
      </c>
      <c r="E1433" t="s">
        <v>3443</v>
      </c>
      <c r="F1433" t="str">
        <f>IF(Table2[[#This Row],[Date posted]]&lt; DATE(2015,9,18),"Before Crisis","During Crisis")</f>
        <v>During Crisis</v>
      </c>
      <c r="G1433" s="27">
        <f t="shared" si="132"/>
        <v>42309</v>
      </c>
      <c r="H1433" s="7" t="str">
        <f t="shared" si="133"/>
        <v>20:47:43</v>
      </c>
      <c r="I1433" s="8" t="str">
        <f t="shared" si="134"/>
        <v>Evening</v>
      </c>
      <c r="J1433" t="s">
        <v>3444</v>
      </c>
      <c r="K1433" t="s">
        <v>2370</v>
      </c>
      <c r="L1433" s="3">
        <v>0</v>
      </c>
      <c r="M1433" s="3">
        <v>0</v>
      </c>
      <c r="N1433" s="3">
        <v>0</v>
      </c>
      <c r="O1433" s="4">
        <f t="shared" si="135"/>
        <v>0</v>
      </c>
      <c r="P1433" s="5" t="str">
        <f t="shared" si="136"/>
        <v>No engagement</v>
      </c>
      <c r="Q1433" t="b">
        <v>0</v>
      </c>
      <c r="R1433" t="b">
        <v>0</v>
      </c>
      <c r="S1433" t="b">
        <v>0</v>
      </c>
      <c r="T1433" s="24" t="str">
        <f t="shared" si="137"/>
        <v>Text only</v>
      </c>
    </row>
    <row r="1434" spans="1:20" hidden="1" x14ac:dyDescent="0.2">
      <c r="A1434" t="s">
        <v>3423</v>
      </c>
      <c r="B1434" t="s">
        <v>2365</v>
      </c>
      <c r="C1434" t="s">
        <v>2366</v>
      </c>
      <c r="D1434" t="s">
        <v>3424</v>
      </c>
      <c r="E1434" t="s">
        <v>3425</v>
      </c>
      <c r="F1434" t="str">
        <f>IF(Table2[[#This Row],[Date posted]]&lt; DATE(2015,9,18),"Before Crisis","During Crisis")</f>
        <v>During Crisis</v>
      </c>
      <c r="G1434" s="27">
        <f t="shared" si="132"/>
        <v>42310</v>
      </c>
      <c r="H1434" s="7" t="str">
        <f t="shared" si="133"/>
        <v>18:49:46</v>
      </c>
      <c r="I1434" s="8" t="str">
        <f t="shared" si="134"/>
        <v>Evening</v>
      </c>
      <c r="J1434" t="s">
        <v>3422</v>
      </c>
      <c r="K1434" t="s">
        <v>2370</v>
      </c>
      <c r="L1434" s="3">
        <v>0</v>
      </c>
      <c r="M1434" s="3">
        <v>0</v>
      </c>
      <c r="N1434" s="3">
        <v>0</v>
      </c>
      <c r="O1434" s="4">
        <f t="shared" si="135"/>
        <v>0</v>
      </c>
      <c r="P1434" s="5" t="str">
        <f t="shared" si="136"/>
        <v>No engagement</v>
      </c>
      <c r="Q1434" t="b">
        <v>0</v>
      </c>
      <c r="R1434" t="b">
        <v>0</v>
      </c>
      <c r="S1434" t="b">
        <v>0</v>
      </c>
      <c r="T1434" s="24" t="str">
        <f t="shared" si="137"/>
        <v>Text only</v>
      </c>
    </row>
    <row r="1435" spans="1:20" hidden="1" x14ac:dyDescent="0.2">
      <c r="A1435" t="s">
        <v>3426</v>
      </c>
      <c r="B1435" t="s">
        <v>2365</v>
      </c>
      <c r="C1435" t="s">
        <v>2366</v>
      </c>
      <c r="D1435" t="s">
        <v>3427</v>
      </c>
      <c r="E1435" t="s">
        <v>3425</v>
      </c>
      <c r="F1435" t="str">
        <f>IF(Table2[[#This Row],[Date posted]]&lt; DATE(2015,9,18),"Before Crisis","During Crisis")</f>
        <v>During Crisis</v>
      </c>
      <c r="G1435" s="27">
        <f t="shared" si="132"/>
        <v>42310</v>
      </c>
      <c r="H1435" s="7" t="str">
        <f t="shared" si="133"/>
        <v>18:49:46</v>
      </c>
      <c r="I1435" s="8" t="str">
        <f t="shared" si="134"/>
        <v>Evening</v>
      </c>
      <c r="J1435" t="s">
        <v>3428</v>
      </c>
      <c r="K1435" t="s">
        <v>2370</v>
      </c>
      <c r="L1435" s="3">
        <v>0</v>
      </c>
      <c r="M1435" s="3">
        <v>0</v>
      </c>
      <c r="N1435" s="3">
        <v>0</v>
      </c>
      <c r="O1435" s="4">
        <f t="shared" si="135"/>
        <v>0</v>
      </c>
      <c r="P1435" s="5" t="str">
        <f t="shared" si="136"/>
        <v>No engagement</v>
      </c>
      <c r="Q1435" t="b">
        <v>0</v>
      </c>
      <c r="R1435" t="b">
        <v>0</v>
      </c>
      <c r="S1435" t="b">
        <v>0</v>
      </c>
      <c r="T1435" s="24" t="str">
        <f t="shared" si="137"/>
        <v>Text only</v>
      </c>
    </row>
    <row r="1436" spans="1:20" hidden="1" x14ac:dyDescent="0.2">
      <c r="A1436" t="s">
        <v>3404</v>
      </c>
      <c r="B1436" t="s">
        <v>2365</v>
      </c>
      <c r="C1436" t="s">
        <v>2366</v>
      </c>
      <c r="D1436" t="s">
        <v>3405</v>
      </c>
      <c r="E1436" t="s">
        <v>3406</v>
      </c>
      <c r="F1436" t="str">
        <f>IF(Table2[[#This Row],[Date posted]]&lt; DATE(2015,9,18),"Before Crisis","During Crisis")</f>
        <v>During Crisis</v>
      </c>
      <c r="G1436" s="27">
        <f t="shared" si="132"/>
        <v>42310</v>
      </c>
      <c r="H1436" s="7" t="str">
        <f t="shared" si="133"/>
        <v>20:00:00</v>
      </c>
      <c r="I1436" s="8" t="str">
        <f t="shared" si="134"/>
        <v>Evening</v>
      </c>
      <c r="J1436" t="s">
        <v>3407</v>
      </c>
      <c r="K1436" t="s">
        <v>2370</v>
      </c>
      <c r="L1436" s="3">
        <v>0</v>
      </c>
      <c r="M1436" s="3">
        <v>0</v>
      </c>
      <c r="N1436" s="3">
        <v>0</v>
      </c>
      <c r="O1436" s="4">
        <f t="shared" si="135"/>
        <v>0</v>
      </c>
      <c r="P1436" s="5" t="str">
        <f t="shared" si="136"/>
        <v>No engagement</v>
      </c>
      <c r="Q1436" t="b">
        <v>0</v>
      </c>
      <c r="R1436" t="b">
        <v>0</v>
      </c>
      <c r="S1436" t="b">
        <v>0</v>
      </c>
      <c r="T1436" s="24" t="str">
        <f t="shared" si="137"/>
        <v>Text only</v>
      </c>
    </row>
    <row r="1437" spans="1:20" hidden="1" x14ac:dyDescent="0.2">
      <c r="A1437" t="s">
        <v>3410</v>
      </c>
      <c r="B1437" t="s">
        <v>2365</v>
      </c>
      <c r="C1437" t="s">
        <v>2366</v>
      </c>
      <c r="D1437" t="s">
        <v>3411</v>
      </c>
      <c r="E1437" t="s">
        <v>3406</v>
      </c>
      <c r="F1437" t="str">
        <f>IF(Table2[[#This Row],[Date posted]]&lt; DATE(2015,9,18),"Before Crisis","During Crisis")</f>
        <v>During Crisis</v>
      </c>
      <c r="G1437" s="27">
        <f t="shared" si="132"/>
        <v>42310</v>
      </c>
      <c r="H1437" s="7" t="str">
        <f t="shared" si="133"/>
        <v>20:00:00</v>
      </c>
      <c r="I1437" s="8" t="str">
        <f t="shared" si="134"/>
        <v>Evening</v>
      </c>
      <c r="J1437" t="s">
        <v>3403</v>
      </c>
      <c r="K1437" t="s">
        <v>2370</v>
      </c>
      <c r="L1437" s="3">
        <v>0</v>
      </c>
      <c r="M1437" s="3">
        <v>0</v>
      </c>
      <c r="N1437" s="3">
        <v>0</v>
      </c>
      <c r="O1437" s="4">
        <f t="shared" si="135"/>
        <v>0</v>
      </c>
      <c r="P1437" s="5" t="str">
        <f t="shared" si="136"/>
        <v>No engagement</v>
      </c>
      <c r="Q1437" t="b">
        <v>0</v>
      </c>
      <c r="R1437" t="b">
        <v>0</v>
      </c>
      <c r="S1437" t="b">
        <v>0</v>
      </c>
      <c r="T1437" s="24" t="str">
        <f t="shared" si="137"/>
        <v>Text only</v>
      </c>
    </row>
    <row r="1438" spans="1:20" hidden="1" x14ac:dyDescent="0.2">
      <c r="A1438" t="s">
        <v>3398</v>
      </c>
      <c r="B1438" t="s">
        <v>2365</v>
      </c>
      <c r="C1438" t="s">
        <v>2366</v>
      </c>
      <c r="D1438" t="s">
        <v>3399</v>
      </c>
      <c r="E1438" t="s">
        <v>3396</v>
      </c>
      <c r="F1438" t="str">
        <f>IF(Table2[[#This Row],[Date posted]]&lt; DATE(2015,9,18),"Before Crisis","During Crisis")</f>
        <v>During Crisis</v>
      </c>
      <c r="G1438" s="27">
        <f t="shared" si="132"/>
        <v>42311</v>
      </c>
      <c r="H1438" s="7" t="str">
        <f t="shared" si="133"/>
        <v>16:25:11</v>
      </c>
      <c r="I1438" s="8" t="str">
        <f t="shared" si="134"/>
        <v>Afternoon</v>
      </c>
      <c r="J1438" t="s">
        <v>3397</v>
      </c>
      <c r="K1438" t="s">
        <v>2370</v>
      </c>
      <c r="L1438" s="3">
        <v>0</v>
      </c>
      <c r="M1438" s="3">
        <v>0</v>
      </c>
      <c r="N1438" s="3">
        <v>0</v>
      </c>
      <c r="O1438" s="4">
        <f t="shared" si="135"/>
        <v>0</v>
      </c>
      <c r="P1438" s="5" t="str">
        <f t="shared" si="136"/>
        <v>No engagement</v>
      </c>
      <c r="Q1438" t="b">
        <v>0</v>
      </c>
      <c r="R1438" t="b">
        <v>0</v>
      </c>
      <c r="S1438" t="b">
        <v>0</v>
      </c>
      <c r="T1438" s="24" t="str">
        <f t="shared" si="137"/>
        <v>Text only</v>
      </c>
    </row>
    <row r="1439" spans="1:20" hidden="1" x14ac:dyDescent="0.2">
      <c r="A1439" t="s">
        <v>3355</v>
      </c>
      <c r="B1439" t="s">
        <v>2365</v>
      </c>
      <c r="C1439" t="s">
        <v>2366</v>
      </c>
      <c r="D1439" t="s">
        <v>3356</v>
      </c>
      <c r="E1439" t="s">
        <v>3357</v>
      </c>
      <c r="F1439" t="str">
        <f>IF(Table2[[#This Row],[Date posted]]&lt; DATE(2015,9,18),"Before Crisis","During Crisis")</f>
        <v>During Crisis</v>
      </c>
      <c r="G1439" s="27">
        <f t="shared" si="132"/>
        <v>42312</v>
      </c>
      <c r="H1439" s="7" t="str">
        <f t="shared" si="133"/>
        <v>17:56:11</v>
      </c>
      <c r="I1439" s="8" t="str">
        <f t="shared" si="134"/>
        <v>Afternoon</v>
      </c>
      <c r="J1439" t="s">
        <v>3358</v>
      </c>
      <c r="K1439" t="s">
        <v>2370</v>
      </c>
      <c r="L1439" s="3">
        <v>0</v>
      </c>
      <c r="M1439">
        <v>2</v>
      </c>
      <c r="N1439" s="3">
        <v>0</v>
      </c>
      <c r="O1439" s="4">
        <f t="shared" si="135"/>
        <v>2</v>
      </c>
      <c r="P1439" s="5" t="str">
        <f t="shared" si="136"/>
        <v>Low engagement</v>
      </c>
      <c r="Q1439" t="b">
        <v>0</v>
      </c>
      <c r="R1439" t="b">
        <v>0</v>
      </c>
      <c r="S1439" t="b">
        <v>0</v>
      </c>
      <c r="T1439" s="24" t="str">
        <f t="shared" si="137"/>
        <v>Text only</v>
      </c>
    </row>
    <row r="1440" spans="1:20" hidden="1" x14ac:dyDescent="0.2">
      <c r="A1440" t="s">
        <v>3349</v>
      </c>
      <c r="B1440" t="s">
        <v>2365</v>
      </c>
      <c r="C1440" t="s">
        <v>2366</v>
      </c>
      <c r="D1440" t="s">
        <v>3350</v>
      </c>
      <c r="E1440" t="s">
        <v>3348</v>
      </c>
      <c r="F1440" t="str">
        <f>IF(Table2[[#This Row],[Date posted]]&lt; DATE(2015,9,18),"Before Crisis","During Crisis")</f>
        <v>During Crisis</v>
      </c>
      <c r="G1440" s="27">
        <f t="shared" si="132"/>
        <v>42313</v>
      </c>
      <c r="H1440" s="7" t="str">
        <f t="shared" si="133"/>
        <v>20:33:33</v>
      </c>
      <c r="I1440" s="8" t="str">
        <f t="shared" si="134"/>
        <v>Evening</v>
      </c>
      <c r="J1440" t="s">
        <v>2370</v>
      </c>
      <c r="K1440" t="s">
        <v>2370</v>
      </c>
      <c r="L1440" s="3">
        <v>0</v>
      </c>
      <c r="M1440" s="3">
        <v>0</v>
      </c>
      <c r="N1440" s="3">
        <v>0</v>
      </c>
      <c r="O1440" s="4">
        <f t="shared" si="135"/>
        <v>0</v>
      </c>
      <c r="P1440" s="5" t="str">
        <f t="shared" si="136"/>
        <v>No engagement</v>
      </c>
      <c r="Q1440" t="b">
        <v>0</v>
      </c>
      <c r="R1440" t="b">
        <v>0</v>
      </c>
      <c r="S1440" t="b">
        <v>0</v>
      </c>
      <c r="T1440" s="24" t="str">
        <f t="shared" si="137"/>
        <v>Text only</v>
      </c>
    </row>
    <row r="1441" spans="1:20" hidden="1" x14ac:dyDescent="0.2">
      <c r="A1441" t="s">
        <v>3287</v>
      </c>
      <c r="B1441" t="s">
        <v>2365</v>
      </c>
      <c r="C1441" t="s">
        <v>2366</v>
      </c>
      <c r="D1441" t="s">
        <v>3288</v>
      </c>
      <c r="E1441" t="s">
        <v>3289</v>
      </c>
      <c r="F1441" t="str">
        <f>IF(Table2[[#This Row],[Date posted]]&lt; DATE(2015,9,18),"Before Crisis","During Crisis")</f>
        <v>During Crisis</v>
      </c>
      <c r="G1441" s="27">
        <f t="shared" si="132"/>
        <v>42318</v>
      </c>
      <c r="H1441" s="7" t="str">
        <f t="shared" si="133"/>
        <v>18:20:18</v>
      </c>
      <c r="I1441" s="8" t="str">
        <f t="shared" si="134"/>
        <v>Evening</v>
      </c>
      <c r="J1441" t="s">
        <v>2370</v>
      </c>
      <c r="K1441" t="s">
        <v>2370</v>
      </c>
      <c r="L1441" s="3">
        <v>0</v>
      </c>
      <c r="M1441" s="3">
        <v>0</v>
      </c>
      <c r="N1441" s="3">
        <v>0</v>
      </c>
      <c r="O1441" s="4">
        <f t="shared" si="135"/>
        <v>0</v>
      </c>
      <c r="P1441" s="5" t="str">
        <f t="shared" si="136"/>
        <v>No engagement</v>
      </c>
      <c r="Q1441" t="b">
        <v>0</v>
      </c>
      <c r="R1441" t="b">
        <v>0</v>
      </c>
      <c r="S1441" t="b">
        <v>0</v>
      </c>
      <c r="T1441" s="24" t="str">
        <f t="shared" si="137"/>
        <v>Text only</v>
      </c>
    </row>
    <row r="1442" spans="1:20" hidden="1" x14ac:dyDescent="0.2">
      <c r="A1442" t="s">
        <v>3280</v>
      </c>
      <c r="B1442" t="s">
        <v>2365</v>
      </c>
      <c r="C1442" t="s">
        <v>2366</v>
      </c>
      <c r="D1442" t="s">
        <v>3281</v>
      </c>
      <c r="E1442" t="s">
        <v>3282</v>
      </c>
      <c r="F1442" t="str">
        <f>IF(Table2[[#This Row],[Date posted]]&lt; DATE(2015,9,18),"Before Crisis","During Crisis")</f>
        <v>During Crisis</v>
      </c>
      <c r="G1442" s="27">
        <f t="shared" si="132"/>
        <v>42318</v>
      </c>
      <c r="H1442" s="7" t="str">
        <f t="shared" si="133"/>
        <v>22:48:36</v>
      </c>
      <c r="I1442" s="8" t="str">
        <f t="shared" si="134"/>
        <v>Evening</v>
      </c>
      <c r="J1442" t="s">
        <v>2370</v>
      </c>
      <c r="K1442" t="s">
        <v>2370</v>
      </c>
      <c r="L1442" s="3">
        <v>0</v>
      </c>
      <c r="M1442" s="3">
        <v>0</v>
      </c>
      <c r="N1442" s="3">
        <v>0</v>
      </c>
      <c r="O1442" s="4">
        <f t="shared" si="135"/>
        <v>0</v>
      </c>
      <c r="P1442" s="5" t="str">
        <f t="shared" si="136"/>
        <v>No engagement</v>
      </c>
      <c r="Q1442" t="b">
        <v>0</v>
      </c>
      <c r="R1442" t="b">
        <v>0</v>
      </c>
      <c r="S1442" t="b">
        <v>0</v>
      </c>
      <c r="T1442" s="24" t="str">
        <f t="shared" si="137"/>
        <v>Text only</v>
      </c>
    </row>
    <row r="1443" spans="1:20" hidden="1" x14ac:dyDescent="0.2">
      <c r="A1443" t="s">
        <v>3277</v>
      </c>
      <c r="B1443" t="s">
        <v>2365</v>
      </c>
      <c r="C1443" t="s">
        <v>2366</v>
      </c>
      <c r="D1443" t="s">
        <v>3278</v>
      </c>
      <c r="E1443" t="s">
        <v>3279</v>
      </c>
      <c r="F1443" t="str">
        <f>IF(Table2[[#This Row],[Date posted]]&lt; DATE(2015,9,18),"Before Crisis","During Crisis")</f>
        <v>During Crisis</v>
      </c>
      <c r="G1443" s="27">
        <f t="shared" si="132"/>
        <v>42318</v>
      </c>
      <c r="H1443" s="7" t="str">
        <f t="shared" si="133"/>
        <v>22:48:37</v>
      </c>
      <c r="I1443" s="8" t="str">
        <f t="shared" si="134"/>
        <v>Evening</v>
      </c>
      <c r="J1443" t="s">
        <v>2370</v>
      </c>
      <c r="K1443" t="s">
        <v>2370</v>
      </c>
      <c r="L1443" s="3">
        <v>0</v>
      </c>
      <c r="M1443" s="3">
        <v>0</v>
      </c>
      <c r="N1443" s="3">
        <v>0</v>
      </c>
      <c r="O1443" s="4">
        <f t="shared" si="135"/>
        <v>0</v>
      </c>
      <c r="P1443" s="5" t="str">
        <f t="shared" si="136"/>
        <v>No engagement</v>
      </c>
      <c r="Q1443" t="b">
        <v>0</v>
      </c>
      <c r="R1443" t="b">
        <v>0</v>
      </c>
      <c r="S1443" t="b">
        <v>0</v>
      </c>
      <c r="T1443" s="24" t="str">
        <f t="shared" si="137"/>
        <v>Text only</v>
      </c>
    </row>
    <row r="1444" spans="1:20" hidden="1" x14ac:dyDescent="0.2">
      <c r="A1444" t="s">
        <v>3263</v>
      </c>
      <c r="B1444" t="s">
        <v>2365</v>
      </c>
      <c r="C1444" t="s">
        <v>2366</v>
      </c>
      <c r="D1444" t="s">
        <v>3264</v>
      </c>
      <c r="E1444" t="s">
        <v>3261</v>
      </c>
      <c r="F1444" t="str">
        <f>IF(Table2[[#This Row],[Date posted]]&lt; DATE(2015,9,18),"Before Crisis","During Crisis")</f>
        <v>During Crisis</v>
      </c>
      <c r="G1444" s="27">
        <f t="shared" si="132"/>
        <v>42319</v>
      </c>
      <c r="H1444" s="7" t="str">
        <f t="shared" si="133"/>
        <v>16:22:40</v>
      </c>
      <c r="I1444" s="8" t="str">
        <f t="shared" si="134"/>
        <v>Afternoon</v>
      </c>
      <c r="J1444" t="s">
        <v>2370</v>
      </c>
      <c r="K1444" t="s">
        <v>2370</v>
      </c>
      <c r="L1444" s="3">
        <v>0</v>
      </c>
      <c r="M1444" s="3">
        <v>0</v>
      </c>
      <c r="N1444" s="3">
        <v>0</v>
      </c>
      <c r="O1444" s="4">
        <f t="shared" si="135"/>
        <v>0</v>
      </c>
      <c r="P1444" s="5" t="str">
        <f t="shared" si="136"/>
        <v>No engagement</v>
      </c>
      <c r="Q1444" t="b">
        <v>0</v>
      </c>
      <c r="R1444" t="b">
        <v>0</v>
      </c>
      <c r="S1444" t="b">
        <v>0</v>
      </c>
      <c r="T1444" s="24" t="str">
        <f t="shared" si="137"/>
        <v>Text only</v>
      </c>
    </row>
    <row r="1445" spans="1:20" hidden="1" x14ac:dyDescent="0.2">
      <c r="A1445" t="s">
        <v>3231</v>
      </c>
      <c r="B1445" t="s">
        <v>2365</v>
      </c>
      <c r="C1445" t="s">
        <v>2366</v>
      </c>
      <c r="D1445" t="s">
        <v>3232</v>
      </c>
      <c r="E1445" t="s">
        <v>3233</v>
      </c>
      <c r="F1445" t="str">
        <f>IF(Table2[[#This Row],[Date posted]]&lt; DATE(2015,9,18),"Before Crisis","During Crisis")</f>
        <v>During Crisis</v>
      </c>
      <c r="G1445" s="27">
        <f t="shared" si="132"/>
        <v>42320</v>
      </c>
      <c r="H1445" s="7" t="str">
        <f t="shared" si="133"/>
        <v>16:38:31</v>
      </c>
      <c r="I1445" s="8" t="str">
        <f t="shared" si="134"/>
        <v>Afternoon</v>
      </c>
      <c r="J1445" t="s">
        <v>3234</v>
      </c>
      <c r="K1445" t="s">
        <v>2370</v>
      </c>
      <c r="L1445" s="3">
        <v>0</v>
      </c>
      <c r="M1445" s="3">
        <v>0</v>
      </c>
      <c r="N1445" s="3">
        <v>0</v>
      </c>
      <c r="O1445" s="4">
        <f t="shared" si="135"/>
        <v>0</v>
      </c>
      <c r="P1445" s="5" t="str">
        <f t="shared" si="136"/>
        <v>No engagement</v>
      </c>
      <c r="Q1445" t="b">
        <v>0</v>
      </c>
      <c r="R1445" t="b">
        <v>0</v>
      </c>
      <c r="S1445" t="b">
        <v>0</v>
      </c>
      <c r="T1445" s="24" t="str">
        <f t="shared" si="137"/>
        <v>Text only</v>
      </c>
    </row>
    <row r="1446" spans="1:20" hidden="1" x14ac:dyDescent="0.2">
      <c r="A1446" t="s">
        <v>3229</v>
      </c>
      <c r="B1446" t="s">
        <v>2365</v>
      </c>
      <c r="C1446" t="s">
        <v>2366</v>
      </c>
      <c r="D1446" t="s">
        <v>3230</v>
      </c>
      <c r="E1446" t="s">
        <v>3227</v>
      </c>
      <c r="F1446" t="str">
        <f>IF(Table2[[#This Row],[Date posted]]&lt; DATE(2015,9,18),"Before Crisis","During Crisis")</f>
        <v>During Crisis</v>
      </c>
      <c r="G1446" s="27">
        <f t="shared" si="132"/>
        <v>42320</v>
      </c>
      <c r="H1446" s="7" t="str">
        <f t="shared" si="133"/>
        <v>20:46:52</v>
      </c>
      <c r="I1446" s="8" t="str">
        <f t="shared" si="134"/>
        <v>Evening</v>
      </c>
      <c r="J1446" t="s">
        <v>3228</v>
      </c>
      <c r="K1446" t="s">
        <v>2370</v>
      </c>
      <c r="L1446" s="3">
        <v>0</v>
      </c>
      <c r="M1446" s="3">
        <v>0</v>
      </c>
      <c r="N1446" s="3">
        <v>0</v>
      </c>
      <c r="O1446" s="4">
        <f t="shared" si="135"/>
        <v>0</v>
      </c>
      <c r="P1446" s="5" t="str">
        <f t="shared" si="136"/>
        <v>No engagement</v>
      </c>
      <c r="Q1446" t="b">
        <v>0</v>
      </c>
      <c r="R1446" t="b">
        <v>0</v>
      </c>
      <c r="S1446" t="b">
        <v>0</v>
      </c>
      <c r="T1446" s="24" t="str">
        <f t="shared" si="137"/>
        <v>Text only</v>
      </c>
    </row>
    <row r="1447" spans="1:20" hidden="1" x14ac:dyDescent="0.2">
      <c r="A1447" t="s">
        <v>3210</v>
      </c>
      <c r="B1447" t="s">
        <v>2365</v>
      </c>
      <c r="C1447" t="s">
        <v>2366</v>
      </c>
      <c r="D1447" t="s">
        <v>3211</v>
      </c>
      <c r="E1447" t="s">
        <v>3212</v>
      </c>
      <c r="F1447" t="str">
        <f>IF(Table2[[#This Row],[Date posted]]&lt; DATE(2015,9,18),"Before Crisis","During Crisis")</f>
        <v>During Crisis</v>
      </c>
      <c r="G1447" s="27">
        <f t="shared" si="132"/>
        <v>42321</v>
      </c>
      <c r="H1447" s="7" t="str">
        <f t="shared" si="133"/>
        <v>17:27:09</v>
      </c>
      <c r="I1447" s="8" t="str">
        <f t="shared" si="134"/>
        <v>Afternoon</v>
      </c>
      <c r="J1447" t="s">
        <v>3209</v>
      </c>
      <c r="K1447" t="s">
        <v>2370</v>
      </c>
      <c r="L1447">
        <v>1</v>
      </c>
      <c r="M1447" s="3">
        <v>0</v>
      </c>
      <c r="N1447" s="3">
        <v>0</v>
      </c>
      <c r="O1447" s="4">
        <f t="shared" si="135"/>
        <v>1</v>
      </c>
      <c r="P1447" s="5" t="str">
        <f t="shared" si="136"/>
        <v>Low engagement</v>
      </c>
      <c r="Q1447" t="b">
        <v>0</v>
      </c>
      <c r="R1447" t="b">
        <v>0</v>
      </c>
      <c r="S1447" t="b">
        <v>0</v>
      </c>
      <c r="T1447" s="24" t="str">
        <f t="shared" si="137"/>
        <v>Text only</v>
      </c>
    </row>
    <row r="1448" spans="1:20" hidden="1" x14ac:dyDescent="0.2">
      <c r="A1448" t="s">
        <v>3206</v>
      </c>
      <c r="B1448" t="s">
        <v>2365</v>
      </c>
      <c r="C1448" t="s">
        <v>2366</v>
      </c>
      <c r="D1448" t="s">
        <v>3207</v>
      </c>
      <c r="E1448" t="s">
        <v>3208</v>
      </c>
      <c r="F1448" t="str">
        <f>IF(Table2[[#This Row],[Date posted]]&lt; DATE(2015,9,18),"Before Crisis","During Crisis")</f>
        <v>During Crisis</v>
      </c>
      <c r="G1448" s="27">
        <f t="shared" si="132"/>
        <v>42321</v>
      </c>
      <c r="H1448" s="7" t="str">
        <f t="shared" si="133"/>
        <v>17:27:10</v>
      </c>
      <c r="I1448" s="8" t="str">
        <f t="shared" si="134"/>
        <v>Afternoon</v>
      </c>
      <c r="J1448" t="s">
        <v>3209</v>
      </c>
      <c r="K1448" t="s">
        <v>2370</v>
      </c>
      <c r="L1448" s="3">
        <v>0</v>
      </c>
      <c r="M1448">
        <v>1</v>
      </c>
      <c r="N1448" s="3">
        <v>0</v>
      </c>
      <c r="O1448" s="4">
        <f t="shared" si="135"/>
        <v>1</v>
      </c>
      <c r="P1448" s="5" t="str">
        <f t="shared" si="136"/>
        <v>Low engagement</v>
      </c>
      <c r="Q1448" t="b">
        <v>0</v>
      </c>
      <c r="R1448" t="b">
        <v>0</v>
      </c>
      <c r="S1448" t="b">
        <v>0</v>
      </c>
      <c r="T1448" s="24" t="str">
        <f t="shared" si="137"/>
        <v>Text only</v>
      </c>
    </row>
    <row r="1449" spans="1:20" hidden="1" x14ac:dyDescent="0.2">
      <c r="A1449" t="s">
        <v>3201</v>
      </c>
      <c r="B1449" t="s">
        <v>2365</v>
      </c>
      <c r="C1449" t="s">
        <v>2366</v>
      </c>
      <c r="D1449" t="s">
        <v>3202</v>
      </c>
      <c r="E1449" t="s">
        <v>3203</v>
      </c>
      <c r="F1449" t="str">
        <f>IF(Table2[[#This Row],[Date posted]]&lt; DATE(2015,9,18),"Before Crisis","During Crisis")</f>
        <v>During Crisis</v>
      </c>
      <c r="G1449" s="27">
        <f t="shared" si="132"/>
        <v>42324</v>
      </c>
      <c r="H1449" s="7" t="str">
        <f t="shared" si="133"/>
        <v>17:38:48</v>
      </c>
      <c r="I1449" s="8" t="str">
        <f t="shared" si="134"/>
        <v>Afternoon</v>
      </c>
      <c r="J1449" t="s">
        <v>2370</v>
      </c>
      <c r="K1449" t="s">
        <v>2370</v>
      </c>
      <c r="L1449" s="3">
        <v>0</v>
      </c>
      <c r="M1449" s="3">
        <v>0</v>
      </c>
      <c r="N1449" s="3">
        <v>0</v>
      </c>
      <c r="O1449" s="4">
        <f t="shared" si="135"/>
        <v>0</v>
      </c>
      <c r="P1449" s="5" t="str">
        <f t="shared" si="136"/>
        <v>No engagement</v>
      </c>
      <c r="Q1449" t="b">
        <v>0</v>
      </c>
      <c r="R1449" t="b">
        <v>0</v>
      </c>
      <c r="S1449" t="b">
        <v>1</v>
      </c>
      <c r="T1449" s="24" t="str">
        <f t="shared" si="137"/>
        <v>Link</v>
      </c>
    </row>
    <row r="1450" spans="1:20" hidden="1" x14ac:dyDescent="0.2">
      <c r="A1450" t="s">
        <v>3204</v>
      </c>
      <c r="B1450" t="s">
        <v>2365</v>
      </c>
      <c r="C1450" t="s">
        <v>2366</v>
      </c>
      <c r="D1450" t="s">
        <v>3205</v>
      </c>
      <c r="E1450" t="s">
        <v>3203</v>
      </c>
      <c r="F1450" t="str">
        <f>IF(Table2[[#This Row],[Date posted]]&lt; DATE(2015,9,18),"Before Crisis","During Crisis")</f>
        <v>During Crisis</v>
      </c>
      <c r="G1450" s="27">
        <f t="shared" si="132"/>
        <v>42324</v>
      </c>
      <c r="H1450" s="7" t="str">
        <f t="shared" si="133"/>
        <v>17:38:48</v>
      </c>
      <c r="I1450" s="8" t="str">
        <f t="shared" si="134"/>
        <v>Afternoon</v>
      </c>
      <c r="J1450" t="s">
        <v>2370</v>
      </c>
      <c r="K1450" t="s">
        <v>2370</v>
      </c>
      <c r="L1450" s="3">
        <v>0</v>
      </c>
      <c r="M1450" s="3">
        <v>0</v>
      </c>
      <c r="N1450" s="3">
        <v>0</v>
      </c>
      <c r="O1450" s="4">
        <f t="shared" si="135"/>
        <v>0</v>
      </c>
      <c r="P1450" s="5" t="str">
        <f t="shared" si="136"/>
        <v>No engagement</v>
      </c>
      <c r="Q1450" t="b">
        <v>0</v>
      </c>
      <c r="R1450" t="b">
        <v>0</v>
      </c>
      <c r="S1450" t="b">
        <v>0</v>
      </c>
      <c r="T1450" s="24" t="str">
        <f t="shared" si="137"/>
        <v>Text only</v>
      </c>
    </row>
    <row r="1451" spans="1:20" hidden="1" x14ac:dyDescent="0.2">
      <c r="A1451" t="s">
        <v>3198</v>
      </c>
      <c r="B1451" t="s">
        <v>2365</v>
      </c>
      <c r="C1451" t="s">
        <v>2366</v>
      </c>
      <c r="D1451" t="s">
        <v>3199</v>
      </c>
      <c r="E1451" t="s">
        <v>3197</v>
      </c>
      <c r="F1451" t="str">
        <f>IF(Table2[[#This Row],[Date posted]]&lt; DATE(2015,9,18),"Before Crisis","During Crisis")</f>
        <v>During Crisis</v>
      </c>
      <c r="G1451" s="27">
        <f t="shared" si="132"/>
        <v>42324</v>
      </c>
      <c r="H1451" s="7" t="str">
        <f t="shared" si="133"/>
        <v>17:38:49</v>
      </c>
      <c r="I1451" s="8" t="str">
        <f t="shared" si="134"/>
        <v>Afternoon</v>
      </c>
      <c r="J1451" t="s">
        <v>3200</v>
      </c>
      <c r="K1451" t="s">
        <v>2370</v>
      </c>
      <c r="L1451" s="3">
        <v>0</v>
      </c>
      <c r="M1451" s="3">
        <v>0</v>
      </c>
      <c r="N1451" s="3">
        <v>0</v>
      </c>
      <c r="O1451" s="4">
        <f t="shared" si="135"/>
        <v>0</v>
      </c>
      <c r="P1451" s="5" t="str">
        <f t="shared" si="136"/>
        <v>No engagement</v>
      </c>
      <c r="Q1451" t="b">
        <v>0</v>
      </c>
      <c r="R1451" t="b">
        <v>0</v>
      </c>
      <c r="S1451" t="b">
        <v>0</v>
      </c>
      <c r="T1451" s="24" t="str">
        <f t="shared" si="137"/>
        <v>Text only</v>
      </c>
    </row>
    <row r="1452" spans="1:20" hidden="1" x14ac:dyDescent="0.2">
      <c r="A1452" t="s">
        <v>3189</v>
      </c>
      <c r="B1452" t="s">
        <v>2365</v>
      </c>
      <c r="C1452" t="s">
        <v>2366</v>
      </c>
      <c r="D1452" t="s">
        <v>3190</v>
      </c>
      <c r="E1452" t="s">
        <v>3191</v>
      </c>
      <c r="F1452" t="str">
        <f>IF(Table2[[#This Row],[Date posted]]&lt; DATE(2015,9,18),"Before Crisis","During Crisis")</f>
        <v>During Crisis</v>
      </c>
      <c r="G1452" s="27">
        <f t="shared" si="132"/>
        <v>42324</v>
      </c>
      <c r="H1452" s="7" t="str">
        <f t="shared" si="133"/>
        <v>18:25:46</v>
      </c>
      <c r="I1452" s="8" t="str">
        <f t="shared" si="134"/>
        <v>Evening</v>
      </c>
      <c r="J1452" t="s">
        <v>2370</v>
      </c>
      <c r="K1452" t="s">
        <v>2370</v>
      </c>
      <c r="L1452" s="3">
        <v>0</v>
      </c>
      <c r="M1452" s="3">
        <v>0</v>
      </c>
      <c r="N1452" s="3">
        <v>0</v>
      </c>
      <c r="O1452" s="4">
        <f t="shared" si="135"/>
        <v>0</v>
      </c>
      <c r="P1452" s="5" t="str">
        <f t="shared" si="136"/>
        <v>No engagement</v>
      </c>
      <c r="Q1452" t="b">
        <v>0</v>
      </c>
      <c r="R1452" t="b">
        <v>0</v>
      </c>
      <c r="S1452" t="b">
        <v>0</v>
      </c>
      <c r="T1452" s="24" t="str">
        <f t="shared" si="137"/>
        <v>Text only</v>
      </c>
    </row>
    <row r="1453" spans="1:20" hidden="1" x14ac:dyDescent="0.2">
      <c r="A1453" t="s">
        <v>3176</v>
      </c>
      <c r="B1453" t="s">
        <v>2365</v>
      </c>
      <c r="C1453" t="s">
        <v>2366</v>
      </c>
      <c r="D1453" t="s">
        <v>3177</v>
      </c>
      <c r="E1453" t="s">
        <v>3178</v>
      </c>
      <c r="F1453" t="str">
        <f>IF(Table2[[#This Row],[Date posted]]&lt; DATE(2015,9,18),"Before Crisis","During Crisis")</f>
        <v>During Crisis</v>
      </c>
      <c r="G1453" s="27">
        <f t="shared" si="132"/>
        <v>42324</v>
      </c>
      <c r="H1453" s="7" t="str">
        <f t="shared" si="133"/>
        <v>19:11:13</v>
      </c>
      <c r="I1453" s="8" t="str">
        <f t="shared" si="134"/>
        <v>Evening</v>
      </c>
      <c r="J1453" t="s">
        <v>3179</v>
      </c>
      <c r="K1453" t="s">
        <v>2370</v>
      </c>
      <c r="L1453" s="3">
        <v>0</v>
      </c>
      <c r="M1453" s="3">
        <v>0</v>
      </c>
      <c r="N1453" s="3">
        <v>0</v>
      </c>
      <c r="O1453" s="4">
        <f t="shared" si="135"/>
        <v>0</v>
      </c>
      <c r="P1453" s="5" t="str">
        <f t="shared" si="136"/>
        <v>No engagement</v>
      </c>
      <c r="Q1453" t="b">
        <v>0</v>
      </c>
      <c r="R1453" t="b">
        <v>0</v>
      </c>
      <c r="S1453" t="b">
        <v>0</v>
      </c>
      <c r="T1453" s="24" t="str">
        <f t="shared" si="137"/>
        <v>Text only</v>
      </c>
    </row>
    <row r="1454" spans="1:20" hidden="1" x14ac:dyDescent="0.2">
      <c r="A1454" t="s">
        <v>3170</v>
      </c>
      <c r="B1454" t="s">
        <v>2365</v>
      </c>
      <c r="C1454" t="s">
        <v>2366</v>
      </c>
      <c r="D1454" t="s">
        <v>3171</v>
      </c>
      <c r="E1454" t="s">
        <v>3172</v>
      </c>
      <c r="F1454" t="str">
        <f>IF(Table2[[#This Row],[Date posted]]&lt; DATE(2015,9,18),"Before Crisis","During Crisis")</f>
        <v>During Crisis</v>
      </c>
      <c r="G1454" s="27">
        <f t="shared" si="132"/>
        <v>42325</v>
      </c>
      <c r="H1454" s="7" t="str">
        <f t="shared" si="133"/>
        <v>19:27:35</v>
      </c>
      <c r="I1454" s="8" t="str">
        <f t="shared" si="134"/>
        <v>Evening</v>
      </c>
      <c r="J1454" t="s">
        <v>3173</v>
      </c>
      <c r="K1454" t="s">
        <v>2370</v>
      </c>
      <c r="L1454" s="3">
        <v>0</v>
      </c>
      <c r="M1454" s="3">
        <v>0</v>
      </c>
      <c r="N1454" s="3">
        <v>0</v>
      </c>
      <c r="O1454" s="4">
        <f t="shared" si="135"/>
        <v>0</v>
      </c>
      <c r="P1454" s="5" t="str">
        <f t="shared" si="136"/>
        <v>No engagement</v>
      </c>
      <c r="Q1454" t="b">
        <v>0</v>
      </c>
      <c r="R1454" t="b">
        <v>0</v>
      </c>
      <c r="S1454" t="b">
        <v>0</v>
      </c>
      <c r="T1454" s="24" t="str">
        <f t="shared" si="137"/>
        <v>Text only</v>
      </c>
    </row>
    <row r="1455" spans="1:20" hidden="1" x14ac:dyDescent="0.2">
      <c r="A1455" t="s">
        <v>3159</v>
      </c>
      <c r="B1455" t="s">
        <v>2365</v>
      </c>
      <c r="C1455" t="s">
        <v>2366</v>
      </c>
      <c r="D1455" t="s">
        <v>3160</v>
      </c>
      <c r="E1455" t="s">
        <v>3161</v>
      </c>
      <c r="F1455" t="str">
        <f>IF(Table2[[#This Row],[Date posted]]&lt; DATE(2015,9,18),"Before Crisis","During Crisis")</f>
        <v>During Crisis</v>
      </c>
      <c r="G1455" s="27">
        <f t="shared" si="132"/>
        <v>42326</v>
      </c>
      <c r="H1455" s="7" t="str">
        <f t="shared" si="133"/>
        <v>15:06:36</v>
      </c>
      <c r="I1455" s="8" t="str">
        <f t="shared" si="134"/>
        <v>Afternoon</v>
      </c>
      <c r="J1455" t="s">
        <v>3158</v>
      </c>
      <c r="K1455" t="s">
        <v>2370</v>
      </c>
      <c r="L1455" s="3">
        <v>0</v>
      </c>
      <c r="M1455" s="3">
        <v>0</v>
      </c>
      <c r="N1455" s="3">
        <v>0</v>
      </c>
      <c r="O1455" s="4">
        <f t="shared" si="135"/>
        <v>0</v>
      </c>
      <c r="P1455" s="5" t="str">
        <f t="shared" si="136"/>
        <v>No engagement</v>
      </c>
      <c r="Q1455" t="b">
        <v>0</v>
      </c>
      <c r="R1455" t="b">
        <v>0</v>
      </c>
      <c r="S1455" t="b">
        <v>0</v>
      </c>
      <c r="T1455" s="24" t="str">
        <f t="shared" si="137"/>
        <v>Text only</v>
      </c>
    </row>
    <row r="1456" spans="1:20" hidden="1" x14ac:dyDescent="0.2">
      <c r="A1456" t="s">
        <v>3153</v>
      </c>
      <c r="B1456" t="s">
        <v>2365</v>
      </c>
      <c r="C1456" t="s">
        <v>2366</v>
      </c>
      <c r="D1456" t="s">
        <v>3154</v>
      </c>
      <c r="E1456" t="s">
        <v>3155</v>
      </c>
      <c r="F1456" t="str">
        <f>IF(Table2[[#This Row],[Date posted]]&lt; DATE(2015,9,18),"Before Crisis","During Crisis")</f>
        <v>During Crisis</v>
      </c>
      <c r="G1456" s="27">
        <f t="shared" si="132"/>
        <v>42326</v>
      </c>
      <c r="H1456" s="7" t="str">
        <f t="shared" si="133"/>
        <v>15:06:37</v>
      </c>
      <c r="I1456" s="8" t="str">
        <f t="shared" si="134"/>
        <v>Afternoon</v>
      </c>
      <c r="J1456" t="s">
        <v>3152</v>
      </c>
      <c r="K1456" t="s">
        <v>2370</v>
      </c>
      <c r="L1456" s="3">
        <v>0</v>
      </c>
      <c r="M1456" s="3">
        <v>0</v>
      </c>
      <c r="N1456" s="3">
        <v>0</v>
      </c>
      <c r="O1456" s="4">
        <f t="shared" si="135"/>
        <v>0</v>
      </c>
      <c r="P1456" s="5" t="str">
        <f t="shared" si="136"/>
        <v>No engagement</v>
      </c>
      <c r="Q1456" t="b">
        <v>0</v>
      </c>
      <c r="R1456" t="b">
        <v>0</v>
      </c>
      <c r="S1456" t="b">
        <v>0</v>
      </c>
      <c r="T1456" s="24" t="str">
        <f t="shared" si="137"/>
        <v>Text only</v>
      </c>
    </row>
    <row r="1457" spans="1:20" hidden="1" x14ac:dyDescent="0.2">
      <c r="A1457" t="s">
        <v>3156</v>
      </c>
      <c r="B1457" t="s">
        <v>2365</v>
      </c>
      <c r="C1457" t="s">
        <v>2366</v>
      </c>
      <c r="D1457" t="s">
        <v>3157</v>
      </c>
      <c r="E1457" t="s">
        <v>3155</v>
      </c>
      <c r="F1457" t="str">
        <f>IF(Table2[[#This Row],[Date posted]]&lt; DATE(2015,9,18),"Before Crisis","During Crisis")</f>
        <v>During Crisis</v>
      </c>
      <c r="G1457" s="27">
        <f t="shared" si="132"/>
        <v>42326</v>
      </c>
      <c r="H1457" s="7" t="str">
        <f t="shared" si="133"/>
        <v>15:06:37</v>
      </c>
      <c r="I1457" s="8" t="str">
        <f t="shared" si="134"/>
        <v>Afternoon</v>
      </c>
      <c r="J1457" t="s">
        <v>3158</v>
      </c>
      <c r="K1457" t="s">
        <v>2370</v>
      </c>
      <c r="L1457" s="3">
        <v>0</v>
      </c>
      <c r="M1457" s="3">
        <v>0</v>
      </c>
      <c r="N1457" s="3">
        <v>0</v>
      </c>
      <c r="O1457" s="4">
        <f t="shared" si="135"/>
        <v>0</v>
      </c>
      <c r="P1457" s="5" t="str">
        <f t="shared" si="136"/>
        <v>No engagement</v>
      </c>
      <c r="Q1457" t="b">
        <v>0</v>
      </c>
      <c r="R1457" t="b">
        <v>0</v>
      </c>
      <c r="S1457" t="b">
        <v>0</v>
      </c>
      <c r="T1457" s="24" t="str">
        <f t="shared" si="137"/>
        <v>Text only</v>
      </c>
    </row>
    <row r="1458" spans="1:20" hidden="1" x14ac:dyDescent="0.2">
      <c r="A1458" t="s">
        <v>3145</v>
      </c>
      <c r="B1458" t="s">
        <v>2365</v>
      </c>
      <c r="C1458" t="s">
        <v>2366</v>
      </c>
      <c r="D1458" t="s">
        <v>3146</v>
      </c>
      <c r="E1458" t="s">
        <v>3147</v>
      </c>
      <c r="F1458" t="str">
        <f>IF(Table2[[#This Row],[Date posted]]&lt; DATE(2015,9,18),"Before Crisis","During Crisis")</f>
        <v>During Crisis</v>
      </c>
      <c r="G1458" s="27">
        <f t="shared" si="132"/>
        <v>42326</v>
      </c>
      <c r="H1458" s="7" t="str">
        <f t="shared" si="133"/>
        <v>15:10:11</v>
      </c>
      <c r="I1458" s="8" t="str">
        <f t="shared" si="134"/>
        <v>Afternoon</v>
      </c>
      <c r="J1458" t="s">
        <v>3148</v>
      </c>
      <c r="K1458" t="s">
        <v>2370</v>
      </c>
      <c r="L1458">
        <v>1</v>
      </c>
      <c r="M1458" s="3">
        <v>0</v>
      </c>
      <c r="N1458" s="3">
        <v>0</v>
      </c>
      <c r="O1458" s="4">
        <f t="shared" si="135"/>
        <v>1</v>
      </c>
      <c r="P1458" s="5" t="str">
        <f t="shared" si="136"/>
        <v>Low engagement</v>
      </c>
      <c r="Q1458" t="b">
        <v>0</v>
      </c>
      <c r="R1458" t="b">
        <v>0</v>
      </c>
      <c r="S1458" t="b">
        <v>0</v>
      </c>
      <c r="T1458" s="24" t="str">
        <f t="shared" si="137"/>
        <v>Text only</v>
      </c>
    </row>
    <row r="1459" spans="1:20" hidden="1" x14ac:dyDescent="0.2">
      <c r="A1459" t="s">
        <v>3139</v>
      </c>
      <c r="B1459" t="s">
        <v>2365</v>
      </c>
      <c r="C1459" t="s">
        <v>2366</v>
      </c>
      <c r="D1459" t="s">
        <v>3140</v>
      </c>
      <c r="E1459" t="s">
        <v>3141</v>
      </c>
      <c r="F1459" t="str">
        <f>IF(Table2[[#This Row],[Date posted]]&lt; DATE(2015,9,18),"Before Crisis","During Crisis")</f>
        <v>During Crisis</v>
      </c>
      <c r="G1459" s="27">
        <f t="shared" si="132"/>
        <v>42326</v>
      </c>
      <c r="H1459" s="7" t="str">
        <f t="shared" si="133"/>
        <v>19:11:44</v>
      </c>
      <c r="I1459" s="8" t="str">
        <f t="shared" si="134"/>
        <v>Evening</v>
      </c>
      <c r="J1459" t="s">
        <v>3138</v>
      </c>
      <c r="K1459" t="s">
        <v>2370</v>
      </c>
      <c r="L1459" s="3">
        <v>0</v>
      </c>
      <c r="M1459">
        <v>1</v>
      </c>
      <c r="N1459" s="3">
        <v>0</v>
      </c>
      <c r="O1459" s="4">
        <f t="shared" si="135"/>
        <v>1</v>
      </c>
      <c r="P1459" s="5" t="str">
        <f t="shared" si="136"/>
        <v>Low engagement</v>
      </c>
      <c r="Q1459" t="b">
        <v>0</v>
      </c>
      <c r="R1459" t="b">
        <v>0</v>
      </c>
      <c r="S1459" t="b">
        <v>0</v>
      </c>
      <c r="T1459" s="24" t="str">
        <f t="shared" si="137"/>
        <v>Text only</v>
      </c>
    </row>
    <row r="1460" spans="1:20" hidden="1" x14ac:dyDescent="0.2">
      <c r="A1460" t="s">
        <v>3135</v>
      </c>
      <c r="B1460" t="s">
        <v>2365</v>
      </c>
      <c r="C1460" t="s">
        <v>2366</v>
      </c>
      <c r="D1460" t="s">
        <v>3136</v>
      </c>
      <c r="E1460" t="s">
        <v>3137</v>
      </c>
      <c r="F1460" t="str">
        <f>IF(Table2[[#This Row],[Date posted]]&lt; DATE(2015,9,18),"Before Crisis","During Crisis")</f>
        <v>During Crisis</v>
      </c>
      <c r="G1460" s="27">
        <f t="shared" si="132"/>
        <v>42326</v>
      </c>
      <c r="H1460" s="7" t="str">
        <f t="shared" si="133"/>
        <v>19:14:58</v>
      </c>
      <c r="I1460" s="8" t="str">
        <f t="shared" si="134"/>
        <v>Evening</v>
      </c>
      <c r="J1460" t="s">
        <v>3138</v>
      </c>
      <c r="K1460" t="s">
        <v>2370</v>
      </c>
      <c r="L1460" s="3">
        <v>0</v>
      </c>
      <c r="M1460" s="3">
        <v>0</v>
      </c>
      <c r="N1460" s="3">
        <v>0</v>
      </c>
      <c r="O1460" s="4">
        <f t="shared" si="135"/>
        <v>0</v>
      </c>
      <c r="P1460" s="5" t="str">
        <f t="shared" si="136"/>
        <v>No engagement</v>
      </c>
      <c r="Q1460" t="b">
        <v>0</v>
      </c>
      <c r="R1460" t="b">
        <v>0</v>
      </c>
      <c r="S1460" t="b">
        <v>1</v>
      </c>
      <c r="T1460" s="24" t="str">
        <f t="shared" si="137"/>
        <v>Link</v>
      </c>
    </row>
    <row r="1461" spans="1:20" hidden="1" x14ac:dyDescent="0.2">
      <c r="A1461" t="s">
        <v>3132</v>
      </c>
      <c r="B1461" t="s">
        <v>2365</v>
      </c>
      <c r="C1461" t="s">
        <v>2366</v>
      </c>
      <c r="D1461" t="s">
        <v>3133</v>
      </c>
      <c r="E1461" t="s">
        <v>3134</v>
      </c>
      <c r="F1461" t="str">
        <f>IF(Table2[[#This Row],[Date posted]]&lt; DATE(2015,9,18),"Before Crisis","During Crisis")</f>
        <v>During Crisis</v>
      </c>
      <c r="G1461" s="27">
        <f t="shared" si="132"/>
        <v>42326</v>
      </c>
      <c r="H1461" s="7" t="str">
        <f t="shared" si="133"/>
        <v>19:18:27</v>
      </c>
      <c r="I1461" s="8" t="str">
        <f t="shared" si="134"/>
        <v>Evening</v>
      </c>
      <c r="J1461" t="s">
        <v>3131</v>
      </c>
      <c r="K1461" t="s">
        <v>2370</v>
      </c>
      <c r="L1461" s="3">
        <v>0</v>
      </c>
      <c r="M1461" s="3">
        <v>0</v>
      </c>
      <c r="N1461" s="3">
        <v>0</v>
      </c>
      <c r="O1461" s="4">
        <f t="shared" si="135"/>
        <v>0</v>
      </c>
      <c r="P1461" s="5" t="str">
        <f t="shared" si="136"/>
        <v>No engagement</v>
      </c>
      <c r="Q1461" t="b">
        <v>0</v>
      </c>
      <c r="R1461" t="b">
        <v>0</v>
      </c>
      <c r="S1461" t="b">
        <v>0</v>
      </c>
      <c r="T1461" s="24" t="str">
        <f t="shared" si="137"/>
        <v>Text only</v>
      </c>
    </row>
    <row r="1462" spans="1:20" hidden="1" x14ac:dyDescent="0.2">
      <c r="A1462" t="s">
        <v>3128</v>
      </c>
      <c r="B1462" t="s">
        <v>2365</v>
      </c>
      <c r="C1462" t="s">
        <v>2366</v>
      </c>
      <c r="D1462" t="s">
        <v>3129</v>
      </c>
      <c r="E1462" t="s">
        <v>3130</v>
      </c>
      <c r="F1462" t="str">
        <f>IF(Table2[[#This Row],[Date posted]]&lt; DATE(2015,9,18),"Before Crisis","During Crisis")</f>
        <v>During Crisis</v>
      </c>
      <c r="G1462" s="27">
        <f t="shared" si="132"/>
        <v>42326</v>
      </c>
      <c r="H1462" s="7" t="str">
        <f t="shared" si="133"/>
        <v>19:18:28</v>
      </c>
      <c r="I1462" s="8" t="str">
        <f t="shared" si="134"/>
        <v>Evening</v>
      </c>
      <c r="J1462" t="s">
        <v>3131</v>
      </c>
      <c r="K1462" t="s">
        <v>2370</v>
      </c>
      <c r="L1462" s="3">
        <v>0</v>
      </c>
      <c r="M1462" s="3">
        <v>0</v>
      </c>
      <c r="N1462" s="3">
        <v>0</v>
      </c>
      <c r="O1462" s="4">
        <f t="shared" si="135"/>
        <v>0</v>
      </c>
      <c r="P1462" s="5" t="str">
        <f t="shared" si="136"/>
        <v>No engagement</v>
      </c>
      <c r="Q1462" t="b">
        <v>0</v>
      </c>
      <c r="R1462" t="b">
        <v>0</v>
      </c>
      <c r="S1462" t="b">
        <v>0</v>
      </c>
      <c r="T1462" s="24" t="str">
        <f t="shared" si="137"/>
        <v>Text only</v>
      </c>
    </row>
    <row r="1463" spans="1:20" hidden="1" x14ac:dyDescent="0.2">
      <c r="A1463" t="s">
        <v>3125</v>
      </c>
      <c r="B1463" t="s">
        <v>2365</v>
      </c>
      <c r="C1463" t="s">
        <v>2366</v>
      </c>
      <c r="D1463" t="s">
        <v>3126</v>
      </c>
      <c r="E1463" t="s">
        <v>3127</v>
      </c>
      <c r="F1463" t="str">
        <f>IF(Table2[[#This Row],[Date posted]]&lt; DATE(2015,9,18),"Before Crisis","During Crisis")</f>
        <v>During Crisis</v>
      </c>
      <c r="G1463" s="27">
        <f t="shared" si="132"/>
        <v>42326</v>
      </c>
      <c r="H1463" s="7" t="str">
        <f t="shared" si="133"/>
        <v>20:14:40</v>
      </c>
      <c r="I1463" s="8" t="str">
        <f t="shared" si="134"/>
        <v>Evening</v>
      </c>
      <c r="J1463" t="s">
        <v>3063</v>
      </c>
      <c r="K1463" t="s">
        <v>2370</v>
      </c>
      <c r="L1463" s="3">
        <v>0</v>
      </c>
      <c r="M1463" s="3">
        <v>0</v>
      </c>
      <c r="N1463" s="3">
        <v>0</v>
      </c>
      <c r="O1463" s="4">
        <f t="shared" si="135"/>
        <v>0</v>
      </c>
      <c r="P1463" s="5" t="str">
        <f t="shared" si="136"/>
        <v>No engagement</v>
      </c>
      <c r="Q1463" t="b">
        <v>0</v>
      </c>
      <c r="R1463" t="b">
        <v>0</v>
      </c>
      <c r="S1463" t="b">
        <v>1</v>
      </c>
      <c r="T1463" s="24" t="str">
        <f t="shared" si="137"/>
        <v>Link</v>
      </c>
    </row>
    <row r="1464" spans="1:20" hidden="1" x14ac:dyDescent="0.2">
      <c r="A1464" t="s">
        <v>3122</v>
      </c>
      <c r="B1464" t="s">
        <v>2365</v>
      </c>
      <c r="C1464" t="s">
        <v>2366</v>
      </c>
      <c r="D1464" t="s">
        <v>3123</v>
      </c>
      <c r="E1464" t="s">
        <v>3124</v>
      </c>
      <c r="F1464" t="str">
        <f>IF(Table2[[#This Row],[Date posted]]&lt; DATE(2015,9,18),"Before Crisis","During Crisis")</f>
        <v>During Crisis</v>
      </c>
      <c r="G1464" s="27">
        <f t="shared" si="132"/>
        <v>42326</v>
      </c>
      <c r="H1464" s="7" t="str">
        <f t="shared" si="133"/>
        <v>20:22:06</v>
      </c>
      <c r="I1464" s="8" t="str">
        <f t="shared" si="134"/>
        <v>Evening</v>
      </c>
      <c r="J1464" t="s">
        <v>3063</v>
      </c>
      <c r="K1464" t="s">
        <v>2370</v>
      </c>
      <c r="L1464" s="3">
        <v>0</v>
      </c>
      <c r="M1464" s="3">
        <v>0</v>
      </c>
      <c r="N1464" s="3">
        <v>0</v>
      </c>
      <c r="O1464" s="4">
        <f t="shared" si="135"/>
        <v>0</v>
      </c>
      <c r="P1464" s="5" t="str">
        <f t="shared" si="136"/>
        <v>No engagement</v>
      </c>
      <c r="Q1464" t="b">
        <v>0</v>
      </c>
      <c r="R1464" t="b">
        <v>0</v>
      </c>
      <c r="S1464" t="b">
        <v>0</v>
      </c>
      <c r="T1464" s="24" t="str">
        <f t="shared" si="137"/>
        <v>Text only</v>
      </c>
    </row>
    <row r="1465" spans="1:20" hidden="1" x14ac:dyDescent="0.2">
      <c r="A1465" t="s">
        <v>3100</v>
      </c>
      <c r="B1465" t="s">
        <v>2365</v>
      </c>
      <c r="C1465" t="s">
        <v>2366</v>
      </c>
      <c r="D1465" t="s">
        <v>3101</v>
      </c>
      <c r="E1465" t="s">
        <v>3102</v>
      </c>
      <c r="F1465" t="str">
        <f>IF(Table2[[#This Row],[Date posted]]&lt; DATE(2015,9,18),"Before Crisis","During Crisis")</f>
        <v>During Crisis</v>
      </c>
      <c r="G1465" s="27">
        <f t="shared" si="132"/>
        <v>42326</v>
      </c>
      <c r="H1465" s="7" t="str">
        <f t="shared" si="133"/>
        <v>21:43:52</v>
      </c>
      <c r="I1465" s="8" t="str">
        <f t="shared" si="134"/>
        <v>Evening</v>
      </c>
      <c r="J1465" t="s">
        <v>3103</v>
      </c>
      <c r="K1465" t="s">
        <v>2370</v>
      </c>
      <c r="L1465">
        <v>1</v>
      </c>
      <c r="M1465" s="3">
        <v>0</v>
      </c>
      <c r="N1465" s="3">
        <v>0</v>
      </c>
      <c r="O1465" s="4">
        <f t="shared" si="135"/>
        <v>1</v>
      </c>
      <c r="P1465" s="5" t="str">
        <f t="shared" si="136"/>
        <v>Low engagement</v>
      </c>
      <c r="Q1465" t="b">
        <v>0</v>
      </c>
      <c r="R1465" t="b">
        <v>0</v>
      </c>
      <c r="S1465" t="b">
        <v>0</v>
      </c>
      <c r="T1465" s="24" t="str">
        <f t="shared" si="137"/>
        <v>Text only</v>
      </c>
    </row>
    <row r="1466" spans="1:20" hidden="1" x14ac:dyDescent="0.2">
      <c r="A1466" t="s">
        <v>3097</v>
      </c>
      <c r="B1466" t="s">
        <v>2365</v>
      </c>
      <c r="C1466" t="s">
        <v>2366</v>
      </c>
      <c r="D1466" t="s">
        <v>3098</v>
      </c>
      <c r="E1466" t="s">
        <v>3099</v>
      </c>
      <c r="F1466" t="str">
        <f>IF(Table2[[#This Row],[Date posted]]&lt; DATE(2015,9,18),"Before Crisis","During Crisis")</f>
        <v>During Crisis</v>
      </c>
      <c r="G1466" s="27">
        <f t="shared" si="132"/>
        <v>42326</v>
      </c>
      <c r="H1466" s="7" t="str">
        <f t="shared" si="133"/>
        <v>22:21:31</v>
      </c>
      <c r="I1466" s="8" t="str">
        <f t="shared" si="134"/>
        <v>Evening</v>
      </c>
      <c r="J1466" t="s">
        <v>2370</v>
      </c>
      <c r="K1466" t="s">
        <v>2370</v>
      </c>
      <c r="L1466" s="3">
        <v>0</v>
      </c>
      <c r="M1466" s="3">
        <v>0</v>
      </c>
      <c r="N1466" s="3">
        <v>0</v>
      </c>
      <c r="O1466" s="4">
        <f t="shared" si="135"/>
        <v>0</v>
      </c>
      <c r="P1466" s="5" t="str">
        <f t="shared" si="136"/>
        <v>No engagement</v>
      </c>
      <c r="Q1466" t="b">
        <v>0</v>
      </c>
      <c r="R1466" t="b">
        <v>0</v>
      </c>
      <c r="S1466" t="b">
        <v>0</v>
      </c>
      <c r="T1466" s="24" t="str">
        <f t="shared" si="137"/>
        <v>Text only</v>
      </c>
    </row>
    <row r="1467" spans="1:20" hidden="1" x14ac:dyDescent="0.2">
      <c r="A1467" t="s">
        <v>3067</v>
      </c>
      <c r="B1467" t="s">
        <v>2365</v>
      </c>
      <c r="C1467" t="s">
        <v>2366</v>
      </c>
      <c r="D1467" t="s">
        <v>3068</v>
      </c>
      <c r="E1467" t="s">
        <v>3069</v>
      </c>
      <c r="F1467" t="str">
        <f>IF(Table2[[#This Row],[Date posted]]&lt; DATE(2015,9,18),"Before Crisis","During Crisis")</f>
        <v>During Crisis</v>
      </c>
      <c r="G1467" s="27">
        <f t="shared" si="132"/>
        <v>42328</v>
      </c>
      <c r="H1467" s="7" t="str">
        <f t="shared" si="133"/>
        <v>16:16:15</v>
      </c>
      <c r="I1467" s="8" t="str">
        <f t="shared" si="134"/>
        <v>Afternoon</v>
      </c>
      <c r="J1467" t="s">
        <v>2370</v>
      </c>
      <c r="K1467" t="s">
        <v>2370</v>
      </c>
      <c r="L1467" s="3">
        <v>0</v>
      </c>
      <c r="M1467" s="3">
        <v>0</v>
      </c>
      <c r="N1467" s="3">
        <v>0</v>
      </c>
      <c r="O1467" s="4">
        <f t="shared" si="135"/>
        <v>0</v>
      </c>
      <c r="P1467" s="5" t="str">
        <f t="shared" si="136"/>
        <v>No engagement</v>
      </c>
      <c r="Q1467" t="b">
        <v>0</v>
      </c>
      <c r="R1467" t="b">
        <v>0</v>
      </c>
      <c r="S1467" t="b">
        <v>0</v>
      </c>
      <c r="T1467" s="24" t="str">
        <f t="shared" si="137"/>
        <v>Text only</v>
      </c>
    </row>
    <row r="1468" spans="1:20" hidden="1" x14ac:dyDescent="0.2">
      <c r="A1468" t="s">
        <v>3054</v>
      </c>
      <c r="B1468" t="s">
        <v>2365</v>
      </c>
      <c r="C1468" t="s">
        <v>2366</v>
      </c>
      <c r="D1468" t="s">
        <v>3055</v>
      </c>
      <c r="E1468" t="s">
        <v>3056</v>
      </c>
      <c r="F1468" t="str">
        <f>IF(Table2[[#This Row],[Date posted]]&lt; DATE(2015,9,18),"Before Crisis","During Crisis")</f>
        <v>During Crisis</v>
      </c>
      <c r="G1468" s="27">
        <f t="shared" si="132"/>
        <v>42328</v>
      </c>
      <c r="H1468" s="7" t="str">
        <f t="shared" si="133"/>
        <v>19:04:08</v>
      </c>
      <c r="I1468" s="8" t="str">
        <f t="shared" si="134"/>
        <v>Evening</v>
      </c>
      <c r="J1468" t="s">
        <v>3057</v>
      </c>
      <c r="K1468" t="s">
        <v>2370</v>
      </c>
      <c r="L1468" s="3">
        <v>0</v>
      </c>
      <c r="M1468" s="3">
        <v>0</v>
      </c>
      <c r="N1468" s="3">
        <v>0</v>
      </c>
      <c r="O1468" s="4">
        <f t="shared" si="135"/>
        <v>0</v>
      </c>
      <c r="P1468" s="5" t="str">
        <f t="shared" si="136"/>
        <v>No engagement</v>
      </c>
      <c r="Q1468" t="b">
        <v>0</v>
      </c>
      <c r="R1468" t="b">
        <v>0</v>
      </c>
      <c r="S1468" t="b">
        <v>0</v>
      </c>
      <c r="T1468" s="24" t="str">
        <f t="shared" si="137"/>
        <v>Text only</v>
      </c>
    </row>
    <row r="1469" spans="1:20" hidden="1" x14ac:dyDescent="0.2">
      <c r="A1469" t="s">
        <v>3051</v>
      </c>
      <c r="B1469" t="s">
        <v>2365</v>
      </c>
      <c r="C1469" t="s">
        <v>2366</v>
      </c>
      <c r="D1469" t="s">
        <v>3052</v>
      </c>
      <c r="E1469" t="s">
        <v>3053</v>
      </c>
      <c r="F1469" t="str">
        <f>IF(Table2[[#This Row],[Date posted]]&lt; DATE(2015,9,18),"Before Crisis","During Crisis")</f>
        <v>During Crisis</v>
      </c>
      <c r="G1469" s="27">
        <f t="shared" si="132"/>
        <v>42328</v>
      </c>
      <c r="H1469" s="7" t="str">
        <f t="shared" si="133"/>
        <v>19:10:53</v>
      </c>
      <c r="I1469" s="8" t="str">
        <f t="shared" si="134"/>
        <v>Evening</v>
      </c>
      <c r="J1469" t="s">
        <v>2370</v>
      </c>
      <c r="K1469" t="s">
        <v>2370</v>
      </c>
      <c r="L1469" s="3">
        <v>0</v>
      </c>
      <c r="M1469" s="3">
        <v>0</v>
      </c>
      <c r="N1469" s="3">
        <v>0</v>
      </c>
      <c r="O1469" s="4">
        <f t="shared" si="135"/>
        <v>0</v>
      </c>
      <c r="P1469" s="5" t="str">
        <f t="shared" si="136"/>
        <v>No engagement</v>
      </c>
      <c r="Q1469" t="b">
        <v>0</v>
      </c>
      <c r="R1469" t="b">
        <v>0</v>
      </c>
      <c r="S1469" t="b">
        <v>0</v>
      </c>
      <c r="T1469" s="24" t="str">
        <f t="shared" si="137"/>
        <v>Text only</v>
      </c>
    </row>
    <row r="1470" spans="1:20" hidden="1" x14ac:dyDescent="0.2">
      <c r="A1470" t="s">
        <v>3043</v>
      </c>
      <c r="B1470" t="s">
        <v>2365</v>
      </c>
      <c r="C1470" t="s">
        <v>2366</v>
      </c>
      <c r="D1470" t="s">
        <v>3044</v>
      </c>
      <c r="E1470" t="s">
        <v>3045</v>
      </c>
      <c r="F1470" t="str">
        <f>IF(Table2[[#This Row],[Date posted]]&lt; DATE(2015,9,18),"Before Crisis","During Crisis")</f>
        <v>During Crisis</v>
      </c>
      <c r="G1470" s="27">
        <f t="shared" si="132"/>
        <v>42328</v>
      </c>
      <c r="H1470" s="7" t="str">
        <f t="shared" si="133"/>
        <v>22:46:11</v>
      </c>
      <c r="I1470" s="8" t="str">
        <f t="shared" si="134"/>
        <v>Evening</v>
      </c>
      <c r="J1470" t="s">
        <v>3042</v>
      </c>
      <c r="K1470" t="s">
        <v>2370</v>
      </c>
      <c r="L1470">
        <v>1</v>
      </c>
      <c r="M1470" s="3">
        <v>0</v>
      </c>
      <c r="N1470" s="3">
        <v>0</v>
      </c>
      <c r="O1470" s="4">
        <f t="shared" si="135"/>
        <v>1</v>
      </c>
      <c r="P1470" s="5" t="str">
        <f t="shared" si="136"/>
        <v>Low engagement</v>
      </c>
      <c r="Q1470" t="b">
        <v>0</v>
      </c>
      <c r="R1470" t="b">
        <v>0</v>
      </c>
      <c r="S1470" t="b">
        <v>0</v>
      </c>
      <c r="T1470" s="24" t="str">
        <f t="shared" si="137"/>
        <v>Text only</v>
      </c>
    </row>
    <row r="1471" spans="1:20" hidden="1" x14ac:dyDescent="0.2">
      <c r="A1471" t="s">
        <v>3037</v>
      </c>
      <c r="B1471" t="s">
        <v>2365</v>
      </c>
      <c r="C1471" t="s">
        <v>2366</v>
      </c>
      <c r="D1471" t="s">
        <v>3038</v>
      </c>
      <c r="E1471" t="s">
        <v>3039</v>
      </c>
      <c r="F1471" t="str">
        <f>IF(Table2[[#This Row],[Date posted]]&lt; DATE(2015,9,18),"Before Crisis","During Crisis")</f>
        <v>During Crisis</v>
      </c>
      <c r="G1471" s="27">
        <f t="shared" si="132"/>
        <v>42328</v>
      </c>
      <c r="H1471" s="7" t="str">
        <f t="shared" si="133"/>
        <v>22:49:50</v>
      </c>
      <c r="I1471" s="8" t="str">
        <f t="shared" si="134"/>
        <v>Evening</v>
      </c>
      <c r="J1471" t="s">
        <v>3036</v>
      </c>
      <c r="K1471" t="s">
        <v>2370</v>
      </c>
      <c r="L1471" s="3">
        <v>0</v>
      </c>
      <c r="M1471" s="3">
        <v>0</v>
      </c>
      <c r="N1471" s="3">
        <v>0</v>
      </c>
      <c r="O1471" s="4">
        <f t="shared" si="135"/>
        <v>0</v>
      </c>
      <c r="P1471" s="5" t="str">
        <f t="shared" si="136"/>
        <v>No engagement</v>
      </c>
      <c r="Q1471" t="b">
        <v>0</v>
      </c>
      <c r="R1471" t="b">
        <v>0</v>
      </c>
      <c r="S1471" t="b">
        <v>0</v>
      </c>
      <c r="T1471" s="24" t="str">
        <f t="shared" si="137"/>
        <v>Text only</v>
      </c>
    </row>
    <row r="1472" spans="1:20" hidden="1" x14ac:dyDescent="0.2">
      <c r="A1472" t="s">
        <v>3033</v>
      </c>
      <c r="B1472" t="s">
        <v>2365</v>
      </c>
      <c r="C1472" t="s">
        <v>2366</v>
      </c>
      <c r="D1472" t="s">
        <v>3034</v>
      </c>
      <c r="E1472" t="s">
        <v>3035</v>
      </c>
      <c r="F1472" t="str">
        <f>IF(Table2[[#This Row],[Date posted]]&lt; DATE(2015,9,18),"Before Crisis","During Crisis")</f>
        <v>During Crisis</v>
      </c>
      <c r="G1472" s="27">
        <f t="shared" si="132"/>
        <v>42328</v>
      </c>
      <c r="H1472" s="7" t="str">
        <f t="shared" si="133"/>
        <v>22:49:51</v>
      </c>
      <c r="I1472" s="8" t="str">
        <f t="shared" si="134"/>
        <v>Evening</v>
      </c>
      <c r="J1472" t="s">
        <v>3036</v>
      </c>
      <c r="K1472" t="s">
        <v>2370</v>
      </c>
      <c r="L1472" s="3">
        <v>0</v>
      </c>
      <c r="M1472" s="3">
        <v>0</v>
      </c>
      <c r="N1472" s="3">
        <v>0</v>
      </c>
      <c r="O1472" s="4">
        <f t="shared" si="135"/>
        <v>0</v>
      </c>
      <c r="P1472" s="5" t="str">
        <f t="shared" si="136"/>
        <v>No engagement</v>
      </c>
      <c r="Q1472" t="b">
        <v>0</v>
      </c>
      <c r="R1472" t="b">
        <v>0</v>
      </c>
      <c r="S1472" t="b">
        <v>0</v>
      </c>
      <c r="T1472" s="24" t="str">
        <f t="shared" si="137"/>
        <v>Text only</v>
      </c>
    </row>
    <row r="1473" spans="1:20" hidden="1" x14ac:dyDescent="0.2">
      <c r="A1473" t="s">
        <v>3024</v>
      </c>
      <c r="B1473" t="s">
        <v>2365</v>
      </c>
      <c r="C1473" t="s">
        <v>2366</v>
      </c>
      <c r="D1473" t="s">
        <v>3025</v>
      </c>
      <c r="E1473" t="s">
        <v>3026</v>
      </c>
      <c r="F1473" t="str">
        <f>IF(Table2[[#This Row],[Date posted]]&lt; DATE(2015,9,18),"Before Crisis","During Crisis")</f>
        <v>During Crisis</v>
      </c>
      <c r="G1473" s="27">
        <f t="shared" si="132"/>
        <v>42328</v>
      </c>
      <c r="H1473" s="7" t="str">
        <f t="shared" si="133"/>
        <v>22:53:18</v>
      </c>
      <c r="I1473" s="8" t="str">
        <f t="shared" si="134"/>
        <v>Evening</v>
      </c>
      <c r="J1473" t="s">
        <v>3027</v>
      </c>
      <c r="K1473" t="s">
        <v>2370</v>
      </c>
      <c r="L1473" s="3">
        <v>0</v>
      </c>
      <c r="M1473" s="3">
        <v>0</v>
      </c>
      <c r="N1473" s="3">
        <v>0</v>
      </c>
      <c r="O1473" s="4">
        <f t="shared" si="135"/>
        <v>0</v>
      </c>
      <c r="P1473" s="5" t="str">
        <f t="shared" si="136"/>
        <v>No engagement</v>
      </c>
      <c r="Q1473" t="b">
        <v>0</v>
      </c>
      <c r="R1473" t="b">
        <v>0</v>
      </c>
      <c r="S1473" t="b">
        <v>0</v>
      </c>
      <c r="T1473" s="24" t="str">
        <f t="shared" si="137"/>
        <v>Text only</v>
      </c>
    </row>
    <row r="1474" spans="1:20" hidden="1" x14ac:dyDescent="0.2">
      <c r="A1474" t="s">
        <v>3021</v>
      </c>
      <c r="B1474" t="s">
        <v>2365</v>
      </c>
      <c r="C1474" t="s">
        <v>2366</v>
      </c>
      <c r="D1474" t="s">
        <v>3022</v>
      </c>
      <c r="E1474" t="s">
        <v>3020</v>
      </c>
      <c r="F1474" t="str">
        <f>IF(Table2[[#This Row],[Date posted]]&lt; DATE(2015,9,18),"Before Crisis","During Crisis")</f>
        <v>During Crisis</v>
      </c>
      <c r="G1474" s="27">
        <f t="shared" ref="G1474:G1523" si="138">DATEVALUE(LEFT(E1474,10))</f>
        <v>42328</v>
      </c>
      <c r="H1474" s="7" t="str">
        <f t="shared" ref="H1474:H1523" si="139">MID(E1474,12,8)</f>
        <v>23:25:03</v>
      </c>
      <c r="I1474" s="8" t="str">
        <f t="shared" ref="I1474:I1537" si="140">IF(HOUR(H1474)&lt;7,"Early morning",
IF(HOUR(H1474)&lt;11,"Morning",
IF(HOUR(H1474)&lt;14,"Mid-day",
IF(HOUR(H1474)&lt;18,"Afternoon","Evening"))))</f>
        <v>Evening</v>
      </c>
      <c r="J1474" t="s">
        <v>3023</v>
      </c>
      <c r="K1474" t="s">
        <v>2370</v>
      </c>
      <c r="L1474" s="3">
        <v>0</v>
      </c>
      <c r="M1474" s="3">
        <v>0</v>
      </c>
      <c r="N1474" s="3">
        <v>0</v>
      </c>
      <c r="O1474" s="4">
        <f t="shared" ref="O1474:O1537" si="141">L1474+M1474+N1474</f>
        <v>0</v>
      </c>
      <c r="P1474" s="5" t="str">
        <f t="shared" ref="P1474:P1537" si="142">IF(O1474&lt;1,"No engagement", IF(O1474&lt;5,"Low engagement", IF(O1474&lt;10,"Moderate engagement", "High engagement")))</f>
        <v>No engagement</v>
      </c>
      <c r="Q1474" t="b">
        <v>0</v>
      </c>
      <c r="R1474" t="b">
        <v>0</v>
      </c>
      <c r="S1474" t="b">
        <v>0</v>
      </c>
      <c r="T1474" s="24" t="str">
        <f t="shared" ref="T1474:T1537" si="143">IF(Q1474=TRUE,"Photo",
    IF(R1474=TRUE,"Video",
        IF(S1474=TRUE,"Link","Text only")))</f>
        <v>Text only</v>
      </c>
    </row>
    <row r="1475" spans="1:20" hidden="1" x14ac:dyDescent="0.2">
      <c r="A1475" t="s">
        <v>2974</v>
      </c>
      <c r="B1475" t="s">
        <v>2365</v>
      </c>
      <c r="C1475" t="s">
        <v>2366</v>
      </c>
      <c r="D1475" t="s">
        <v>2975</v>
      </c>
      <c r="E1475" t="s">
        <v>2976</v>
      </c>
      <c r="F1475" t="str">
        <f>IF(Table2[[#This Row],[Date posted]]&lt; DATE(2015,9,18),"Before Crisis","During Crisis")</f>
        <v>During Crisis</v>
      </c>
      <c r="G1475" s="27">
        <f t="shared" si="138"/>
        <v>42332</v>
      </c>
      <c r="H1475" s="7" t="str">
        <f t="shared" si="139"/>
        <v>17:06:43</v>
      </c>
      <c r="I1475" s="8" t="str">
        <f t="shared" si="140"/>
        <v>Afternoon</v>
      </c>
      <c r="J1475" t="s">
        <v>2977</v>
      </c>
      <c r="K1475" t="s">
        <v>2370</v>
      </c>
      <c r="L1475">
        <v>1</v>
      </c>
      <c r="M1475" s="3">
        <v>0</v>
      </c>
      <c r="N1475" s="3">
        <v>0</v>
      </c>
      <c r="O1475" s="4">
        <f t="shared" si="141"/>
        <v>1</v>
      </c>
      <c r="P1475" s="5" t="str">
        <f t="shared" si="142"/>
        <v>Low engagement</v>
      </c>
      <c r="Q1475" t="b">
        <v>0</v>
      </c>
      <c r="R1475" t="b">
        <v>0</v>
      </c>
      <c r="S1475" t="b">
        <v>0</v>
      </c>
      <c r="T1475" s="24" t="str">
        <f t="shared" si="143"/>
        <v>Text only</v>
      </c>
    </row>
    <row r="1476" spans="1:20" hidden="1" x14ac:dyDescent="0.2">
      <c r="A1476" t="s">
        <v>2972</v>
      </c>
      <c r="B1476" t="s">
        <v>2365</v>
      </c>
      <c r="C1476" t="s">
        <v>2366</v>
      </c>
      <c r="D1476" t="s">
        <v>2973</v>
      </c>
      <c r="E1476" t="s">
        <v>2970</v>
      </c>
      <c r="F1476" t="str">
        <f>IF(Table2[[#This Row],[Date posted]]&lt; DATE(2015,9,18),"Before Crisis","During Crisis")</f>
        <v>During Crisis</v>
      </c>
      <c r="G1476" s="27">
        <f t="shared" si="138"/>
        <v>42332</v>
      </c>
      <c r="H1476" s="7" t="str">
        <f t="shared" si="139"/>
        <v>17:17:02</v>
      </c>
      <c r="I1476" s="8" t="str">
        <f t="shared" si="140"/>
        <v>Afternoon</v>
      </c>
      <c r="J1476" t="s">
        <v>2971</v>
      </c>
      <c r="K1476" t="s">
        <v>2370</v>
      </c>
      <c r="L1476" s="3">
        <v>0</v>
      </c>
      <c r="M1476" s="3">
        <v>0</v>
      </c>
      <c r="N1476" s="3">
        <v>0</v>
      </c>
      <c r="O1476" s="4">
        <f t="shared" si="141"/>
        <v>0</v>
      </c>
      <c r="P1476" s="5" t="str">
        <f t="shared" si="142"/>
        <v>No engagement</v>
      </c>
      <c r="Q1476" t="b">
        <v>0</v>
      </c>
      <c r="R1476" t="b">
        <v>0</v>
      </c>
      <c r="S1476" t="b">
        <v>0</v>
      </c>
      <c r="T1476" s="24" t="str">
        <f t="shared" si="143"/>
        <v>Text only</v>
      </c>
    </row>
    <row r="1477" spans="1:20" hidden="1" x14ac:dyDescent="0.2">
      <c r="A1477" t="s">
        <v>2954</v>
      </c>
      <c r="B1477" t="s">
        <v>2365</v>
      </c>
      <c r="C1477" t="s">
        <v>2366</v>
      </c>
      <c r="D1477" t="s">
        <v>2955</v>
      </c>
      <c r="E1477" t="s">
        <v>2953</v>
      </c>
      <c r="F1477" t="str">
        <f>IF(Table2[[#This Row],[Date posted]]&lt; DATE(2015,9,18),"Before Crisis","During Crisis")</f>
        <v>During Crisis</v>
      </c>
      <c r="G1477" s="27">
        <f t="shared" si="138"/>
        <v>42332</v>
      </c>
      <c r="H1477" s="7" t="str">
        <f t="shared" si="139"/>
        <v>17:20:32</v>
      </c>
      <c r="I1477" s="8" t="str">
        <f t="shared" si="140"/>
        <v>Afternoon</v>
      </c>
      <c r="J1477" t="s">
        <v>2956</v>
      </c>
      <c r="K1477" t="s">
        <v>2370</v>
      </c>
      <c r="L1477" s="3">
        <v>0</v>
      </c>
      <c r="M1477">
        <v>1</v>
      </c>
      <c r="N1477" s="3">
        <v>0</v>
      </c>
      <c r="O1477" s="4">
        <f t="shared" si="141"/>
        <v>1</v>
      </c>
      <c r="P1477" s="5" t="str">
        <f t="shared" si="142"/>
        <v>Low engagement</v>
      </c>
      <c r="Q1477" t="b">
        <v>0</v>
      </c>
      <c r="R1477" t="b">
        <v>0</v>
      </c>
      <c r="S1477" t="b">
        <v>0</v>
      </c>
      <c r="T1477" s="24" t="str">
        <f t="shared" si="143"/>
        <v>Text only</v>
      </c>
    </row>
    <row r="1478" spans="1:20" hidden="1" x14ac:dyDescent="0.2">
      <c r="A1478" t="s">
        <v>2934</v>
      </c>
      <c r="B1478" t="s">
        <v>2365</v>
      </c>
      <c r="C1478" t="s">
        <v>2366</v>
      </c>
      <c r="D1478" t="s">
        <v>2935</v>
      </c>
      <c r="E1478" t="s">
        <v>2936</v>
      </c>
      <c r="F1478" t="str">
        <f>IF(Table2[[#This Row],[Date posted]]&lt; DATE(2015,9,18),"Before Crisis","During Crisis")</f>
        <v>During Crisis</v>
      </c>
      <c r="G1478" s="27">
        <f t="shared" si="138"/>
        <v>42332</v>
      </c>
      <c r="H1478" s="7" t="str">
        <f t="shared" si="139"/>
        <v>18:42:02</v>
      </c>
      <c r="I1478" s="8" t="str">
        <f t="shared" si="140"/>
        <v>Evening</v>
      </c>
      <c r="J1478" t="s">
        <v>2933</v>
      </c>
      <c r="K1478" t="s">
        <v>2370</v>
      </c>
      <c r="L1478" s="3">
        <v>0</v>
      </c>
      <c r="M1478" s="3">
        <v>0</v>
      </c>
      <c r="N1478" s="3">
        <v>0</v>
      </c>
      <c r="O1478" s="4">
        <f t="shared" si="141"/>
        <v>0</v>
      </c>
      <c r="P1478" s="5" t="str">
        <f t="shared" si="142"/>
        <v>No engagement</v>
      </c>
      <c r="Q1478" t="b">
        <v>0</v>
      </c>
      <c r="R1478" t="b">
        <v>0</v>
      </c>
      <c r="S1478" t="b">
        <v>0</v>
      </c>
      <c r="T1478" s="24" t="str">
        <f t="shared" si="143"/>
        <v>Text only</v>
      </c>
    </row>
    <row r="1479" spans="1:20" hidden="1" x14ac:dyDescent="0.2">
      <c r="A1479" t="s">
        <v>2924</v>
      </c>
      <c r="B1479" t="s">
        <v>2365</v>
      </c>
      <c r="C1479" t="s">
        <v>2366</v>
      </c>
      <c r="D1479" t="s">
        <v>2925</v>
      </c>
      <c r="E1479" t="s">
        <v>2926</v>
      </c>
      <c r="F1479" t="str">
        <f>IF(Table2[[#This Row],[Date posted]]&lt; DATE(2015,9,18),"Before Crisis","During Crisis")</f>
        <v>During Crisis</v>
      </c>
      <c r="G1479" s="27">
        <f t="shared" si="138"/>
        <v>42332</v>
      </c>
      <c r="H1479" s="7" t="str">
        <f t="shared" si="139"/>
        <v>23:06:30</v>
      </c>
      <c r="I1479" s="8" t="str">
        <f t="shared" si="140"/>
        <v>Evening</v>
      </c>
      <c r="J1479" t="s">
        <v>2927</v>
      </c>
      <c r="K1479" t="s">
        <v>2370</v>
      </c>
      <c r="L1479">
        <v>1</v>
      </c>
      <c r="M1479">
        <v>1</v>
      </c>
      <c r="N1479" s="3">
        <v>0</v>
      </c>
      <c r="O1479" s="4">
        <f t="shared" si="141"/>
        <v>2</v>
      </c>
      <c r="P1479" s="5" t="str">
        <f t="shared" si="142"/>
        <v>Low engagement</v>
      </c>
      <c r="Q1479" t="b">
        <v>0</v>
      </c>
      <c r="R1479" t="b">
        <v>0</v>
      </c>
      <c r="S1479" t="b">
        <v>0</v>
      </c>
      <c r="T1479" s="24" t="str">
        <f t="shared" si="143"/>
        <v>Text only</v>
      </c>
    </row>
    <row r="1480" spans="1:20" hidden="1" x14ac:dyDescent="0.2">
      <c r="A1480" t="s">
        <v>2879</v>
      </c>
      <c r="B1480" t="s">
        <v>2365</v>
      </c>
      <c r="C1480" t="s">
        <v>2366</v>
      </c>
      <c r="D1480" t="s">
        <v>2880</v>
      </c>
      <c r="E1480" t="s">
        <v>2881</v>
      </c>
      <c r="F1480" t="str">
        <f>IF(Table2[[#This Row],[Date posted]]&lt; DATE(2015,9,18),"Before Crisis","During Crisis")</f>
        <v>During Crisis</v>
      </c>
      <c r="G1480" s="27">
        <f t="shared" si="138"/>
        <v>42338</v>
      </c>
      <c r="H1480" s="7" t="str">
        <f t="shared" si="139"/>
        <v>16:55:43</v>
      </c>
      <c r="I1480" s="8" t="str">
        <f t="shared" si="140"/>
        <v>Afternoon</v>
      </c>
      <c r="J1480" t="s">
        <v>2882</v>
      </c>
      <c r="K1480" t="s">
        <v>2370</v>
      </c>
      <c r="L1480" s="3">
        <v>0</v>
      </c>
      <c r="M1480" s="3">
        <v>0</v>
      </c>
      <c r="N1480" s="3">
        <v>0</v>
      </c>
      <c r="O1480" s="4">
        <f t="shared" si="141"/>
        <v>0</v>
      </c>
      <c r="P1480" s="5" t="str">
        <f t="shared" si="142"/>
        <v>No engagement</v>
      </c>
      <c r="Q1480" t="b">
        <v>0</v>
      </c>
      <c r="R1480" t="b">
        <v>0</v>
      </c>
      <c r="S1480" t="b">
        <v>0</v>
      </c>
      <c r="T1480" s="24" t="str">
        <f t="shared" si="143"/>
        <v>Text only</v>
      </c>
    </row>
    <row r="1481" spans="1:20" hidden="1" x14ac:dyDescent="0.2">
      <c r="A1481" t="s">
        <v>2883</v>
      </c>
      <c r="B1481" t="s">
        <v>2365</v>
      </c>
      <c r="C1481" t="s">
        <v>2366</v>
      </c>
      <c r="D1481" t="s">
        <v>2884</v>
      </c>
      <c r="E1481" t="s">
        <v>2881</v>
      </c>
      <c r="F1481" t="str">
        <f>IF(Table2[[#This Row],[Date posted]]&lt; DATE(2015,9,18),"Before Crisis","During Crisis")</f>
        <v>During Crisis</v>
      </c>
      <c r="G1481" s="27">
        <f t="shared" si="138"/>
        <v>42338</v>
      </c>
      <c r="H1481" s="7" t="str">
        <f t="shared" si="139"/>
        <v>16:55:43</v>
      </c>
      <c r="I1481" s="8" t="str">
        <f t="shared" si="140"/>
        <v>Afternoon</v>
      </c>
      <c r="J1481" t="s">
        <v>2882</v>
      </c>
      <c r="K1481" t="s">
        <v>2370</v>
      </c>
      <c r="L1481" s="3">
        <v>0</v>
      </c>
      <c r="M1481" s="3">
        <v>0</v>
      </c>
      <c r="N1481" s="3">
        <v>0</v>
      </c>
      <c r="O1481" s="4">
        <f t="shared" si="141"/>
        <v>0</v>
      </c>
      <c r="P1481" s="5" t="str">
        <f t="shared" si="142"/>
        <v>No engagement</v>
      </c>
      <c r="Q1481" t="b">
        <v>0</v>
      </c>
      <c r="R1481" t="b">
        <v>0</v>
      </c>
      <c r="S1481" t="b">
        <v>0</v>
      </c>
      <c r="T1481" s="24" t="str">
        <f t="shared" si="143"/>
        <v>Text only</v>
      </c>
    </row>
    <row r="1482" spans="1:20" hidden="1" x14ac:dyDescent="0.2">
      <c r="A1482" t="s">
        <v>2876</v>
      </c>
      <c r="B1482" t="s">
        <v>2365</v>
      </c>
      <c r="C1482" t="s">
        <v>2366</v>
      </c>
      <c r="D1482" t="s">
        <v>2877</v>
      </c>
      <c r="E1482" t="s">
        <v>2878</v>
      </c>
      <c r="F1482" t="str">
        <f>IF(Table2[[#This Row],[Date posted]]&lt; DATE(2015,9,18),"Before Crisis","During Crisis")</f>
        <v>During Crisis</v>
      </c>
      <c r="G1482" s="27">
        <f t="shared" si="138"/>
        <v>42338</v>
      </c>
      <c r="H1482" s="7" t="str">
        <f t="shared" si="139"/>
        <v>17:06:26</v>
      </c>
      <c r="I1482" s="8" t="str">
        <f t="shared" si="140"/>
        <v>Afternoon</v>
      </c>
      <c r="J1482" t="s">
        <v>2875</v>
      </c>
      <c r="K1482" t="s">
        <v>2370</v>
      </c>
      <c r="L1482" s="3">
        <v>0</v>
      </c>
      <c r="M1482" s="3">
        <v>0</v>
      </c>
      <c r="N1482" s="3">
        <v>0</v>
      </c>
      <c r="O1482" s="4">
        <f t="shared" si="141"/>
        <v>0</v>
      </c>
      <c r="P1482" s="5" t="str">
        <f t="shared" si="142"/>
        <v>No engagement</v>
      </c>
      <c r="Q1482" t="b">
        <v>0</v>
      </c>
      <c r="R1482" t="b">
        <v>0</v>
      </c>
      <c r="S1482" t="b">
        <v>0</v>
      </c>
      <c r="T1482" s="24" t="str">
        <f t="shared" si="143"/>
        <v>Text only</v>
      </c>
    </row>
    <row r="1483" spans="1:20" hidden="1" x14ac:dyDescent="0.2">
      <c r="A1483" t="s">
        <v>2872</v>
      </c>
      <c r="B1483" t="s">
        <v>2365</v>
      </c>
      <c r="C1483" t="s">
        <v>2366</v>
      </c>
      <c r="D1483" t="s">
        <v>2873</v>
      </c>
      <c r="E1483" t="s">
        <v>2874</v>
      </c>
      <c r="F1483" t="str">
        <f>IF(Table2[[#This Row],[Date posted]]&lt; DATE(2015,9,18),"Before Crisis","During Crisis")</f>
        <v>During Crisis</v>
      </c>
      <c r="G1483" s="27">
        <f t="shared" si="138"/>
        <v>42338</v>
      </c>
      <c r="H1483" s="7" t="str">
        <f t="shared" si="139"/>
        <v>17:16:58</v>
      </c>
      <c r="I1483" s="8" t="str">
        <f t="shared" si="140"/>
        <v>Afternoon</v>
      </c>
      <c r="J1483" t="s">
        <v>2875</v>
      </c>
      <c r="K1483" t="s">
        <v>2370</v>
      </c>
      <c r="L1483" s="3">
        <v>0</v>
      </c>
      <c r="M1483" s="3">
        <v>0</v>
      </c>
      <c r="N1483" s="3">
        <v>0</v>
      </c>
      <c r="O1483" s="4">
        <f t="shared" si="141"/>
        <v>0</v>
      </c>
      <c r="P1483" s="5" t="str">
        <f t="shared" si="142"/>
        <v>No engagement</v>
      </c>
      <c r="Q1483" t="b">
        <v>0</v>
      </c>
      <c r="R1483" t="b">
        <v>0</v>
      </c>
      <c r="S1483" t="b">
        <v>0</v>
      </c>
      <c r="T1483" s="24" t="str">
        <f t="shared" si="143"/>
        <v>Text only</v>
      </c>
    </row>
    <row r="1484" spans="1:20" hidden="1" x14ac:dyDescent="0.2">
      <c r="A1484" t="s">
        <v>2863</v>
      </c>
      <c r="B1484" t="s">
        <v>2365</v>
      </c>
      <c r="C1484" t="s">
        <v>2366</v>
      </c>
      <c r="D1484" t="s">
        <v>2864</v>
      </c>
      <c r="E1484" t="s">
        <v>2865</v>
      </c>
      <c r="F1484" t="str">
        <f>IF(Table2[[#This Row],[Date posted]]&lt; DATE(2015,9,18),"Before Crisis","During Crisis")</f>
        <v>During Crisis</v>
      </c>
      <c r="G1484" s="27">
        <f t="shared" si="138"/>
        <v>42338</v>
      </c>
      <c r="H1484" s="7" t="str">
        <f t="shared" si="139"/>
        <v>17:24:27</v>
      </c>
      <c r="I1484" s="8" t="str">
        <f t="shared" si="140"/>
        <v>Afternoon</v>
      </c>
      <c r="J1484" t="s">
        <v>2385</v>
      </c>
      <c r="K1484" t="s">
        <v>2370</v>
      </c>
      <c r="L1484" s="3">
        <v>0</v>
      </c>
      <c r="M1484" s="3">
        <v>0</v>
      </c>
      <c r="N1484" s="3">
        <v>0</v>
      </c>
      <c r="O1484" s="4">
        <f t="shared" si="141"/>
        <v>0</v>
      </c>
      <c r="P1484" s="5" t="str">
        <f t="shared" si="142"/>
        <v>No engagement</v>
      </c>
      <c r="Q1484" t="b">
        <v>0</v>
      </c>
      <c r="R1484" t="b">
        <v>0</v>
      </c>
      <c r="S1484" t="b">
        <v>0</v>
      </c>
      <c r="T1484" s="24" t="str">
        <f t="shared" si="143"/>
        <v>Text only</v>
      </c>
    </row>
    <row r="1485" spans="1:20" hidden="1" x14ac:dyDescent="0.2">
      <c r="A1485" t="s">
        <v>2861</v>
      </c>
      <c r="B1485" t="s">
        <v>2365</v>
      </c>
      <c r="C1485" t="s">
        <v>2366</v>
      </c>
      <c r="D1485" t="s">
        <v>2862</v>
      </c>
      <c r="E1485" t="s">
        <v>2860</v>
      </c>
      <c r="F1485" t="str">
        <f>IF(Table2[[#This Row],[Date posted]]&lt; DATE(2015,9,18),"Before Crisis","During Crisis")</f>
        <v>During Crisis</v>
      </c>
      <c r="G1485" s="27">
        <f t="shared" si="138"/>
        <v>42338</v>
      </c>
      <c r="H1485" s="7" t="str">
        <f t="shared" si="139"/>
        <v>17:31:27</v>
      </c>
      <c r="I1485" s="8" t="str">
        <f t="shared" si="140"/>
        <v>Afternoon</v>
      </c>
      <c r="J1485" t="s">
        <v>2370</v>
      </c>
      <c r="K1485" t="s">
        <v>2370</v>
      </c>
      <c r="L1485" s="3">
        <v>0</v>
      </c>
      <c r="M1485" s="3">
        <v>0</v>
      </c>
      <c r="N1485" s="3">
        <v>0</v>
      </c>
      <c r="O1485" s="4">
        <f t="shared" si="141"/>
        <v>0</v>
      </c>
      <c r="P1485" s="5" t="str">
        <f t="shared" si="142"/>
        <v>No engagement</v>
      </c>
      <c r="Q1485" t="b">
        <v>0</v>
      </c>
      <c r="R1485" t="b">
        <v>0</v>
      </c>
      <c r="S1485" t="b">
        <v>0</v>
      </c>
      <c r="T1485" s="24" t="str">
        <f t="shared" si="143"/>
        <v>Text only</v>
      </c>
    </row>
    <row r="1486" spans="1:20" hidden="1" x14ac:dyDescent="0.2">
      <c r="A1486" t="s">
        <v>2835</v>
      </c>
      <c r="B1486" t="s">
        <v>2365</v>
      </c>
      <c r="C1486" t="s">
        <v>2366</v>
      </c>
      <c r="D1486" t="s">
        <v>2836</v>
      </c>
      <c r="E1486" t="s">
        <v>2837</v>
      </c>
      <c r="F1486" t="str">
        <f>IF(Table2[[#This Row],[Date posted]]&lt; DATE(2015,9,18),"Before Crisis","During Crisis")</f>
        <v>During Crisis</v>
      </c>
      <c r="G1486" s="27">
        <f t="shared" si="138"/>
        <v>42339</v>
      </c>
      <c r="H1486" s="7" t="str">
        <f t="shared" si="139"/>
        <v>21:20:58</v>
      </c>
      <c r="I1486" s="8" t="str">
        <f t="shared" si="140"/>
        <v>Evening</v>
      </c>
      <c r="J1486" t="s">
        <v>2838</v>
      </c>
      <c r="K1486" t="s">
        <v>2370</v>
      </c>
      <c r="L1486">
        <v>1</v>
      </c>
      <c r="M1486" s="3">
        <v>0</v>
      </c>
      <c r="N1486" s="3">
        <v>0</v>
      </c>
      <c r="O1486" s="4">
        <f t="shared" si="141"/>
        <v>1</v>
      </c>
      <c r="P1486" s="5" t="str">
        <f t="shared" si="142"/>
        <v>Low engagement</v>
      </c>
      <c r="Q1486" t="b">
        <v>0</v>
      </c>
      <c r="R1486" t="b">
        <v>0</v>
      </c>
      <c r="S1486" t="b">
        <v>0</v>
      </c>
      <c r="T1486" s="24" t="str">
        <f t="shared" si="143"/>
        <v>Text only</v>
      </c>
    </row>
    <row r="1487" spans="1:20" hidden="1" x14ac:dyDescent="0.2">
      <c r="A1487" t="s">
        <v>2526</v>
      </c>
      <c r="B1487" t="s">
        <v>2365</v>
      </c>
      <c r="C1487" t="s">
        <v>2366</v>
      </c>
      <c r="D1487" t="s">
        <v>2527</v>
      </c>
      <c r="E1487" t="s">
        <v>2528</v>
      </c>
      <c r="F1487" t="str">
        <f>IF(Table2[[#This Row],[Date posted]]&lt; DATE(2015,9,18),"Before Crisis","During Crisis")</f>
        <v>During Crisis</v>
      </c>
      <c r="G1487" s="27">
        <f t="shared" si="138"/>
        <v>42352</v>
      </c>
      <c r="H1487" s="7" t="str">
        <f t="shared" si="139"/>
        <v>16:11:10</v>
      </c>
      <c r="I1487" s="8" t="str">
        <f t="shared" si="140"/>
        <v>Afternoon</v>
      </c>
      <c r="J1487" t="s">
        <v>2529</v>
      </c>
      <c r="K1487" t="s">
        <v>2370</v>
      </c>
      <c r="L1487" s="3">
        <v>0</v>
      </c>
      <c r="M1487" s="3">
        <v>0</v>
      </c>
      <c r="N1487" s="3">
        <v>0</v>
      </c>
      <c r="O1487" s="4">
        <f t="shared" si="141"/>
        <v>0</v>
      </c>
      <c r="P1487" s="5" t="str">
        <f t="shared" si="142"/>
        <v>No engagement</v>
      </c>
      <c r="Q1487" t="b">
        <v>0</v>
      </c>
      <c r="R1487" t="b">
        <v>0</v>
      </c>
      <c r="S1487" t="b">
        <v>0</v>
      </c>
      <c r="T1487" s="24" t="str">
        <f t="shared" si="143"/>
        <v>Text only</v>
      </c>
    </row>
    <row r="1488" spans="1:20" hidden="1" x14ac:dyDescent="0.2">
      <c r="A1488" t="s">
        <v>2530</v>
      </c>
      <c r="B1488" t="s">
        <v>2365</v>
      </c>
      <c r="C1488" t="s">
        <v>2366</v>
      </c>
      <c r="D1488" t="s">
        <v>2531</v>
      </c>
      <c r="E1488" t="s">
        <v>2528</v>
      </c>
      <c r="F1488" t="str">
        <f>IF(Table2[[#This Row],[Date posted]]&lt; DATE(2015,9,18),"Before Crisis","During Crisis")</f>
        <v>During Crisis</v>
      </c>
      <c r="G1488" s="27">
        <f t="shared" si="138"/>
        <v>42352</v>
      </c>
      <c r="H1488" s="7" t="str">
        <f t="shared" si="139"/>
        <v>16:11:10</v>
      </c>
      <c r="I1488" s="8" t="str">
        <f t="shared" si="140"/>
        <v>Afternoon</v>
      </c>
      <c r="J1488" t="s">
        <v>2370</v>
      </c>
      <c r="K1488" t="s">
        <v>2370</v>
      </c>
      <c r="L1488" s="3">
        <v>0</v>
      </c>
      <c r="M1488" s="3">
        <v>0</v>
      </c>
      <c r="N1488" s="3">
        <v>0</v>
      </c>
      <c r="O1488" s="4">
        <f t="shared" si="141"/>
        <v>0</v>
      </c>
      <c r="P1488" s="5" t="str">
        <f t="shared" si="142"/>
        <v>No engagement</v>
      </c>
      <c r="Q1488" t="b">
        <v>0</v>
      </c>
      <c r="R1488" t="b">
        <v>0</v>
      </c>
      <c r="S1488" t="b">
        <v>0</v>
      </c>
      <c r="T1488" s="24" t="str">
        <f t="shared" si="143"/>
        <v>Text only</v>
      </c>
    </row>
    <row r="1489" spans="1:20" hidden="1" x14ac:dyDescent="0.2">
      <c r="A1489" t="s">
        <v>2523</v>
      </c>
      <c r="B1489" t="s">
        <v>2365</v>
      </c>
      <c r="C1489" t="s">
        <v>2366</v>
      </c>
      <c r="D1489" t="s">
        <v>2524</v>
      </c>
      <c r="E1489" t="s">
        <v>2525</v>
      </c>
      <c r="F1489" t="str">
        <f>IF(Table2[[#This Row],[Date posted]]&lt; DATE(2015,9,18),"Before Crisis","During Crisis")</f>
        <v>During Crisis</v>
      </c>
      <c r="G1489" s="27">
        <f t="shared" si="138"/>
        <v>42352</v>
      </c>
      <c r="H1489" s="7" t="str">
        <f t="shared" si="139"/>
        <v>16:11:11</v>
      </c>
      <c r="I1489" s="8" t="str">
        <f t="shared" si="140"/>
        <v>Afternoon</v>
      </c>
      <c r="J1489" t="s">
        <v>2370</v>
      </c>
      <c r="K1489" t="s">
        <v>2370</v>
      </c>
      <c r="L1489" s="3">
        <v>0</v>
      </c>
      <c r="M1489" s="3">
        <v>0</v>
      </c>
      <c r="N1489" s="3">
        <v>0</v>
      </c>
      <c r="O1489" s="4">
        <f t="shared" si="141"/>
        <v>0</v>
      </c>
      <c r="P1489" s="5" t="str">
        <f t="shared" si="142"/>
        <v>No engagement</v>
      </c>
      <c r="Q1489" t="b">
        <v>0</v>
      </c>
      <c r="R1489" t="b">
        <v>0</v>
      </c>
      <c r="S1489" t="b">
        <v>0</v>
      </c>
      <c r="T1489" s="24" t="str">
        <f t="shared" si="143"/>
        <v>Text only</v>
      </c>
    </row>
    <row r="1490" spans="1:20" hidden="1" x14ac:dyDescent="0.2">
      <c r="A1490" t="s">
        <v>2516</v>
      </c>
      <c r="B1490" t="s">
        <v>2365</v>
      </c>
      <c r="C1490" t="s">
        <v>2366</v>
      </c>
      <c r="D1490" t="s">
        <v>2517</v>
      </c>
      <c r="E1490" t="s">
        <v>2518</v>
      </c>
      <c r="F1490" t="str">
        <f>IF(Table2[[#This Row],[Date posted]]&lt; DATE(2015,9,18),"Before Crisis","During Crisis")</f>
        <v>During Crisis</v>
      </c>
      <c r="G1490" s="27">
        <f t="shared" si="138"/>
        <v>42352</v>
      </c>
      <c r="H1490" s="7" t="str">
        <f t="shared" si="139"/>
        <v>18:50:44</v>
      </c>
      <c r="I1490" s="8" t="str">
        <f t="shared" si="140"/>
        <v>Evening</v>
      </c>
      <c r="J1490" t="s">
        <v>2370</v>
      </c>
      <c r="K1490" t="s">
        <v>2370</v>
      </c>
      <c r="L1490" s="3">
        <v>0</v>
      </c>
      <c r="M1490" s="3">
        <v>0</v>
      </c>
      <c r="N1490" s="3">
        <v>0</v>
      </c>
      <c r="O1490" s="4">
        <f t="shared" si="141"/>
        <v>0</v>
      </c>
      <c r="P1490" s="5" t="str">
        <f t="shared" si="142"/>
        <v>No engagement</v>
      </c>
      <c r="Q1490" t="b">
        <v>0</v>
      </c>
      <c r="R1490" t="b">
        <v>0</v>
      </c>
      <c r="S1490" t="b">
        <v>0</v>
      </c>
      <c r="T1490" s="24" t="str">
        <f t="shared" si="143"/>
        <v>Text only</v>
      </c>
    </row>
    <row r="1491" spans="1:20" hidden="1" x14ac:dyDescent="0.2">
      <c r="A1491" t="s">
        <v>2519</v>
      </c>
      <c r="B1491" t="s">
        <v>2365</v>
      </c>
      <c r="C1491" t="s">
        <v>2366</v>
      </c>
      <c r="D1491" t="s">
        <v>2520</v>
      </c>
      <c r="E1491" t="s">
        <v>2518</v>
      </c>
      <c r="F1491" t="str">
        <f>IF(Table2[[#This Row],[Date posted]]&lt; DATE(2015,9,18),"Before Crisis","During Crisis")</f>
        <v>During Crisis</v>
      </c>
      <c r="G1491" s="27">
        <f t="shared" si="138"/>
        <v>42352</v>
      </c>
      <c r="H1491" s="7" t="str">
        <f t="shared" si="139"/>
        <v>18:50:44</v>
      </c>
      <c r="I1491" s="8" t="str">
        <f t="shared" si="140"/>
        <v>Evening</v>
      </c>
      <c r="J1491" t="s">
        <v>2370</v>
      </c>
      <c r="K1491" t="s">
        <v>2370</v>
      </c>
      <c r="L1491" s="3">
        <v>0</v>
      </c>
      <c r="M1491" s="3">
        <v>0</v>
      </c>
      <c r="N1491" s="3">
        <v>0</v>
      </c>
      <c r="O1491" s="4">
        <f t="shared" si="141"/>
        <v>0</v>
      </c>
      <c r="P1491" s="5" t="str">
        <f t="shared" si="142"/>
        <v>No engagement</v>
      </c>
      <c r="Q1491" t="b">
        <v>0</v>
      </c>
      <c r="R1491" t="b">
        <v>0</v>
      </c>
      <c r="S1491" t="b">
        <v>0</v>
      </c>
      <c r="T1491" s="24" t="str">
        <f t="shared" si="143"/>
        <v>Text only</v>
      </c>
    </row>
    <row r="1492" spans="1:20" hidden="1" x14ac:dyDescent="0.2">
      <c r="A1492" t="s">
        <v>2521</v>
      </c>
      <c r="B1492" t="s">
        <v>2365</v>
      </c>
      <c r="C1492" t="s">
        <v>2366</v>
      </c>
      <c r="D1492" t="s">
        <v>2522</v>
      </c>
      <c r="E1492" t="s">
        <v>2518</v>
      </c>
      <c r="F1492" t="str">
        <f>IF(Table2[[#This Row],[Date posted]]&lt; DATE(2015,9,18),"Before Crisis","During Crisis")</f>
        <v>During Crisis</v>
      </c>
      <c r="G1492" s="27">
        <f t="shared" si="138"/>
        <v>42352</v>
      </c>
      <c r="H1492" s="7" t="str">
        <f t="shared" si="139"/>
        <v>18:50:44</v>
      </c>
      <c r="I1492" s="8" t="str">
        <f t="shared" si="140"/>
        <v>Evening</v>
      </c>
      <c r="J1492" t="s">
        <v>2370</v>
      </c>
      <c r="K1492" t="s">
        <v>2370</v>
      </c>
      <c r="L1492" s="3">
        <v>0</v>
      </c>
      <c r="M1492" s="3">
        <v>0</v>
      </c>
      <c r="N1492" s="3">
        <v>0</v>
      </c>
      <c r="O1492" s="4">
        <f t="shared" si="141"/>
        <v>0</v>
      </c>
      <c r="P1492" s="5" t="str">
        <f t="shared" si="142"/>
        <v>No engagement</v>
      </c>
      <c r="Q1492" t="b">
        <v>0</v>
      </c>
      <c r="R1492" t="b">
        <v>0</v>
      </c>
      <c r="S1492" t="b">
        <v>0</v>
      </c>
      <c r="T1492" s="24" t="str">
        <f t="shared" si="143"/>
        <v>Text only</v>
      </c>
    </row>
    <row r="1493" spans="1:20" hidden="1" x14ac:dyDescent="0.2">
      <c r="A1493" t="s">
        <v>2513</v>
      </c>
      <c r="B1493" t="s">
        <v>2365</v>
      </c>
      <c r="C1493" t="s">
        <v>2366</v>
      </c>
      <c r="D1493" t="s">
        <v>2514</v>
      </c>
      <c r="E1493" t="s">
        <v>2515</v>
      </c>
      <c r="F1493" t="str">
        <f>IF(Table2[[#This Row],[Date posted]]&lt; DATE(2015,9,18),"Before Crisis","During Crisis")</f>
        <v>During Crisis</v>
      </c>
      <c r="G1493" s="27">
        <f t="shared" si="138"/>
        <v>42352</v>
      </c>
      <c r="H1493" s="7" t="str">
        <f t="shared" si="139"/>
        <v>20:28:57</v>
      </c>
      <c r="I1493" s="8" t="str">
        <f t="shared" si="140"/>
        <v>Evening</v>
      </c>
      <c r="J1493" t="s">
        <v>2500</v>
      </c>
      <c r="K1493" t="s">
        <v>2370</v>
      </c>
      <c r="L1493" s="3">
        <v>0</v>
      </c>
      <c r="M1493" s="3">
        <v>0</v>
      </c>
      <c r="N1493" s="3">
        <v>0</v>
      </c>
      <c r="O1493" s="4">
        <f t="shared" si="141"/>
        <v>0</v>
      </c>
      <c r="P1493" s="5" t="str">
        <f t="shared" si="142"/>
        <v>No engagement</v>
      </c>
      <c r="Q1493" t="b">
        <v>0</v>
      </c>
      <c r="R1493" t="b">
        <v>0</v>
      </c>
      <c r="S1493" t="b">
        <v>0</v>
      </c>
      <c r="T1493" s="24" t="str">
        <f t="shared" si="143"/>
        <v>Text only</v>
      </c>
    </row>
    <row r="1494" spans="1:20" hidden="1" x14ac:dyDescent="0.2">
      <c r="A1494" t="s">
        <v>2508</v>
      </c>
      <c r="B1494" t="s">
        <v>2365</v>
      </c>
      <c r="C1494" t="s">
        <v>2366</v>
      </c>
      <c r="D1494" t="s">
        <v>2509</v>
      </c>
      <c r="E1494" t="s">
        <v>2510</v>
      </c>
      <c r="F1494" t="str">
        <f>IF(Table2[[#This Row],[Date posted]]&lt; DATE(2015,9,18),"Before Crisis","During Crisis")</f>
        <v>During Crisis</v>
      </c>
      <c r="G1494" s="27">
        <f t="shared" si="138"/>
        <v>42352</v>
      </c>
      <c r="H1494" s="7" t="str">
        <f t="shared" si="139"/>
        <v>20:28:58</v>
      </c>
      <c r="I1494" s="8" t="str">
        <f t="shared" si="140"/>
        <v>Evening</v>
      </c>
      <c r="J1494" t="s">
        <v>2370</v>
      </c>
      <c r="K1494" t="s">
        <v>2370</v>
      </c>
      <c r="L1494" s="3">
        <v>0</v>
      </c>
      <c r="M1494" s="3">
        <v>0</v>
      </c>
      <c r="N1494" s="3">
        <v>0</v>
      </c>
      <c r="O1494" s="4">
        <f t="shared" si="141"/>
        <v>0</v>
      </c>
      <c r="P1494" s="5" t="str">
        <f t="shared" si="142"/>
        <v>No engagement</v>
      </c>
      <c r="Q1494" t="b">
        <v>0</v>
      </c>
      <c r="R1494" t="b">
        <v>0</v>
      </c>
      <c r="S1494" t="b">
        <v>0</v>
      </c>
      <c r="T1494" s="24" t="str">
        <f t="shared" si="143"/>
        <v>Text only</v>
      </c>
    </row>
    <row r="1495" spans="1:20" hidden="1" x14ac:dyDescent="0.2">
      <c r="A1495" t="s">
        <v>2511</v>
      </c>
      <c r="B1495" t="s">
        <v>2365</v>
      </c>
      <c r="C1495" t="s">
        <v>2366</v>
      </c>
      <c r="D1495" t="s">
        <v>2512</v>
      </c>
      <c r="E1495" t="s">
        <v>2510</v>
      </c>
      <c r="F1495" t="str">
        <f>IF(Table2[[#This Row],[Date posted]]&lt; DATE(2015,9,18),"Before Crisis","During Crisis")</f>
        <v>During Crisis</v>
      </c>
      <c r="G1495" s="27">
        <f t="shared" si="138"/>
        <v>42352</v>
      </c>
      <c r="H1495" s="7" t="str">
        <f t="shared" si="139"/>
        <v>20:28:58</v>
      </c>
      <c r="I1495" s="8" t="str">
        <f t="shared" si="140"/>
        <v>Evening</v>
      </c>
      <c r="J1495" t="s">
        <v>2500</v>
      </c>
      <c r="K1495" t="s">
        <v>2370</v>
      </c>
      <c r="L1495" s="3">
        <v>0</v>
      </c>
      <c r="M1495">
        <v>3</v>
      </c>
      <c r="N1495" s="3">
        <v>0</v>
      </c>
      <c r="O1495" s="4">
        <f t="shared" si="141"/>
        <v>3</v>
      </c>
      <c r="P1495" s="5" t="str">
        <f t="shared" si="142"/>
        <v>Low engagement</v>
      </c>
      <c r="Q1495" t="b">
        <v>0</v>
      </c>
      <c r="R1495" t="b">
        <v>0</v>
      </c>
      <c r="S1495" t="b">
        <v>0</v>
      </c>
      <c r="T1495" s="24" t="str">
        <f t="shared" si="143"/>
        <v>Text only</v>
      </c>
    </row>
    <row r="1496" spans="1:20" hidden="1" x14ac:dyDescent="0.2">
      <c r="A1496" t="s">
        <v>2505</v>
      </c>
      <c r="B1496" t="s">
        <v>2365</v>
      </c>
      <c r="C1496" t="s">
        <v>2366</v>
      </c>
      <c r="D1496" t="s">
        <v>2506</v>
      </c>
      <c r="E1496" t="s">
        <v>2507</v>
      </c>
      <c r="F1496" t="str">
        <f>IF(Table2[[#This Row],[Date posted]]&lt; DATE(2015,9,18),"Before Crisis","During Crisis")</f>
        <v>During Crisis</v>
      </c>
      <c r="G1496" s="27">
        <f t="shared" si="138"/>
        <v>42352</v>
      </c>
      <c r="H1496" s="7" t="str">
        <f t="shared" si="139"/>
        <v>20:28:59</v>
      </c>
      <c r="I1496" s="8" t="str">
        <f t="shared" si="140"/>
        <v>Evening</v>
      </c>
      <c r="J1496" t="s">
        <v>2370</v>
      </c>
      <c r="K1496" t="s">
        <v>2370</v>
      </c>
      <c r="L1496" s="3">
        <v>0</v>
      </c>
      <c r="M1496" s="3">
        <v>0</v>
      </c>
      <c r="N1496" s="3">
        <v>0</v>
      </c>
      <c r="O1496" s="4">
        <f t="shared" si="141"/>
        <v>0</v>
      </c>
      <c r="P1496" s="5" t="str">
        <f t="shared" si="142"/>
        <v>No engagement</v>
      </c>
      <c r="Q1496" t="b">
        <v>0</v>
      </c>
      <c r="R1496" t="b">
        <v>0</v>
      </c>
      <c r="S1496" t="b">
        <v>0</v>
      </c>
      <c r="T1496" s="24" t="str">
        <f t="shared" si="143"/>
        <v>Text only</v>
      </c>
    </row>
    <row r="1497" spans="1:20" hidden="1" x14ac:dyDescent="0.2">
      <c r="A1497" t="s">
        <v>2501</v>
      </c>
      <c r="B1497" t="s">
        <v>2365</v>
      </c>
      <c r="C1497" t="s">
        <v>2366</v>
      </c>
      <c r="D1497" t="s">
        <v>2502</v>
      </c>
      <c r="E1497" t="s">
        <v>2503</v>
      </c>
      <c r="F1497" t="str">
        <f>IF(Table2[[#This Row],[Date posted]]&lt; DATE(2015,9,18),"Before Crisis","During Crisis")</f>
        <v>During Crisis</v>
      </c>
      <c r="G1497" s="27">
        <f t="shared" si="138"/>
        <v>42352</v>
      </c>
      <c r="H1497" s="7" t="str">
        <f t="shared" si="139"/>
        <v>21:11:36</v>
      </c>
      <c r="I1497" s="8" t="str">
        <f t="shared" si="140"/>
        <v>Evening</v>
      </c>
      <c r="J1497" t="s">
        <v>2504</v>
      </c>
      <c r="K1497" t="s">
        <v>2370</v>
      </c>
      <c r="L1497" s="3">
        <v>0</v>
      </c>
      <c r="M1497" s="3">
        <v>0</v>
      </c>
      <c r="N1497" s="3">
        <v>0</v>
      </c>
      <c r="O1497" s="4">
        <f t="shared" si="141"/>
        <v>0</v>
      </c>
      <c r="P1497" s="5" t="str">
        <f t="shared" si="142"/>
        <v>No engagement</v>
      </c>
      <c r="Q1497" t="b">
        <v>0</v>
      </c>
      <c r="R1497" t="b">
        <v>0</v>
      </c>
      <c r="S1497" t="b">
        <v>0</v>
      </c>
      <c r="T1497" s="24" t="str">
        <f t="shared" si="143"/>
        <v>Text only</v>
      </c>
    </row>
    <row r="1498" spans="1:20" hidden="1" x14ac:dyDescent="0.2">
      <c r="A1498" t="s">
        <v>2497</v>
      </c>
      <c r="B1498" t="s">
        <v>2365</v>
      </c>
      <c r="C1498" t="s">
        <v>2366</v>
      </c>
      <c r="D1498" t="s">
        <v>2498</v>
      </c>
      <c r="E1498" t="s">
        <v>2499</v>
      </c>
      <c r="F1498" t="str">
        <f>IF(Table2[[#This Row],[Date posted]]&lt; DATE(2015,9,18),"Before Crisis","During Crisis")</f>
        <v>During Crisis</v>
      </c>
      <c r="G1498" s="27">
        <f t="shared" si="138"/>
        <v>42352</v>
      </c>
      <c r="H1498" s="7" t="str">
        <f t="shared" si="139"/>
        <v>21:39:49</v>
      </c>
      <c r="I1498" s="8" t="str">
        <f t="shared" si="140"/>
        <v>Evening</v>
      </c>
      <c r="J1498" t="s">
        <v>2500</v>
      </c>
      <c r="K1498" t="s">
        <v>2370</v>
      </c>
      <c r="L1498">
        <v>1</v>
      </c>
      <c r="M1498" s="3">
        <v>0</v>
      </c>
      <c r="N1498" s="3">
        <v>0</v>
      </c>
      <c r="O1498" s="4">
        <f t="shared" si="141"/>
        <v>1</v>
      </c>
      <c r="P1498" s="5" t="str">
        <f t="shared" si="142"/>
        <v>Low engagement</v>
      </c>
      <c r="Q1498" t="b">
        <v>0</v>
      </c>
      <c r="R1498" t="b">
        <v>0</v>
      </c>
      <c r="S1498" t="b">
        <v>0</v>
      </c>
      <c r="T1498" s="24" t="str">
        <f t="shared" si="143"/>
        <v>Text only</v>
      </c>
    </row>
    <row r="1499" spans="1:20" hidden="1" x14ac:dyDescent="0.2">
      <c r="A1499" t="s">
        <v>2479</v>
      </c>
      <c r="B1499" t="s">
        <v>2365</v>
      </c>
      <c r="C1499" t="s">
        <v>2366</v>
      </c>
      <c r="D1499" t="s">
        <v>2480</v>
      </c>
      <c r="E1499" t="s">
        <v>2481</v>
      </c>
      <c r="F1499" t="str">
        <f>IF(Table2[[#This Row],[Date posted]]&lt; DATE(2015,9,18),"Before Crisis","During Crisis")</f>
        <v>During Crisis</v>
      </c>
      <c r="G1499" s="27">
        <f t="shared" si="138"/>
        <v>42353</v>
      </c>
      <c r="H1499" s="7" t="str">
        <f t="shared" si="139"/>
        <v>16:27:00</v>
      </c>
      <c r="I1499" s="8" t="str">
        <f t="shared" si="140"/>
        <v>Afternoon</v>
      </c>
      <c r="J1499" t="s">
        <v>2419</v>
      </c>
      <c r="K1499" t="s">
        <v>2370</v>
      </c>
      <c r="L1499" s="3">
        <v>0</v>
      </c>
      <c r="M1499">
        <v>1</v>
      </c>
      <c r="N1499" s="3">
        <v>0</v>
      </c>
      <c r="O1499" s="4">
        <f t="shared" si="141"/>
        <v>1</v>
      </c>
      <c r="P1499" s="5" t="str">
        <f t="shared" si="142"/>
        <v>Low engagement</v>
      </c>
      <c r="Q1499" t="b">
        <v>0</v>
      </c>
      <c r="R1499" t="b">
        <v>0</v>
      </c>
      <c r="S1499" t="b">
        <v>1</v>
      </c>
      <c r="T1499" s="24" t="str">
        <f t="shared" si="143"/>
        <v>Link</v>
      </c>
    </row>
    <row r="1500" spans="1:20" hidden="1" x14ac:dyDescent="0.2">
      <c r="A1500" t="s">
        <v>2482</v>
      </c>
      <c r="B1500" t="s">
        <v>2365</v>
      </c>
      <c r="C1500" t="s">
        <v>2366</v>
      </c>
      <c r="D1500" t="s">
        <v>2483</v>
      </c>
      <c r="E1500" t="s">
        <v>2481</v>
      </c>
      <c r="F1500" t="str">
        <f>IF(Table2[[#This Row],[Date posted]]&lt; DATE(2015,9,18),"Before Crisis","During Crisis")</f>
        <v>During Crisis</v>
      </c>
      <c r="G1500" s="27">
        <f t="shared" si="138"/>
        <v>42353</v>
      </c>
      <c r="H1500" s="7" t="str">
        <f t="shared" si="139"/>
        <v>16:27:00</v>
      </c>
      <c r="I1500" s="8" t="str">
        <f t="shared" si="140"/>
        <v>Afternoon</v>
      </c>
      <c r="J1500" t="s">
        <v>2419</v>
      </c>
      <c r="K1500" t="s">
        <v>2370</v>
      </c>
      <c r="L1500" s="3">
        <v>0</v>
      </c>
      <c r="M1500">
        <v>1</v>
      </c>
      <c r="N1500" s="3">
        <v>0</v>
      </c>
      <c r="O1500" s="4">
        <f t="shared" si="141"/>
        <v>1</v>
      </c>
      <c r="P1500" s="5" t="str">
        <f t="shared" si="142"/>
        <v>Low engagement</v>
      </c>
      <c r="Q1500" t="b">
        <v>0</v>
      </c>
      <c r="R1500" t="b">
        <v>0</v>
      </c>
      <c r="S1500" t="b">
        <v>0</v>
      </c>
      <c r="T1500" s="24" t="str">
        <f t="shared" si="143"/>
        <v>Text only</v>
      </c>
    </row>
    <row r="1501" spans="1:20" hidden="1" x14ac:dyDescent="0.2">
      <c r="A1501" t="s">
        <v>2476</v>
      </c>
      <c r="B1501" t="s">
        <v>2365</v>
      </c>
      <c r="C1501" t="s">
        <v>2366</v>
      </c>
      <c r="D1501" t="s">
        <v>2477</v>
      </c>
      <c r="E1501" t="s">
        <v>2478</v>
      </c>
      <c r="F1501" t="str">
        <f>IF(Table2[[#This Row],[Date posted]]&lt; DATE(2015,9,18),"Before Crisis","During Crisis")</f>
        <v>During Crisis</v>
      </c>
      <c r="G1501" s="27">
        <f t="shared" si="138"/>
        <v>42353</v>
      </c>
      <c r="H1501" s="7" t="str">
        <f t="shared" si="139"/>
        <v>16:37:30</v>
      </c>
      <c r="I1501" s="8" t="str">
        <f t="shared" si="140"/>
        <v>Afternoon</v>
      </c>
      <c r="J1501" t="s">
        <v>2475</v>
      </c>
      <c r="K1501" t="s">
        <v>2370</v>
      </c>
      <c r="L1501" s="3">
        <v>0</v>
      </c>
      <c r="M1501" s="3">
        <v>0</v>
      </c>
      <c r="N1501" s="3">
        <v>0</v>
      </c>
      <c r="O1501" s="4">
        <f t="shared" si="141"/>
        <v>0</v>
      </c>
      <c r="P1501" s="5" t="str">
        <f t="shared" si="142"/>
        <v>No engagement</v>
      </c>
      <c r="Q1501" t="b">
        <v>0</v>
      </c>
      <c r="R1501" t="b">
        <v>0</v>
      </c>
      <c r="S1501" t="b">
        <v>0</v>
      </c>
      <c r="T1501" s="24" t="str">
        <f t="shared" si="143"/>
        <v>Text only</v>
      </c>
    </row>
    <row r="1502" spans="1:20" hidden="1" x14ac:dyDescent="0.2">
      <c r="A1502" t="s">
        <v>2470</v>
      </c>
      <c r="B1502" t="s">
        <v>2365</v>
      </c>
      <c r="C1502" t="s">
        <v>2366</v>
      </c>
      <c r="D1502" t="s">
        <v>2471</v>
      </c>
      <c r="E1502" t="s">
        <v>2472</v>
      </c>
      <c r="F1502" t="str">
        <f>IF(Table2[[#This Row],[Date posted]]&lt; DATE(2015,9,18),"Before Crisis","During Crisis")</f>
        <v>During Crisis</v>
      </c>
      <c r="G1502" s="27">
        <f t="shared" si="138"/>
        <v>42353</v>
      </c>
      <c r="H1502" s="7" t="str">
        <f t="shared" si="139"/>
        <v>16:44:24</v>
      </c>
      <c r="I1502" s="8" t="str">
        <f t="shared" si="140"/>
        <v>Afternoon</v>
      </c>
      <c r="J1502" t="s">
        <v>2449</v>
      </c>
      <c r="K1502" t="s">
        <v>2370</v>
      </c>
      <c r="L1502" s="3">
        <v>0</v>
      </c>
      <c r="M1502">
        <v>1</v>
      </c>
      <c r="N1502" s="3">
        <v>0</v>
      </c>
      <c r="O1502" s="4">
        <f t="shared" si="141"/>
        <v>1</v>
      </c>
      <c r="P1502" s="5" t="str">
        <f t="shared" si="142"/>
        <v>Low engagement</v>
      </c>
      <c r="Q1502" t="b">
        <v>0</v>
      </c>
      <c r="R1502" t="b">
        <v>0</v>
      </c>
      <c r="S1502" t="b">
        <v>1</v>
      </c>
      <c r="T1502" s="24" t="str">
        <f t="shared" si="143"/>
        <v>Link</v>
      </c>
    </row>
    <row r="1503" spans="1:20" hidden="1" x14ac:dyDescent="0.2">
      <c r="A1503" t="s">
        <v>2467</v>
      </c>
      <c r="B1503" t="s">
        <v>2365</v>
      </c>
      <c r="C1503" t="s">
        <v>2366</v>
      </c>
      <c r="D1503" t="s">
        <v>2468</v>
      </c>
      <c r="E1503" t="s">
        <v>2469</v>
      </c>
      <c r="F1503" t="str">
        <f>IF(Table2[[#This Row],[Date posted]]&lt; DATE(2015,9,18),"Before Crisis","During Crisis")</f>
        <v>During Crisis</v>
      </c>
      <c r="G1503" s="27">
        <f t="shared" si="138"/>
        <v>42353</v>
      </c>
      <c r="H1503" s="7" t="str">
        <f t="shared" si="139"/>
        <v>17:09:16</v>
      </c>
      <c r="I1503" s="8" t="str">
        <f t="shared" si="140"/>
        <v>Afternoon</v>
      </c>
      <c r="J1503" t="s">
        <v>2466</v>
      </c>
      <c r="K1503" t="s">
        <v>2370</v>
      </c>
      <c r="L1503" s="3">
        <v>0</v>
      </c>
      <c r="M1503" s="3">
        <v>0</v>
      </c>
      <c r="N1503" s="3">
        <v>0</v>
      </c>
      <c r="O1503" s="4">
        <f t="shared" si="141"/>
        <v>0</v>
      </c>
      <c r="P1503" s="5" t="str">
        <f t="shared" si="142"/>
        <v>No engagement</v>
      </c>
      <c r="Q1503" t="b">
        <v>0</v>
      </c>
      <c r="R1503" t="b">
        <v>0</v>
      </c>
      <c r="S1503" t="b">
        <v>0</v>
      </c>
      <c r="T1503" s="24" t="str">
        <f t="shared" si="143"/>
        <v>Text only</v>
      </c>
    </row>
    <row r="1504" spans="1:20" hidden="1" x14ac:dyDescent="0.2">
      <c r="A1504" t="s">
        <v>2459</v>
      </c>
      <c r="B1504" t="s">
        <v>2365</v>
      </c>
      <c r="C1504" t="s">
        <v>2366</v>
      </c>
      <c r="D1504" t="s">
        <v>2460</v>
      </c>
      <c r="E1504" t="s">
        <v>2461</v>
      </c>
      <c r="F1504" t="str">
        <f>IF(Table2[[#This Row],[Date posted]]&lt; DATE(2015,9,18),"Before Crisis","During Crisis")</f>
        <v>During Crisis</v>
      </c>
      <c r="G1504" s="27">
        <f t="shared" si="138"/>
        <v>42353</v>
      </c>
      <c r="H1504" s="7" t="str">
        <f t="shared" si="139"/>
        <v>17:09:17</v>
      </c>
      <c r="I1504" s="8" t="str">
        <f t="shared" si="140"/>
        <v>Afternoon</v>
      </c>
      <c r="J1504" t="s">
        <v>2370</v>
      </c>
      <c r="K1504" t="s">
        <v>2370</v>
      </c>
      <c r="L1504" s="3">
        <v>0</v>
      </c>
      <c r="M1504" s="3">
        <v>0</v>
      </c>
      <c r="N1504" s="3">
        <v>0</v>
      </c>
      <c r="O1504" s="4">
        <f t="shared" si="141"/>
        <v>0</v>
      </c>
      <c r="P1504" s="5" t="str">
        <f t="shared" si="142"/>
        <v>No engagement</v>
      </c>
      <c r="Q1504" t="b">
        <v>0</v>
      </c>
      <c r="R1504" t="b">
        <v>0</v>
      </c>
      <c r="S1504" t="b">
        <v>0</v>
      </c>
      <c r="T1504" s="24" t="str">
        <f t="shared" si="143"/>
        <v>Text only</v>
      </c>
    </row>
    <row r="1505" spans="1:20" hidden="1" x14ac:dyDescent="0.2">
      <c r="A1505" t="s">
        <v>2462</v>
      </c>
      <c r="B1505" t="s">
        <v>2365</v>
      </c>
      <c r="C1505" t="s">
        <v>2366</v>
      </c>
      <c r="D1505" t="s">
        <v>2463</v>
      </c>
      <c r="E1505" t="s">
        <v>2461</v>
      </c>
      <c r="F1505" t="str">
        <f>IF(Table2[[#This Row],[Date posted]]&lt; DATE(2015,9,18),"Before Crisis","During Crisis")</f>
        <v>During Crisis</v>
      </c>
      <c r="G1505" s="27">
        <f t="shared" si="138"/>
        <v>42353</v>
      </c>
      <c r="H1505" s="7" t="str">
        <f t="shared" si="139"/>
        <v>17:09:17</v>
      </c>
      <c r="I1505" s="8" t="str">
        <f t="shared" si="140"/>
        <v>Afternoon</v>
      </c>
      <c r="J1505" t="s">
        <v>2370</v>
      </c>
      <c r="K1505" t="s">
        <v>2370</v>
      </c>
      <c r="L1505" s="3">
        <v>0</v>
      </c>
      <c r="M1505">
        <v>1</v>
      </c>
      <c r="N1505" s="3">
        <v>0</v>
      </c>
      <c r="O1505" s="4">
        <f t="shared" si="141"/>
        <v>1</v>
      </c>
      <c r="P1505" s="5" t="str">
        <f t="shared" si="142"/>
        <v>Low engagement</v>
      </c>
      <c r="Q1505" t="b">
        <v>0</v>
      </c>
      <c r="R1505" t="b">
        <v>0</v>
      </c>
      <c r="S1505" t="b">
        <v>0</v>
      </c>
      <c r="T1505" s="24" t="str">
        <f t="shared" si="143"/>
        <v>Text only</v>
      </c>
    </row>
    <row r="1506" spans="1:20" hidden="1" x14ac:dyDescent="0.2">
      <c r="A1506" t="s">
        <v>2464</v>
      </c>
      <c r="B1506" t="s">
        <v>2365</v>
      </c>
      <c r="C1506" t="s">
        <v>2366</v>
      </c>
      <c r="D1506" t="s">
        <v>2465</v>
      </c>
      <c r="E1506" t="s">
        <v>2461</v>
      </c>
      <c r="F1506" t="str">
        <f>IF(Table2[[#This Row],[Date posted]]&lt; DATE(2015,9,18),"Before Crisis","During Crisis")</f>
        <v>During Crisis</v>
      </c>
      <c r="G1506" s="27">
        <f t="shared" si="138"/>
        <v>42353</v>
      </c>
      <c r="H1506" s="7" t="str">
        <f t="shared" si="139"/>
        <v>17:09:17</v>
      </c>
      <c r="I1506" s="8" t="str">
        <f t="shared" si="140"/>
        <v>Afternoon</v>
      </c>
      <c r="J1506" t="s">
        <v>2466</v>
      </c>
      <c r="K1506" t="s">
        <v>2370</v>
      </c>
      <c r="L1506">
        <v>1</v>
      </c>
      <c r="M1506" s="3">
        <v>0</v>
      </c>
      <c r="N1506" s="3">
        <v>0</v>
      </c>
      <c r="O1506" s="4">
        <f t="shared" si="141"/>
        <v>1</v>
      </c>
      <c r="P1506" s="5" t="str">
        <f t="shared" si="142"/>
        <v>Low engagement</v>
      </c>
      <c r="Q1506" t="b">
        <v>0</v>
      </c>
      <c r="R1506" t="b">
        <v>0</v>
      </c>
      <c r="S1506" t="b">
        <v>0</v>
      </c>
      <c r="T1506" s="24" t="str">
        <f t="shared" si="143"/>
        <v>Text only</v>
      </c>
    </row>
    <row r="1507" spans="1:20" hidden="1" x14ac:dyDescent="0.2">
      <c r="A1507" t="s">
        <v>2453</v>
      </c>
      <c r="B1507" t="s">
        <v>2365</v>
      </c>
      <c r="C1507" t="s">
        <v>2366</v>
      </c>
      <c r="D1507" t="s">
        <v>2454</v>
      </c>
      <c r="E1507" t="s">
        <v>2455</v>
      </c>
      <c r="F1507" t="str">
        <f>IF(Table2[[#This Row],[Date posted]]&lt; DATE(2015,9,18),"Before Crisis","During Crisis")</f>
        <v>During Crisis</v>
      </c>
      <c r="G1507" s="27">
        <f t="shared" si="138"/>
        <v>42353</v>
      </c>
      <c r="H1507" s="7" t="str">
        <f t="shared" si="139"/>
        <v>17:09:18</v>
      </c>
      <c r="I1507" s="8" t="str">
        <f t="shared" si="140"/>
        <v>Afternoon</v>
      </c>
      <c r="J1507" t="s">
        <v>2456</v>
      </c>
      <c r="K1507" t="s">
        <v>2370</v>
      </c>
      <c r="L1507" s="3">
        <v>0</v>
      </c>
      <c r="M1507" s="3">
        <v>0</v>
      </c>
      <c r="N1507" s="3">
        <v>0</v>
      </c>
      <c r="O1507" s="4">
        <f t="shared" si="141"/>
        <v>0</v>
      </c>
      <c r="P1507" s="5" t="str">
        <f t="shared" si="142"/>
        <v>No engagement</v>
      </c>
      <c r="Q1507" t="b">
        <v>0</v>
      </c>
      <c r="R1507" t="b">
        <v>0</v>
      </c>
      <c r="S1507" t="b">
        <v>0</v>
      </c>
      <c r="T1507" s="24" t="str">
        <f t="shared" si="143"/>
        <v>Text only</v>
      </c>
    </row>
    <row r="1508" spans="1:20" hidden="1" x14ac:dyDescent="0.2">
      <c r="A1508" t="s">
        <v>2457</v>
      </c>
      <c r="B1508" t="s">
        <v>2365</v>
      </c>
      <c r="C1508" t="s">
        <v>2366</v>
      </c>
      <c r="D1508" t="s">
        <v>2458</v>
      </c>
      <c r="E1508" t="s">
        <v>2455</v>
      </c>
      <c r="F1508" t="str">
        <f>IF(Table2[[#This Row],[Date posted]]&lt; DATE(2015,9,18),"Before Crisis","During Crisis")</f>
        <v>During Crisis</v>
      </c>
      <c r="G1508" s="27">
        <f t="shared" si="138"/>
        <v>42353</v>
      </c>
      <c r="H1508" s="7" t="str">
        <f t="shared" si="139"/>
        <v>17:09:18</v>
      </c>
      <c r="I1508" s="8" t="str">
        <f t="shared" si="140"/>
        <v>Afternoon</v>
      </c>
      <c r="J1508" t="s">
        <v>2370</v>
      </c>
      <c r="K1508" t="s">
        <v>2370</v>
      </c>
      <c r="L1508" s="3">
        <v>0</v>
      </c>
      <c r="M1508" s="3">
        <v>0</v>
      </c>
      <c r="N1508" s="3">
        <v>0</v>
      </c>
      <c r="O1508" s="4">
        <f t="shared" si="141"/>
        <v>0</v>
      </c>
      <c r="P1508" s="5" t="str">
        <f t="shared" si="142"/>
        <v>No engagement</v>
      </c>
      <c r="Q1508" t="b">
        <v>0</v>
      </c>
      <c r="R1508" t="b">
        <v>0</v>
      </c>
      <c r="S1508" t="b">
        <v>0</v>
      </c>
      <c r="T1508" s="24" t="str">
        <f t="shared" si="143"/>
        <v>Text only</v>
      </c>
    </row>
    <row r="1509" spans="1:20" hidden="1" x14ac:dyDescent="0.2">
      <c r="A1509" t="s">
        <v>2446</v>
      </c>
      <c r="B1509" t="s">
        <v>2365</v>
      </c>
      <c r="C1509" t="s">
        <v>2366</v>
      </c>
      <c r="D1509" t="s">
        <v>2447</v>
      </c>
      <c r="E1509" t="s">
        <v>2448</v>
      </c>
      <c r="F1509" t="str">
        <f>IF(Table2[[#This Row],[Date posted]]&lt; DATE(2015,9,18),"Before Crisis","During Crisis")</f>
        <v>During Crisis</v>
      </c>
      <c r="G1509" s="27">
        <f t="shared" si="138"/>
        <v>42353</v>
      </c>
      <c r="H1509" s="7" t="str">
        <f t="shared" si="139"/>
        <v>17:16:06</v>
      </c>
      <c r="I1509" s="8" t="str">
        <f t="shared" si="140"/>
        <v>Afternoon</v>
      </c>
      <c r="J1509" t="s">
        <v>2449</v>
      </c>
      <c r="K1509" t="s">
        <v>2370</v>
      </c>
      <c r="L1509" s="3">
        <v>0</v>
      </c>
      <c r="M1509" s="3">
        <v>0</v>
      </c>
      <c r="N1509" s="3">
        <v>0</v>
      </c>
      <c r="O1509" s="4">
        <f t="shared" si="141"/>
        <v>0</v>
      </c>
      <c r="P1509" s="5" t="str">
        <f t="shared" si="142"/>
        <v>No engagement</v>
      </c>
      <c r="Q1509" t="b">
        <v>0</v>
      </c>
      <c r="R1509" t="b">
        <v>0</v>
      </c>
      <c r="S1509" t="b">
        <v>1</v>
      </c>
      <c r="T1509" s="24" t="str">
        <f t="shared" si="143"/>
        <v>Link</v>
      </c>
    </row>
    <row r="1510" spans="1:20" hidden="1" x14ac:dyDescent="0.2">
      <c r="A1510" t="s">
        <v>2443</v>
      </c>
      <c r="B1510" t="s">
        <v>2365</v>
      </c>
      <c r="C1510" t="s">
        <v>2366</v>
      </c>
      <c r="D1510" t="s">
        <v>2444</v>
      </c>
      <c r="E1510" t="s">
        <v>2445</v>
      </c>
      <c r="F1510" t="str">
        <f>IF(Table2[[#This Row],[Date posted]]&lt; DATE(2015,9,18),"Before Crisis","During Crisis")</f>
        <v>During Crisis</v>
      </c>
      <c r="G1510" s="27">
        <f t="shared" si="138"/>
        <v>42353</v>
      </c>
      <c r="H1510" s="7" t="str">
        <f t="shared" si="139"/>
        <v>17:47:38</v>
      </c>
      <c r="I1510" s="8" t="str">
        <f t="shared" si="140"/>
        <v>Afternoon</v>
      </c>
      <c r="J1510" t="s">
        <v>2370</v>
      </c>
      <c r="K1510" t="s">
        <v>2370</v>
      </c>
      <c r="L1510" s="3">
        <v>0</v>
      </c>
      <c r="M1510" s="3">
        <v>0</v>
      </c>
      <c r="N1510" s="3">
        <v>0</v>
      </c>
      <c r="O1510" s="4">
        <f t="shared" si="141"/>
        <v>0</v>
      </c>
      <c r="P1510" s="5" t="str">
        <f t="shared" si="142"/>
        <v>No engagement</v>
      </c>
      <c r="Q1510" t="b">
        <v>0</v>
      </c>
      <c r="R1510" t="b">
        <v>0</v>
      </c>
      <c r="S1510" t="b">
        <v>0</v>
      </c>
      <c r="T1510" s="24" t="str">
        <f t="shared" si="143"/>
        <v>Text only</v>
      </c>
    </row>
    <row r="1511" spans="1:20" hidden="1" x14ac:dyDescent="0.2">
      <c r="A1511" t="s">
        <v>2439</v>
      </c>
      <c r="B1511" t="s">
        <v>2365</v>
      </c>
      <c r="C1511" t="s">
        <v>2366</v>
      </c>
      <c r="D1511" t="s">
        <v>2440</v>
      </c>
      <c r="E1511" t="s">
        <v>2441</v>
      </c>
      <c r="F1511" t="str">
        <f>IF(Table2[[#This Row],[Date posted]]&lt; DATE(2015,9,18),"Before Crisis","During Crisis")</f>
        <v>During Crisis</v>
      </c>
      <c r="G1511" s="27">
        <f t="shared" si="138"/>
        <v>42353</v>
      </c>
      <c r="H1511" s="7" t="str">
        <f t="shared" si="139"/>
        <v>18:21:58</v>
      </c>
      <c r="I1511" s="8" t="str">
        <f t="shared" si="140"/>
        <v>Evening</v>
      </c>
      <c r="J1511" t="s">
        <v>2442</v>
      </c>
      <c r="K1511" t="s">
        <v>2370</v>
      </c>
      <c r="L1511" s="3">
        <v>0</v>
      </c>
      <c r="M1511" s="3">
        <v>0</v>
      </c>
      <c r="N1511" s="3">
        <v>0</v>
      </c>
      <c r="O1511" s="4">
        <f t="shared" si="141"/>
        <v>0</v>
      </c>
      <c r="P1511" s="5" t="str">
        <f t="shared" si="142"/>
        <v>No engagement</v>
      </c>
      <c r="Q1511" t="b">
        <v>0</v>
      </c>
      <c r="R1511" t="b">
        <v>0</v>
      </c>
      <c r="S1511" t="b">
        <v>1</v>
      </c>
      <c r="T1511" s="24" t="str">
        <f t="shared" si="143"/>
        <v>Link</v>
      </c>
    </row>
    <row r="1512" spans="1:20" hidden="1" x14ac:dyDescent="0.2">
      <c r="A1512" t="s">
        <v>2437</v>
      </c>
      <c r="B1512" t="s">
        <v>2365</v>
      </c>
      <c r="C1512" t="s">
        <v>2366</v>
      </c>
      <c r="D1512" t="s">
        <v>2438</v>
      </c>
      <c r="E1512" t="s">
        <v>2436</v>
      </c>
      <c r="F1512" t="str">
        <f>IF(Table2[[#This Row],[Date posted]]&lt; DATE(2015,9,18),"Before Crisis","During Crisis")</f>
        <v>During Crisis</v>
      </c>
      <c r="G1512" s="27">
        <f t="shared" si="138"/>
        <v>42353</v>
      </c>
      <c r="H1512" s="7" t="str">
        <f t="shared" si="139"/>
        <v>19:10:55</v>
      </c>
      <c r="I1512" s="8" t="str">
        <f t="shared" si="140"/>
        <v>Evening</v>
      </c>
      <c r="J1512" t="s">
        <v>2381</v>
      </c>
      <c r="K1512" t="s">
        <v>2370</v>
      </c>
      <c r="L1512" s="3">
        <v>0</v>
      </c>
      <c r="M1512">
        <v>1</v>
      </c>
      <c r="N1512" s="3">
        <v>0</v>
      </c>
      <c r="O1512" s="4">
        <f t="shared" si="141"/>
        <v>1</v>
      </c>
      <c r="P1512" s="5" t="str">
        <f t="shared" si="142"/>
        <v>Low engagement</v>
      </c>
      <c r="Q1512" t="b">
        <v>0</v>
      </c>
      <c r="R1512" t="b">
        <v>0</v>
      </c>
      <c r="S1512" t="b">
        <v>0</v>
      </c>
      <c r="T1512" s="24" t="str">
        <f t="shared" si="143"/>
        <v>Text only</v>
      </c>
    </row>
    <row r="1513" spans="1:20" hidden="1" x14ac:dyDescent="0.2">
      <c r="A1513" t="s">
        <v>2420</v>
      </c>
      <c r="B1513" t="s">
        <v>2365</v>
      </c>
      <c r="C1513" t="s">
        <v>2366</v>
      </c>
      <c r="D1513" t="s">
        <v>2421</v>
      </c>
      <c r="E1513" t="s">
        <v>2422</v>
      </c>
      <c r="F1513" t="str">
        <f>IF(Table2[[#This Row],[Date posted]]&lt; DATE(2015,9,18),"Before Crisis","During Crisis")</f>
        <v>During Crisis</v>
      </c>
      <c r="G1513" s="27">
        <f t="shared" si="138"/>
        <v>42354</v>
      </c>
      <c r="H1513" s="7" t="str">
        <f t="shared" si="139"/>
        <v>14:39:27</v>
      </c>
      <c r="I1513" s="8" t="str">
        <f t="shared" si="140"/>
        <v>Afternoon</v>
      </c>
      <c r="J1513" t="s">
        <v>2419</v>
      </c>
      <c r="K1513" t="s">
        <v>2370</v>
      </c>
      <c r="L1513" s="3">
        <v>0</v>
      </c>
      <c r="M1513" s="3">
        <v>0</v>
      </c>
      <c r="N1513" s="3">
        <v>0</v>
      </c>
      <c r="O1513" s="4">
        <f t="shared" si="141"/>
        <v>0</v>
      </c>
      <c r="P1513" s="5" t="str">
        <f t="shared" si="142"/>
        <v>No engagement</v>
      </c>
      <c r="Q1513" t="b">
        <v>0</v>
      </c>
      <c r="R1513" t="b">
        <v>0</v>
      </c>
      <c r="S1513" t="b">
        <v>0</v>
      </c>
      <c r="T1513" s="24" t="str">
        <f t="shared" si="143"/>
        <v>Text only</v>
      </c>
    </row>
    <row r="1514" spans="1:20" hidden="1" x14ac:dyDescent="0.2">
      <c r="A1514" t="s">
        <v>2416</v>
      </c>
      <c r="B1514" t="s">
        <v>2365</v>
      </c>
      <c r="C1514" t="s">
        <v>2366</v>
      </c>
      <c r="D1514" t="s">
        <v>2417</v>
      </c>
      <c r="E1514" t="s">
        <v>2418</v>
      </c>
      <c r="F1514" t="str">
        <f>IF(Table2[[#This Row],[Date posted]]&lt; DATE(2015,9,18),"Before Crisis","During Crisis")</f>
        <v>During Crisis</v>
      </c>
      <c r="G1514" s="27">
        <f t="shared" si="138"/>
        <v>42354</v>
      </c>
      <c r="H1514" s="7" t="str">
        <f t="shared" si="139"/>
        <v>14:49:58</v>
      </c>
      <c r="I1514" s="8" t="str">
        <f t="shared" si="140"/>
        <v>Afternoon</v>
      </c>
      <c r="J1514" t="s">
        <v>2419</v>
      </c>
      <c r="K1514" t="s">
        <v>2370</v>
      </c>
      <c r="L1514" s="3">
        <v>0</v>
      </c>
      <c r="M1514" s="3">
        <v>0</v>
      </c>
      <c r="N1514" s="3">
        <v>0</v>
      </c>
      <c r="O1514" s="4">
        <f t="shared" si="141"/>
        <v>0</v>
      </c>
      <c r="P1514" s="5" t="str">
        <f t="shared" si="142"/>
        <v>No engagement</v>
      </c>
      <c r="Q1514" t="b">
        <v>0</v>
      </c>
      <c r="R1514" t="b">
        <v>0</v>
      </c>
      <c r="S1514" t="b">
        <v>0</v>
      </c>
      <c r="T1514" s="24" t="str">
        <f t="shared" si="143"/>
        <v>Text only</v>
      </c>
    </row>
    <row r="1515" spans="1:20" hidden="1" x14ac:dyDescent="0.2">
      <c r="A1515" t="s">
        <v>2411</v>
      </c>
      <c r="B1515" t="s">
        <v>2365</v>
      </c>
      <c r="C1515" t="s">
        <v>2366</v>
      </c>
      <c r="D1515" t="s">
        <v>2412</v>
      </c>
      <c r="E1515" t="s">
        <v>2413</v>
      </c>
      <c r="F1515" t="str">
        <f>IF(Table2[[#This Row],[Date posted]]&lt; DATE(2015,9,18),"Before Crisis","During Crisis")</f>
        <v>During Crisis</v>
      </c>
      <c r="G1515" s="27">
        <f t="shared" si="138"/>
        <v>42354</v>
      </c>
      <c r="H1515" s="7" t="str">
        <f t="shared" si="139"/>
        <v>14:49:59</v>
      </c>
      <c r="I1515" s="8" t="str">
        <f t="shared" si="140"/>
        <v>Afternoon</v>
      </c>
      <c r="J1515" t="s">
        <v>2370</v>
      </c>
      <c r="K1515" t="s">
        <v>2370</v>
      </c>
      <c r="L1515" s="3">
        <v>0</v>
      </c>
      <c r="M1515" s="3">
        <v>0</v>
      </c>
      <c r="N1515" s="3">
        <v>0</v>
      </c>
      <c r="O1515" s="4">
        <f t="shared" si="141"/>
        <v>0</v>
      </c>
      <c r="P1515" s="5" t="str">
        <f t="shared" si="142"/>
        <v>No engagement</v>
      </c>
      <c r="Q1515" t="b">
        <v>0</v>
      </c>
      <c r="R1515" t="b">
        <v>0</v>
      </c>
      <c r="S1515" t="b">
        <v>0</v>
      </c>
      <c r="T1515" s="24" t="str">
        <f t="shared" si="143"/>
        <v>Text only</v>
      </c>
    </row>
    <row r="1516" spans="1:20" hidden="1" x14ac:dyDescent="0.2">
      <c r="A1516" t="s">
        <v>2414</v>
      </c>
      <c r="B1516" t="s">
        <v>2365</v>
      </c>
      <c r="C1516" t="s">
        <v>2366</v>
      </c>
      <c r="D1516" t="s">
        <v>2415</v>
      </c>
      <c r="E1516" t="s">
        <v>2413</v>
      </c>
      <c r="F1516" t="str">
        <f>IF(Table2[[#This Row],[Date posted]]&lt; DATE(2015,9,18),"Before Crisis","During Crisis")</f>
        <v>During Crisis</v>
      </c>
      <c r="G1516" s="27">
        <f t="shared" si="138"/>
        <v>42354</v>
      </c>
      <c r="H1516" s="7" t="str">
        <f t="shared" si="139"/>
        <v>14:49:59</v>
      </c>
      <c r="I1516" s="8" t="str">
        <f t="shared" si="140"/>
        <v>Afternoon</v>
      </c>
      <c r="J1516" t="s">
        <v>2370</v>
      </c>
      <c r="K1516" t="s">
        <v>2370</v>
      </c>
      <c r="L1516" s="3">
        <v>0</v>
      </c>
      <c r="M1516" s="3">
        <v>0</v>
      </c>
      <c r="N1516" s="3">
        <v>0</v>
      </c>
      <c r="O1516" s="4">
        <f t="shared" si="141"/>
        <v>0</v>
      </c>
      <c r="P1516" s="5" t="str">
        <f t="shared" si="142"/>
        <v>No engagement</v>
      </c>
      <c r="Q1516" t="b">
        <v>0</v>
      </c>
      <c r="R1516" t="b">
        <v>0</v>
      </c>
      <c r="S1516" t="b">
        <v>0</v>
      </c>
      <c r="T1516" s="24" t="str">
        <f t="shared" si="143"/>
        <v>Text only</v>
      </c>
    </row>
    <row r="1517" spans="1:20" hidden="1" x14ac:dyDescent="0.2">
      <c r="A1517" t="s">
        <v>2408</v>
      </c>
      <c r="B1517" t="s">
        <v>2365</v>
      </c>
      <c r="C1517" t="s">
        <v>2366</v>
      </c>
      <c r="D1517" t="s">
        <v>2409</v>
      </c>
      <c r="E1517" t="s">
        <v>2410</v>
      </c>
      <c r="F1517" t="str">
        <f>IF(Table2[[#This Row],[Date posted]]&lt; DATE(2015,9,18),"Before Crisis","During Crisis")</f>
        <v>During Crisis</v>
      </c>
      <c r="G1517" s="27">
        <f t="shared" si="138"/>
        <v>42354</v>
      </c>
      <c r="H1517" s="7" t="str">
        <f t="shared" si="139"/>
        <v>15:45:37</v>
      </c>
      <c r="I1517" s="8" t="str">
        <f t="shared" si="140"/>
        <v>Afternoon</v>
      </c>
      <c r="J1517" t="s">
        <v>2407</v>
      </c>
      <c r="K1517" t="s">
        <v>2370</v>
      </c>
      <c r="L1517" s="3">
        <v>0</v>
      </c>
      <c r="M1517">
        <v>1</v>
      </c>
      <c r="N1517" s="3">
        <v>0</v>
      </c>
      <c r="O1517" s="4">
        <f t="shared" si="141"/>
        <v>1</v>
      </c>
      <c r="P1517" s="5" t="str">
        <f t="shared" si="142"/>
        <v>Low engagement</v>
      </c>
      <c r="Q1517" t="b">
        <v>0</v>
      </c>
      <c r="R1517" t="b">
        <v>0</v>
      </c>
      <c r="S1517" t="b">
        <v>0</v>
      </c>
      <c r="T1517" s="24" t="str">
        <f t="shared" si="143"/>
        <v>Text only</v>
      </c>
    </row>
    <row r="1518" spans="1:20" hidden="1" x14ac:dyDescent="0.2">
      <c r="A1518" t="s">
        <v>2404</v>
      </c>
      <c r="B1518" t="s">
        <v>2365</v>
      </c>
      <c r="C1518" t="s">
        <v>2366</v>
      </c>
      <c r="D1518" t="s">
        <v>2405</v>
      </c>
      <c r="E1518" t="s">
        <v>2406</v>
      </c>
      <c r="F1518" t="str">
        <f>IF(Table2[[#This Row],[Date posted]]&lt; DATE(2015,9,18),"Before Crisis","During Crisis")</f>
        <v>During Crisis</v>
      </c>
      <c r="G1518" s="27">
        <f t="shared" si="138"/>
        <v>42354</v>
      </c>
      <c r="H1518" s="7" t="str">
        <f t="shared" si="139"/>
        <v>15:45:38</v>
      </c>
      <c r="I1518" s="8" t="str">
        <f t="shared" si="140"/>
        <v>Afternoon</v>
      </c>
      <c r="J1518" t="s">
        <v>2407</v>
      </c>
      <c r="K1518" t="s">
        <v>2370</v>
      </c>
      <c r="L1518" s="3">
        <v>0</v>
      </c>
      <c r="M1518" s="3">
        <v>0</v>
      </c>
      <c r="N1518" s="3">
        <v>0</v>
      </c>
      <c r="O1518" s="4">
        <f t="shared" si="141"/>
        <v>0</v>
      </c>
      <c r="P1518" s="5" t="str">
        <f t="shared" si="142"/>
        <v>No engagement</v>
      </c>
      <c r="Q1518" t="b">
        <v>0</v>
      </c>
      <c r="R1518" t="b">
        <v>0</v>
      </c>
      <c r="S1518" t="b">
        <v>0</v>
      </c>
      <c r="T1518" s="24" t="str">
        <f t="shared" si="143"/>
        <v>Text only</v>
      </c>
    </row>
    <row r="1519" spans="1:20" hidden="1" x14ac:dyDescent="0.2">
      <c r="A1519" t="s">
        <v>2400</v>
      </c>
      <c r="B1519" t="s">
        <v>2365</v>
      </c>
      <c r="C1519" t="s">
        <v>2366</v>
      </c>
      <c r="D1519" t="s">
        <v>2401</v>
      </c>
      <c r="E1519" t="s">
        <v>2402</v>
      </c>
      <c r="F1519" t="str">
        <f>IF(Table2[[#This Row],[Date posted]]&lt; DATE(2015,9,18),"Before Crisis","During Crisis")</f>
        <v>During Crisis</v>
      </c>
      <c r="G1519" s="27">
        <f t="shared" si="138"/>
        <v>42354</v>
      </c>
      <c r="H1519" s="7" t="str">
        <f t="shared" si="139"/>
        <v>16:13:55</v>
      </c>
      <c r="I1519" s="8" t="str">
        <f t="shared" si="140"/>
        <v>Afternoon</v>
      </c>
      <c r="J1519" t="s">
        <v>2403</v>
      </c>
      <c r="K1519" t="s">
        <v>2370</v>
      </c>
      <c r="L1519" s="3">
        <v>0</v>
      </c>
      <c r="M1519" s="3">
        <v>0</v>
      </c>
      <c r="N1519" s="3">
        <v>0</v>
      </c>
      <c r="O1519" s="4">
        <f t="shared" si="141"/>
        <v>0</v>
      </c>
      <c r="P1519" s="5" t="str">
        <f t="shared" si="142"/>
        <v>No engagement</v>
      </c>
      <c r="Q1519" t="b">
        <v>0</v>
      </c>
      <c r="R1519" t="b">
        <v>0</v>
      </c>
      <c r="S1519" t="b">
        <v>0</v>
      </c>
      <c r="T1519" s="24" t="str">
        <f t="shared" si="143"/>
        <v>Text only</v>
      </c>
    </row>
    <row r="1520" spans="1:20" hidden="1" x14ac:dyDescent="0.2">
      <c r="A1520" t="s">
        <v>2394</v>
      </c>
      <c r="B1520" t="s">
        <v>2365</v>
      </c>
      <c r="C1520" t="s">
        <v>2366</v>
      </c>
      <c r="D1520" t="s">
        <v>2395</v>
      </c>
      <c r="E1520" t="s">
        <v>2396</v>
      </c>
      <c r="F1520" t="str">
        <f>IF(Table2[[#This Row],[Date posted]]&lt; DATE(2015,9,18),"Before Crisis","During Crisis")</f>
        <v>During Crisis</v>
      </c>
      <c r="G1520" s="27">
        <f t="shared" si="138"/>
        <v>42354</v>
      </c>
      <c r="H1520" s="7" t="str">
        <f t="shared" si="139"/>
        <v>17:23:19</v>
      </c>
      <c r="I1520" s="8" t="str">
        <f t="shared" si="140"/>
        <v>Afternoon</v>
      </c>
      <c r="J1520" t="s">
        <v>2393</v>
      </c>
      <c r="K1520" t="s">
        <v>2370</v>
      </c>
      <c r="L1520">
        <v>1</v>
      </c>
      <c r="M1520" s="3">
        <v>0</v>
      </c>
      <c r="N1520" s="3">
        <v>0</v>
      </c>
      <c r="O1520" s="4">
        <f t="shared" si="141"/>
        <v>1</v>
      </c>
      <c r="P1520" s="5" t="str">
        <f t="shared" si="142"/>
        <v>Low engagement</v>
      </c>
      <c r="Q1520" t="b">
        <v>0</v>
      </c>
      <c r="R1520" t="b">
        <v>0</v>
      </c>
      <c r="S1520" t="b">
        <v>0</v>
      </c>
      <c r="T1520" s="24" t="str">
        <f t="shared" si="143"/>
        <v>Text only</v>
      </c>
    </row>
    <row r="1521" spans="1:20" hidden="1" x14ac:dyDescent="0.2">
      <c r="A1521" t="s">
        <v>2382</v>
      </c>
      <c r="B1521" t="s">
        <v>2365</v>
      </c>
      <c r="C1521" t="s">
        <v>2366</v>
      </c>
      <c r="D1521" t="s">
        <v>2383</v>
      </c>
      <c r="E1521" t="s">
        <v>2384</v>
      </c>
      <c r="F1521" t="str">
        <f>IF(Table2[[#This Row],[Date posted]]&lt; DATE(2015,9,18),"Before Crisis","During Crisis")</f>
        <v>During Crisis</v>
      </c>
      <c r="G1521" s="27">
        <f t="shared" si="138"/>
        <v>42354</v>
      </c>
      <c r="H1521" s="7" t="str">
        <f t="shared" si="139"/>
        <v>21:23:22</v>
      </c>
      <c r="I1521" s="8" t="str">
        <f t="shared" si="140"/>
        <v>Evening</v>
      </c>
      <c r="J1521" t="s">
        <v>2385</v>
      </c>
      <c r="K1521" t="s">
        <v>2370</v>
      </c>
      <c r="L1521" s="3">
        <v>0</v>
      </c>
      <c r="M1521" s="3">
        <v>0</v>
      </c>
      <c r="N1521" s="3">
        <v>0</v>
      </c>
      <c r="O1521" s="4">
        <f t="shared" si="141"/>
        <v>0</v>
      </c>
      <c r="P1521" s="5" t="str">
        <f t="shared" si="142"/>
        <v>No engagement</v>
      </c>
      <c r="Q1521" t="b">
        <v>0</v>
      </c>
      <c r="R1521" t="b">
        <v>0</v>
      </c>
      <c r="S1521" t="b">
        <v>0</v>
      </c>
      <c r="T1521" s="24" t="str">
        <f t="shared" si="143"/>
        <v>Text only</v>
      </c>
    </row>
    <row r="1522" spans="1:20" hidden="1" x14ac:dyDescent="0.2">
      <c r="A1522" t="s">
        <v>2371</v>
      </c>
      <c r="B1522" t="s">
        <v>2365</v>
      </c>
      <c r="C1522" t="s">
        <v>2366</v>
      </c>
      <c r="D1522" t="s">
        <v>2372</v>
      </c>
      <c r="E1522" t="s">
        <v>2373</v>
      </c>
      <c r="F1522" t="str">
        <f>IF(Table2[[#This Row],[Date posted]]&lt; DATE(2015,9,18),"Before Crisis","During Crisis")</f>
        <v>During Crisis</v>
      </c>
      <c r="G1522" s="27">
        <f t="shared" si="138"/>
        <v>42354</v>
      </c>
      <c r="H1522" s="7" t="str">
        <f t="shared" si="139"/>
        <v>21:26:43</v>
      </c>
      <c r="I1522" s="8" t="str">
        <f t="shared" si="140"/>
        <v>Evening</v>
      </c>
      <c r="J1522" t="s">
        <v>2374</v>
      </c>
      <c r="K1522" t="s">
        <v>2370</v>
      </c>
      <c r="L1522" s="3">
        <v>0</v>
      </c>
      <c r="M1522" s="3">
        <v>1</v>
      </c>
      <c r="N1522" s="3">
        <v>0</v>
      </c>
      <c r="O1522" s="4">
        <f t="shared" si="141"/>
        <v>1</v>
      </c>
      <c r="P1522" s="5" t="str">
        <f t="shared" si="142"/>
        <v>Low engagement</v>
      </c>
      <c r="Q1522" t="b">
        <v>0</v>
      </c>
      <c r="R1522" t="b">
        <v>0</v>
      </c>
      <c r="S1522" t="b">
        <v>0</v>
      </c>
      <c r="T1522" s="24" t="str">
        <f t="shared" si="143"/>
        <v>Text only</v>
      </c>
    </row>
    <row r="1523" spans="1:20" hidden="1" x14ac:dyDescent="0.2">
      <c r="A1523" t="s">
        <v>2364</v>
      </c>
      <c r="B1523" t="s">
        <v>2365</v>
      </c>
      <c r="C1523" t="s">
        <v>2366</v>
      </c>
      <c r="D1523" t="s">
        <v>2367</v>
      </c>
      <c r="E1523" t="s">
        <v>2368</v>
      </c>
      <c r="F1523" t="str">
        <f>IF(Table2[[#This Row],[Date posted]]&lt; DATE(2015,9,18),"Before Crisis","During Crisis")</f>
        <v>During Crisis</v>
      </c>
      <c r="G1523" s="27">
        <f t="shared" si="138"/>
        <v>42354</v>
      </c>
      <c r="H1523" s="7" t="str">
        <f t="shared" si="139"/>
        <v>21:26:44</v>
      </c>
      <c r="I1523" s="8" t="str">
        <f t="shared" si="140"/>
        <v>Evening</v>
      </c>
      <c r="J1523" t="s">
        <v>2369</v>
      </c>
      <c r="K1523" t="s">
        <v>2370</v>
      </c>
      <c r="L1523">
        <v>1</v>
      </c>
      <c r="M1523" s="3">
        <v>0</v>
      </c>
      <c r="N1523" s="3">
        <v>0</v>
      </c>
      <c r="O1523" s="4">
        <f t="shared" si="141"/>
        <v>1</v>
      </c>
      <c r="P1523" s="5" t="str">
        <f t="shared" si="142"/>
        <v>Low engagement</v>
      </c>
      <c r="Q1523" t="b">
        <v>0</v>
      </c>
      <c r="R1523" t="b">
        <v>0</v>
      </c>
      <c r="S1523" t="b">
        <v>1</v>
      </c>
      <c r="T1523" s="24" t="str">
        <f t="shared" si="143"/>
        <v>Link</v>
      </c>
    </row>
  </sheetData>
  <conditionalFormatting sqref="P1:P1048576">
    <cfRule type="containsText" dxfId="3" priority="1" operator="containsText" text="No">
      <formula>NOT(ISERROR(SEARCH("No",P1)))</formula>
    </cfRule>
    <cfRule type="containsText" dxfId="2" priority="2" operator="containsText" text="Moderate">
      <formula>NOT(ISERROR(SEARCH("Moderate",P1)))</formula>
    </cfRule>
    <cfRule type="containsText" dxfId="1" priority="3" operator="containsText" text="High">
      <formula>NOT(ISERROR(SEARCH("High",P1)))</formula>
    </cfRule>
    <cfRule type="containsText" dxfId="0" priority="4" operator="containsText" text="Low">
      <formula>NOT(ISERROR(SEARCH("Low",P1)))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A4" r:id="rId1" xr:uid="{73A1C0A5-B74B-6B4F-8DD9-56733C94E4F1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2EBC-F97F-574B-BCA6-811DFDC45D5D}">
  <dimension ref="A1:K14"/>
  <sheetViews>
    <sheetView zoomScale="125" workbookViewId="0">
      <selection activeCell="E15" sqref="E15"/>
    </sheetView>
  </sheetViews>
  <sheetFormatPr baseColWidth="10" defaultRowHeight="15" x14ac:dyDescent="0.2"/>
  <cols>
    <col min="1" max="1" width="16.6640625" customWidth="1"/>
    <col min="2" max="2" width="18.1640625" bestFit="1" customWidth="1"/>
    <col min="3" max="3" width="19.5" bestFit="1" customWidth="1"/>
    <col min="4" max="4" width="21.83203125" bestFit="1" customWidth="1"/>
    <col min="5" max="5" width="11.1640625" bestFit="1" customWidth="1"/>
    <col min="6" max="6" width="17.5" bestFit="1" customWidth="1"/>
  </cols>
  <sheetData>
    <row r="1" spans="1:11" x14ac:dyDescent="0.2">
      <c r="A1" s="25" t="s">
        <v>7301</v>
      </c>
      <c r="B1" s="30" t="s">
        <v>7303</v>
      </c>
      <c r="F1" s="30"/>
    </row>
    <row r="3" spans="1:11" x14ac:dyDescent="0.2">
      <c r="A3" s="25" t="s">
        <v>7293</v>
      </c>
      <c r="B3" t="s">
        <v>7295</v>
      </c>
      <c r="C3" t="s">
        <v>7298</v>
      </c>
      <c r="D3" t="s">
        <v>7299</v>
      </c>
    </row>
    <row r="4" spans="1:11" x14ac:dyDescent="0.2">
      <c r="A4" s="26" t="s">
        <v>7296</v>
      </c>
      <c r="B4" s="2">
        <v>0.51818181818181819</v>
      </c>
      <c r="C4" s="2">
        <v>0.23636363636363636</v>
      </c>
      <c r="D4" s="2">
        <v>0.84545454545454546</v>
      </c>
    </row>
    <row r="5" spans="1:11" x14ac:dyDescent="0.2">
      <c r="A5" s="26" t="s">
        <v>7305</v>
      </c>
      <c r="B5" s="2">
        <v>51.705882352941174</v>
      </c>
      <c r="C5" s="2">
        <v>2.2470588235294118</v>
      </c>
      <c r="D5" s="2">
        <v>23.076470588235296</v>
      </c>
    </row>
    <row r="6" spans="1:11" x14ac:dyDescent="0.2">
      <c r="A6" s="26" t="s">
        <v>7297</v>
      </c>
      <c r="B6" s="2">
        <v>0.24224806201550386</v>
      </c>
      <c r="C6" s="2">
        <v>0.22093023255813954</v>
      </c>
      <c r="D6" s="2">
        <v>0.56007751937984496</v>
      </c>
      <c r="F6" s="30"/>
    </row>
    <row r="7" spans="1:11" x14ac:dyDescent="0.2">
      <c r="A7" s="26" t="s">
        <v>7306</v>
      </c>
      <c r="B7" s="2">
        <v>67.625</v>
      </c>
      <c r="C7" s="2">
        <v>3.5</v>
      </c>
      <c r="D7" s="2">
        <v>37.875</v>
      </c>
      <c r="H7" s="30"/>
    </row>
    <row r="8" spans="1:11" x14ac:dyDescent="0.2">
      <c r="A8" s="26" t="s">
        <v>7294</v>
      </c>
      <c r="B8" s="2">
        <v>11.832089552238806</v>
      </c>
      <c r="C8" s="2">
        <v>0.6840796019900498</v>
      </c>
      <c r="D8" s="2">
        <v>5.7313432835820892</v>
      </c>
    </row>
    <row r="9" spans="1:11" x14ac:dyDescent="0.2">
      <c r="K9" s="32"/>
    </row>
    <row r="10" spans="1:11" x14ac:dyDescent="0.2">
      <c r="G10" s="26"/>
      <c r="H10" s="2"/>
      <c r="I10" s="2"/>
      <c r="J10" s="2"/>
      <c r="K10" s="33"/>
    </row>
    <row r="11" spans="1:11" x14ac:dyDescent="0.2">
      <c r="G11" s="26"/>
      <c r="H11" s="2"/>
      <c r="I11" s="2"/>
      <c r="J11" s="2"/>
      <c r="K11" s="33"/>
    </row>
    <row r="12" spans="1:11" x14ac:dyDescent="0.2">
      <c r="G12" s="26"/>
      <c r="H12" s="2"/>
      <c r="I12" s="2"/>
      <c r="J12" s="2"/>
      <c r="K12" s="33"/>
    </row>
    <row r="13" spans="1:11" x14ac:dyDescent="0.2">
      <c r="G13" s="26"/>
      <c r="H13" s="2"/>
      <c r="I13" s="2"/>
      <c r="J13" s="2"/>
      <c r="K13" s="33"/>
    </row>
    <row r="14" spans="1:11" x14ac:dyDescent="0.2">
      <c r="G14" s="26"/>
      <c r="H14" s="2"/>
      <c r="I14" s="2"/>
      <c r="J14" s="2"/>
      <c r="K14" s="3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Brand_Tweets_Toyota</vt:lpstr>
      <vt:lpstr>Toyota_Pivot Table</vt:lpstr>
      <vt:lpstr>Sheet4</vt:lpstr>
      <vt:lpstr>Brand_Tweets_Volkswagen</vt:lpstr>
      <vt:lpstr>Volkswagen_Pivot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Brayton Tiong</cp:lastModifiedBy>
  <dcterms:created xsi:type="dcterms:W3CDTF">2024-09-16T19:22:50Z</dcterms:created>
  <dcterms:modified xsi:type="dcterms:W3CDTF">2025-12-03T07:08:20Z</dcterms:modified>
  <cp:category/>
</cp:coreProperties>
</file>